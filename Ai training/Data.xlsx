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thiranai.silarak1\Downloads\Ai training\"/>
    </mc:Choice>
  </mc:AlternateContent>
  <xr:revisionPtr revIDLastSave="0" documentId="8_{BF115379-1EB7-4F29-8C98-6E7E3D560E37}" xr6:coauthVersionLast="47" xr6:coauthVersionMax="47" xr10:uidLastSave="{00000000-0000-0000-0000-000000000000}"/>
  <bookViews>
    <workbookView xWindow="4656" yWindow="3336" windowWidth="17280" windowHeight="9960" xr2:uid="{F0D2D362-2544-429C-AD96-E1119CED9CA8}"/>
  </bookViews>
  <sheets>
    <sheet name="P&amp;L" sheetId="1" r:id="rId1"/>
  </sheets>
  <externalReferences>
    <externalReference r:id="rId2"/>
  </externalReferences>
  <definedNames>
    <definedName name="LoginStatus" localSheetId="0">'P&amp;L'!$B$4</definedName>
    <definedName name="SAPCrosstab3">#REF!</definedName>
    <definedName name="SAPFdd1" localSheetId="0">'P&amp;L'!$M$2</definedName>
    <definedName name="SAPFdd2" localSheetId="0">'P&amp;L'!$M$3</definedName>
    <definedName name="SAPFdd3" localSheetId="0">'P&amp;L'!$M$4</definedName>
    <definedName name="SegmentaciónDeDatos_Calendar_Year">#N/A</definedName>
    <definedName name="SegmentaciónDeDatos_Contract_Name">#N/A</definedName>
    <definedName name="SegmentaciónDeDatos_Key_Account">#N/A</definedName>
    <definedName name="SegmentaciónDeDatos_LFS_Branch">#N/A</definedName>
    <definedName name="SegmentaciónDeDatos_Site">#N/A</definedName>
    <definedName name="SegmentaciónDeDatos_Vertical_Market">#N/A</definedName>
    <definedName name="Slicer_Division">#N/A</definedName>
    <definedName name="Slicer_Entity">#N/A</definedName>
    <definedName name="Slicer_Local_Key_Customer">#N/A</definedName>
    <definedName name="Slicer_Unit">#N/A</definedName>
  </definedNames>
  <calcPr calcId="191029" concurrentManualCount="12"/>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118" i="1" l="1" a="1"/>
  <c r="L118" i="1" s="1"/>
  <c r="M114" i="1"/>
  <c r="H114" i="1"/>
  <c r="M113" i="1"/>
  <c r="L113" i="1"/>
  <c r="K113" i="1"/>
  <c r="J113" i="1"/>
  <c r="I113" i="1"/>
  <c r="H113" i="1"/>
  <c r="G113" i="1"/>
  <c r="F113" i="1"/>
  <c r="E113" i="1"/>
  <c r="D113" i="1"/>
  <c r="C113" i="1"/>
  <c r="B113" i="1"/>
  <c r="B114" i="1" s="1"/>
  <c r="M112" i="1"/>
  <c r="L112" i="1"/>
  <c r="K112" i="1"/>
  <c r="J112" i="1"/>
  <c r="J114" i="1" s="1"/>
  <c r="I112" i="1"/>
  <c r="H112" i="1"/>
  <c r="G112" i="1"/>
  <c r="F112" i="1"/>
  <c r="E112" i="1"/>
  <c r="D112" i="1"/>
  <c r="C112" i="1"/>
  <c r="C114" i="1" s="1"/>
  <c r="B112" i="1"/>
  <c r="N112" i="1" s="1"/>
  <c r="M111" i="1"/>
  <c r="L111" i="1"/>
  <c r="K111" i="1"/>
  <c r="J111" i="1"/>
  <c r="I111" i="1"/>
  <c r="H111" i="1"/>
  <c r="G111" i="1"/>
  <c r="F111" i="1"/>
  <c r="E111" i="1"/>
  <c r="D111" i="1"/>
  <c r="C111" i="1"/>
  <c r="B111" i="1"/>
  <c r="N111" i="1" s="1"/>
  <c r="M110" i="1"/>
  <c r="L110" i="1"/>
  <c r="L114" i="1" s="1"/>
  <c r="K110" i="1"/>
  <c r="K114" i="1" s="1"/>
  <c r="J110" i="1"/>
  <c r="I110" i="1"/>
  <c r="I114" i="1" s="1"/>
  <c r="H110" i="1"/>
  <c r="G110" i="1"/>
  <c r="G114" i="1" s="1"/>
  <c r="F110" i="1"/>
  <c r="F114" i="1" s="1"/>
  <c r="E110" i="1"/>
  <c r="E114" i="1" s="1"/>
  <c r="D110" i="1"/>
  <c r="D114" i="1" s="1"/>
  <c r="C110" i="1"/>
  <c r="B110" i="1"/>
  <c r="N110" i="1" s="1"/>
  <c r="M108" i="1"/>
  <c r="K108" i="1"/>
  <c r="F108" i="1"/>
  <c r="M107" i="1"/>
  <c r="L107" i="1"/>
  <c r="K107" i="1"/>
  <c r="J107" i="1"/>
  <c r="I107" i="1"/>
  <c r="H107" i="1"/>
  <c r="G107" i="1"/>
  <c r="G108" i="1" s="1"/>
  <c r="F107" i="1"/>
  <c r="E107" i="1"/>
  <c r="D107" i="1"/>
  <c r="D108" i="1" s="1"/>
  <c r="C107" i="1"/>
  <c r="B107" i="1"/>
  <c r="N107" i="1" s="1"/>
  <c r="M106" i="1"/>
  <c r="L106" i="1"/>
  <c r="L108" i="1" s="1"/>
  <c r="K106" i="1"/>
  <c r="J106" i="1"/>
  <c r="J108" i="1" s="1"/>
  <c r="I106" i="1"/>
  <c r="I108" i="1" s="1"/>
  <c r="H106" i="1"/>
  <c r="H108" i="1" s="1"/>
  <c r="G106" i="1"/>
  <c r="F106" i="1"/>
  <c r="E106" i="1"/>
  <c r="E108" i="1" s="1"/>
  <c r="D106" i="1"/>
  <c r="C106" i="1"/>
  <c r="C108" i="1" s="1"/>
  <c r="B106" i="1"/>
  <c r="N106" i="1" s="1"/>
  <c r="N108" i="1" s="1"/>
  <c r="J104" i="1"/>
  <c r="I104" i="1"/>
  <c r="D104" i="1"/>
  <c r="K103" i="1"/>
  <c r="J103" i="1"/>
  <c r="E103" i="1"/>
  <c r="M102" i="1"/>
  <c r="M104" i="1" s="1"/>
  <c r="L102" i="1"/>
  <c r="L104" i="1" s="1"/>
  <c r="K102" i="1"/>
  <c r="K104" i="1" s="1"/>
  <c r="J102" i="1"/>
  <c r="I102" i="1"/>
  <c r="H102" i="1"/>
  <c r="H104" i="1" s="1"/>
  <c r="G102" i="1"/>
  <c r="F102" i="1"/>
  <c r="F104" i="1" s="1"/>
  <c r="E102" i="1"/>
  <c r="E104" i="1" s="1"/>
  <c r="D102" i="1"/>
  <c r="C102" i="1"/>
  <c r="C104" i="1" s="1"/>
  <c r="B102" i="1"/>
  <c r="B104" i="1" s="1"/>
  <c r="M101" i="1"/>
  <c r="M103" i="1" s="1"/>
  <c r="L101" i="1"/>
  <c r="L103" i="1" s="1"/>
  <c r="K101" i="1"/>
  <c r="J101" i="1"/>
  <c r="I101" i="1"/>
  <c r="I103" i="1" s="1"/>
  <c r="H101" i="1"/>
  <c r="H103" i="1" s="1"/>
  <c r="G101" i="1"/>
  <c r="G103" i="1" s="1"/>
  <c r="F101" i="1"/>
  <c r="F103" i="1" s="1"/>
  <c r="E101" i="1"/>
  <c r="D101" i="1"/>
  <c r="D103" i="1" s="1"/>
  <c r="C101" i="1"/>
  <c r="C103" i="1" s="1"/>
  <c r="B101" i="1"/>
  <c r="B103" i="1" s="1"/>
  <c r="M100" i="1"/>
  <c r="H100" i="1"/>
  <c r="M99" i="1"/>
  <c r="L99" i="1"/>
  <c r="K99" i="1"/>
  <c r="J99" i="1"/>
  <c r="I99" i="1"/>
  <c r="H99" i="1"/>
  <c r="G99" i="1"/>
  <c r="F99" i="1"/>
  <c r="E99" i="1"/>
  <c r="D99" i="1"/>
  <c r="C99" i="1"/>
  <c r="B99" i="1"/>
  <c r="N99" i="1" s="1"/>
  <c r="M98" i="1"/>
  <c r="L98" i="1"/>
  <c r="L100" i="1" s="1"/>
  <c r="K98" i="1"/>
  <c r="K100" i="1" s="1"/>
  <c r="J98" i="1"/>
  <c r="J100" i="1" s="1"/>
  <c r="I98" i="1"/>
  <c r="I100" i="1" s="1"/>
  <c r="H98" i="1"/>
  <c r="G98" i="1"/>
  <c r="G100" i="1" s="1"/>
  <c r="F98" i="1"/>
  <c r="F100" i="1" s="1"/>
  <c r="E98" i="1"/>
  <c r="E100" i="1" s="1"/>
  <c r="D98" i="1"/>
  <c r="D100" i="1" s="1"/>
  <c r="C98" i="1"/>
  <c r="C100" i="1" s="1"/>
  <c r="B98" i="1"/>
  <c r="N98" i="1" s="1"/>
  <c r="N100" i="1" s="1"/>
  <c r="D95" i="1"/>
  <c r="M94" i="1"/>
  <c r="L94" i="1"/>
  <c r="K94" i="1"/>
  <c r="J94" i="1"/>
  <c r="I94" i="1"/>
  <c r="H94" i="1"/>
  <c r="G94" i="1"/>
  <c r="G104" i="1" s="1"/>
  <c r="F94" i="1"/>
  <c r="E94" i="1"/>
  <c r="D94" i="1"/>
  <c r="C94" i="1"/>
  <c r="B94" i="1"/>
  <c r="N94" i="1" s="1"/>
  <c r="M93" i="1"/>
  <c r="L93" i="1"/>
  <c r="K93" i="1"/>
  <c r="J93" i="1"/>
  <c r="I93" i="1"/>
  <c r="H93" i="1"/>
  <c r="G93" i="1"/>
  <c r="F93" i="1"/>
  <c r="E93" i="1"/>
  <c r="D93" i="1"/>
  <c r="C93" i="1"/>
  <c r="B93" i="1"/>
  <c r="N93" i="1" s="1"/>
  <c r="M91" i="1"/>
  <c r="L91" i="1"/>
  <c r="K91" i="1"/>
  <c r="J91" i="1"/>
  <c r="I91" i="1"/>
  <c r="H91" i="1"/>
  <c r="G91" i="1"/>
  <c r="F91" i="1"/>
  <c r="E91" i="1"/>
  <c r="D91" i="1"/>
  <c r="C91" i="1"/>
  <c r="B91" i="1"/>
  <c r="N91" i="1" s="1"/>
  <c r="M90" i="1"/>
  <c r="L90" i="1"/>
  <c r="K90" i="1"/>
  <c r="J90" i="1"/>
  <c r="I90" i="1"/>
  <c r="H90" i="1"/>
  <c r="G90" i="1"/>
  <c r="F90" i="1"/>
  <c r="E90" i="1"/>
  <c r="D90" i="1"/>
  <c r="C90" i="1"/>
  <c r="B90" i="1"/>
  <c r="N90" i="1" s="1"/>
  <c r="M89" i="1"/>
  <c r="L89" i="1"/>
  <c r="K89" i="1"/>
  <c r="J89" i="1"/>
  <c r="I89" i="1"/>
  <c r="H89" i="1"/>
  <c r="G89" i="1"/>
  <c r="F89" i="1"/>
  <c r="E89" i="1"/>
  <c r="D89" i="1"/>
  <c r="C89" i="1"/>
  <c r="B89" i="1"/>
  <c r="N89" i="1" s="1"/>
  <c r="M88" i="1"/>
  <c r="L88" i="1"/>
  <c r="K88" i="1"/>
  <c r="J88" i="1"/>
  <c r="I88" i="1"/>
  <c r="H88" i="1"/>
  <c r="G88" i="1"/>
  <c r="F88" i="1"/>
  <c r="E88" i="1"/>
  <c r="E95" i="1" s="1"/>
  <c r="D88" i="1"/>
  <c r="C88" i="1"/>
  <c r="B88" i="1"/>
  <c r="N88" i="1" s="1"/>
  <c r="M87" i="1"/>
  <c r="L87" i="1"/>
  <c r="K87" i="1"/>
  <c r="K95" i="1" s="1"/>
  <c r="J87" i="1"/>
  <c r="I87" i="1"/>
  <c r="H87" i="1"/>
  <c r="G87" i="1"/>
  <c r="F87" i="1"/>
  <c r="F95" i="1" s="1"/>
  <c r="E87" i="1"/>
  <c r="D87" i="1"/>
  <c r="C87" i="1"/>
  <c r="B87" i="1"/>
  <c r="N87" i="1" s="1"/>
  <c r="M86" i="1"/>
  <c r="L86" i="1"/>
  <c r="K86" i="1"/>
  <c r="J86" i="1"/>
  <c r="I86" i="1"/>
  <c r="H86" i="1"/>
  <c r="G86" i="1"/>
  <c r="F86" i="1"/>
  <c r="E86" i="1"/>
  <c r="D86" i="1"/>
  <c r="C86" i="1"/>
  <c r="B86" i="1"/>
  <c r="N86" i="1" s="1"/>
  <c r="M85" i="1"/>
  <c r="M95" i="1" s="1"/>
  <c r="L85" i="1"/>
  <c r="L95" i="1" s="1"/>
  <c r="K85" i="1"/>
  <c r="J85" i="1"/>
  <c r="J95" i="1" s="1"/>
  <c r="I85" i="1"/>
  <c r="I95" i="1" s="1"/>
  <c r="H85" i="1"/>
  <c r="H95" i="1" s="1"/>
  <c r="G85" i="1"/>
  <c r="G95" i="1" s="1"/>
  <c r="F85" i="1"/>
  <c r="E85" i="1"/>
  <c r="D85" i="1"/>
  <c r="C85" i="1"/>
  <c r="C95" i="1" s="1"/>
  <c r="B85" i="1"/>
  <c r="N85" i="1" s="1"/>
  <c r="N95" i="1" s="1"/>
  <c r="B82" i="1"/>
  <c r="M81" i="1"/>
  <c r="L81" i="1"/>
  <c r="K81" i="1"/>
  <c r="J81" i="1"/>
  <c r="I81" i="1"/>
  <c r="H81" i="1"/>
  <c r="G81" i="1"/>
  <c r="F81" i="1"/>
  <c r="E81" i="1"/>
  <c r="D81" i="1"/>
  <c r="C81" i="1"/>
  <c r="B81" i="1"/>
  <c r="N81" i="1" s="1"/>
  <c r="M80" i="1"/>
  <c r="L80" i="1"/>
  <c r="K80" i="1"/>
  <c r="K82" i="1" s="1"/>
  <c r="J80" i="1"/>
  <c r="I80" i="1"/>
  <c r="H80" i="1"/>
  <c r="G80" i="1"/>
  <c r="F80" i="1"/>
  <c r="E80" i="1"/>
  <c r="D80" i="1"/>
  <c r="C80" i="1"/>
  <c r="B80" i="1"/>
  <c r="N80" i="1" s="1"/>
  <c r="M78" i="1"/>
  <c r="L78" i="1"/>
  <c r="K78" i="1"/>
  <c r="J78" i="1"/>
  <c r="I78" i="1"/>
  <c r="H78" i="1"/>
  <c r="G78" i="1"/>
  <c r="F78" i="1"/>
  <c r="E78" i="1"/>
  <c r="D78" i="1"/>
  <c r="C78" i="1"/>
  <c r="B78" i="1"/>
  <c r="N78" i="1" s="1"/>
  <c r="M77" i="1"/>
  <c r="M82" i="1" s="1"/>
  <c r="L77" i="1"/>
  <c r="K77" i="1"/>
  <c r="J77" i="1"/>
  <c r="I77" i="1"/>
  <c r="H77" i="1"/>
  <c r="G77" i="1"/>
  <c r="F77" i="1"/>
  <c r="E77" i="1"/>
  <c r="D77" i="1"/>
  <c r="C77" i="1"/>
  <c r="B77" i="1"/>
  <c r="N77" i="1" s="1"/>
  <c r="M76" i="1"/>
  <c r="L76" i="1"/>
  <c r="K76" i="1"/>
  <c r="J76" i="1"/>
  <c r="I76" i="1"/>
  <c r="H76" i="1"/>
  <c r="G76" i="1"/>
  <c r="F76" i="1"/>
  <c r="E76" i="1"/>
  <c r="D76" i="1"/>
  <c r="C76" i="1"/>
  <c r="B76" i="1"/>
  <c r="N76" i="1" s="1"/>
  <c r="M75" i="1"/>
  <c r="L75" i="1"/>
  <c r="L82" i="1" s="1"/>
  <c r="K75" i="1"/>
  <c r="J75" i="1"/>
  <c r="I75" i="1"/>
  <c r="H75" i="1"/>
  <c r="G75" i="1"/>
  <c r="F75" i="1"/>
  <c r="E75" i="1"/>
  <c r="D75" i="1"/>
  <c r="C75" i="1"/>
  <c r="C82" i="1" s="1"/>
  <c r="B75" i="1"/>
  <c r="N75" i="1" s="1"/>
  <c r="M74" i="1"/>
  <c r="L74" i="1"/>
  <c r="K74" i="1"/>
  <c r="J74" i="1"/>
  <c r="J82" i="1" s="1"/>
  <c r="I74" i="1"/>
  <c r="I82" i="1" s="1"/>
  <c r="H74" i="1"/>
  <c r="H82" i="1" s="1"/>
  <c r="G74" i="1"/>
  <c r="G82" i="1" s="1"/>
  <c r="F74" i="1"/>
  <c r="F82" i="1" s="1"/>
  <c r="E74" i="1"/>
  <c r="E82" i="1" s="1"/>
  <c r="D74" i="1"/>
  <c r="D82" i="1" s="1"/>
  <c r="C74" i="1"/>
  <c r="B74" i="1"/>
  <c r="N74" i="1" s="1"/>
  <c r="N82" i="1" s="1"/>
  <c r="M66" i="1"/>
  <c r="L66" i="1"/>
  <c r="K66" i="1"/>
  <c r="J66" i="1"/>
  <c r="I66" i="1"/>
  <c r="H66" i="1"/>
  <c r="G66" i="1"/>
  <c r="F66" i="1"/>
  <c r="E66" i="1"/>
  <c r="D66" i="1"/>
  <c r="C66" i="1"/>
  <c r="B66" i="1"/>
  <c r="N66" i="1" s="1"/>
  <c r="J64" i="1"/>
  <c r="D64" i="1"/>
  <c r="C64" i="1"/>
  <c r="M63" i="1"/>
  <c r="L63" i="1"/>
  <c r="K63" i="1"/>
  <c r="J63" i="1"/>
  <c r="I63" i="1"/>
  <c r="H63" i="1"/>
  <c r="G63" i="1"/>
  <c r="F63" i="1"/>
  <c r="E63" i="1"/>
  <c r="D63" i="1"/>
  <c r="C63" i="1"/>
  <c r="B63" i="1"/>
  <c r="N63" i="1" s="1"/>
  <c r="M62" i="1"/>
  <c r="L62" i="1"/>
  <c r="L64" i="1" s="1"/>
  <c r="K62" i="1"/>
  <c r="J62" i="1"/>
  <c r="I62" i="1"/>
  <c r="I64" i="1" s="1"/>
  <c r="H62" i="1"/>
  <c r="G62" i="1"/>
  <c r="F62" i="1"/>
  <c r="E62" i="1"/>
  <c r="D62" i="1"/>
  <c r="C62" i="1"/>
  <c r="B62" i="1"/>
  <c r="B64" i="1" s="1"/>
  <c r="M61" i="1"/>
  <c r="M64" i="1" s="1"/>
  <c r="L61" i="1"/>
  <c r="K61" i="1"/>
  <c r="K64" i="1" s="1"/>
  <c r="J61" i="1"/>
  <c r="I61" i="1"/>
  <c r="H61" i="1"/>
  <c r="H64" i="1" s="1"/>
  <c r="G61" i="1"/>
  <c r="G64" i="1" s="1"/>
  <c r="F61" i="1"/>
  <c r="F64" i="1" s="1"/>
  <c r="E61" i="1"/>
  <c r="E64" i="1" s="1"/>
  <c r="D61" i="1"/>
  <c r="C61" i="1"/>
  <c r="B61" i="1"/>
  <c r="N61" i="1" s="1"/>
  <c r="M59" i="1"/>
  <c r="L59" i="1"/>
  <c r="K59" i="1"/>
  <c r="J59" i="1"/>
  <c r="I59" i="1"/>
  <c r="H59" i="1"/>
  <c r="G59" i="1"/>
  <c r="F59" i="1"/>
  <c r="E59" i="1"/>
  <c r="D59" i="1"/>
  <c r="C59" i="1"/>
  <c r="B59" i="1"/>
  <c r="N59" i="1" s="1"/>
  <c r="M58" i="1"/>
  <c r="L58" i="1"/>
  <c r="K58" i="1"/>
  <c r="J58" i="1"/>
  <c r="I58" i="1"/>
  <c r="H58" i="1"/>
  <c r="G58" i="1"/>
  <c r="F58" i="1"/>
  <c r="E58" i="1"/>
  <c r="D58" i="1"/>
  <c r="C58" i="1"/>
  <c r="B58" i="1"/>
  <c r="N58" i="1" s="1"/>
  <c r="M57" i="1"/>
  <c r="L57" i="1"/>
  <c r="K57" i="1"/>
  <c r="J57" i="1"/>
  <c r="I57" i="1"/>
  <c r="H57" i="1"/>
  <c r="G57" i="1"/>
  <c r="F57" i="1"/>
  <c r="E57" i="1"/>
  <c r="D57" i="1"/>
  <c r="C57" i="1"/>
  <c r="B57" i="1"/>
  <c r="N57" i="1" s="1"/>
  <c r="M56" i="1"/>
  <c r="L56" i="1"/>
  <c r="K56" i="1"/>
  <c r="J56" i="1"/>
  <c r="I56" i="1"/>
  <c r="H56" i="1"/>
  <c r="G56" i="1"/>
  <c r="F56" i="1"/>
  <c r="E56" i="1"/>
  <c r="D56" i="1"/>
  <c r="C56" i="1"/>
  <c r="B56" i="1"/>
  <c r="N56" i="1" s="1"/>
  <c r="M55" i="1"/>
  <c r="L55" i="1"/>
  <c r="K55" i="1"/>
  <c r="J55" i="1"/>
  <c r="I55" i="1"/>
  <c r="H55" i="1"/>
  <c r="G55" i="1"/>
  <c r="F55" i="1"/>
  <c r="E55" i="1"/>
  <c r="D55" i="1"/>
  <c r="C55" i="1"/>
  <c r="B55" i="1"/>
  <c r="N55" i="1" s="1"/>
  <c r="M54" i="1"/>
  <c r="L54" i="1"/>
  <c r="K54" i="1"/>
  <c r="J54" i="1"/>
  <c r="I54" i="1"/>
  <c r="H54" i="1"/>
  <c r="G54" i="1"/>
  <c r="F54" i="1"/>
  <c r="E54" i="1"/>
  <c r="D54" i="1"/>
  <c r="C54" i="1"/>
  <c r="B54" i="1"/>
  <c r="N54" i="1" s="1"/>
  <c r="M53" i="1"/>
  <c r="L53" i="1"/>
  <c r="K53" i="1"/>
  <c r="J53" i="1"/>
  <c r="I53" i="1"/>
  <c r="H53" i="1"/>
  <c r="G53" i="1"/>
  <c r="F53" i="1"/>
  <c r="E53" i="1"/>
  <c r="D53" i="1"/>
  <c r="C53" i="1"/>
  <c r="B53" i="1"/>
  <c r="N53" i="1" s="1"/>
  <c r="M52" i="1"/>
  <c r="L52" i="1"/>
  <c r="K52" i="1"/>
  <c r="J52" i="1"/>
  <c r="I52" i="1"/>
  <c r="H52" i="1"/>
  <c r="G52" i="1"/>
  <c r="F52" i="1"/>
  <c r="E52" i="1"/>
  <c r="D52" i="1"/>
  <c r="C52" i="1"/>
  <c r="B52" i="1"/>
  <c r="N52" i="1" s="1"/>
  <c r="M51" i="1"/>
  <c r="L51" i="1"/>
  <c r="K51" i="1"/>
  <c r="J51" i="1"/>
  <c r="I51" i="1"/>
  <c r="H51" i="1"/>
  <c r="G51" i="1"/>
  <c r="F51" i="1"/>
  <c r="E51" i="1"/>
  <c r="D51" i="1"/>
  <c r="C51" i="1"/>
  <c r="B51" i="1"/>
  <c r="N51" i="1" s="1"/>
  <c r="M50" i="1"/>
  <c r="L50" i="1"/>
  <c r="K50" i="1"/>
  <c r="J50" i="1"/>
  <c r="I50" i="1"/>
  <c r="H50" i="1"/>
  <c r="G50" i="1"/>
  <c r="F50" i="1"/>
  <c r="E50" i="1"/>
  <c r="D50" i="1"/>
  <c r="C50" i="1"/>
  <c r="B50" i="1"/>
  <c r="N50" i="1" s="1"/>
  <c r="M49" i="1"/>
  <c r="L49" i="1"/>
  <c r="K49" i="1"/>
  <c r="J49" i="1"/>
  <c r="I49" i="1"/>
  <c r="H49" i="1"/>
  <c r="G49" i="1"/>
  <c r="F49" i="1"/>
  <c r="E49" i="1"/>
  <c r="D49" i="1"/>
  <c r="C49" i="1"/>
  <c r="B49" i="1"/>
  <c r="N49" i="1" s="1"/>
  <c r="M48" i="1"/>
  <c r="L48" i="1"/>
  <c r="K48" i="1"/>
  <c r="J48" i="1"/>
  <c r="I48" i="1"/>
  <c r="H48" i="1"/>
  <c r="G48" i="1"/>
  <c r="G60" i="1" s="1"/>
  <c r="F48" i="1"/>
  <c r="E48" i="1"/>
  <c r="D48" i="1"/>
  <c r="C48" i="1"/>
  <c r="B48" i="1"/>
  <c r="B60" i="1" s="1"/>
  <c r="M47" i="1"/>
  <c r="L47" i="1"/>
  <c r="K47" i="1"/>
  <c r="J47" i="1"/>
  <c r="I47" i="1"/>
  <c r="H47" i="1"/>
  <c r="G47" i="1"/>
  <c r="F47" i="1"/>
  <c r="E47" i="1"/>
  <c r="D47" i="1"/>
  <c r="C47" i="1"/>
  <c r="B47" i="1"/>
  <c r="N47" i="1" s="1"/>
  <c r="M46" i="1"/>
  <c r="L46" i="1"/>
  <c r="K46" i="1"/>
  <c r="J46" i="1"/>
  <c r="I46" i="1"/>
  <c r="H46" i="1"/>
  <c r="G46" i="1"/>
  <c r="F46" i="1"/>
  <c r="E46" i="1"/>
  <c r="D46" i="1"/>
  <c r="D60" i="1" s="1"/>
  <c r="C46" i="1"/>
  <c r="B46" i="1"/>
  <c r="N46" i="1" s="1"/>
  <c r="M45" i="1"/>
  <c r="L45" i="1"/>
  <c r="K45" i="1"/>
  <c r="J45" i="1"/>
  <c r="I45" i="1"/>
  <c r="I60" i="1" s="1"/>
  <c r="H45" i="1"/>
  <c r="G45" i="1"/>
  <c r="F45" i="1"/>
  <c r="E45" i="1"/>
  <c r="D45" i="1"/>
  <c r="C45" i="1"/>
  <c r="B45" i="1"/>
  <c r="N45" i="1" s="1"/>
  <c r="M44" i="1"/>
  <c r="M60" i="1" s="1"/>
  <c r="L44" i="1"/>
  <c r="L60" i="1" s="1"/>
  <c r="K44" i="1"/>
  <c r="K60" i="1" s="1"/>
  <c r="J44" i="1"/>
  <c r="J60" i="1" s="1"/>
  <c r="I44" i="1"/>
  <c r="H44" i="1"/>
  <c r="H60" i="1" s="1"/>
  <c r="G44" i="1"/>
  <c r="F44" i="1"/>
  <c r="F60" i="1" s="1"/>
  <c r="E44" i="1"/>
  <c r="E60" i="1" s="1"/>
  <c r="D44" i="1"/>
  <c r="C44" i="1"/>
  <c r="C60" i="1" s="1"/>
  <c r="B44" i="1"/>
  <c r="N44" i="1" s="1"/>
  <c r="M43" i="1"/>
  <c r="L43" i="1"/>
  <c r="K43" i="1"/>
  <c r="J43" i="1"/>
  <c r="I43" i="1"/>
  <c r="H43" i="1"/>
  <c r="G43" i="1"/>
  <c r="F43" i="1"/>
  <c r="E43" i="1"/>
  <c r="D43" i="1"/>
  <c r="C43" i="1"/>
  <c r="B43" i="1"/>
  <c r="N43" i="1" s="1"/>
  <c r="N39" i="1"/>
  <c r="M39" i="1"/>
  <c r="L39" i="1"/>
  <c r="K39" i="1"/>
  <c r="J39" i="1"/>
  <c r="I39" i="1"/>
  <c r="H39" i="1"/>
  <c r="G39" i="1"/>
  <c r="F39" i="1"/>
  <c r="E39" i="1"/>
  <c r="D39" i="1"/>
  <c r="C39" i="1"/>
  <c r="B39" i="1"/>
  <c r="M37" i="1"/>
  <c r="L37" i="1"/>
  <c r="K37" i="1"/>
  <c r="J37" i="1"/>
  <c r="I37" i="1"/>
  <c r="H37" i="1"/>
  <c r="G37" i="1"/>
  <c r="F37" i="1"/>
  <c r="E37" i="1"/>
  <c r="D37" i="1"/>
  <c r="C37" i="1"/>
  <c r="B37" i="1"/>
  <c r="N37" i="1" s="1"/>
  <c r="M36" i="1"/>
  <c r="L36" i="1"/>
  <c r="K36" i="1"/>
  <c r="J36" i="1"/>
  <c r="I36" i="1"/>
  <c r="H36" i="1"/>
  <c r="G36" i="1"/>
  <c r="F36" i="1"/>
  <c r="E36" i="1"/>
  <c r="D36" i="1"/>
  <c r="C36" i="1"/>
  <c r="B36" i="1"/>
  <c r="N36" i="1" s="1"/>
  <c r="M35" i="1"/>
  <c r="L35" i="1"/>
  <c r="K35" i="1"/>
  <c r="J35" i="1"/>
  <c r="I35" i="1"/>
  <c r="H35" i="1"/>
  <c r="H120" i="1" s="1"/>
  <c r="G35" i="1"/>
  <c r="F35" i="1"/>
  <c r="E35" i="1"/>
  <c r="D35" i="1"/>
  <c r="C35" i="1"/>
  <c r="C120" i="1" s="1"/>
  <c r="B35" i="1"/>
  <c r="N35" i="1" s="1"/>
  <c r="M34" i="1"/>
  <c r="L34" i="1"/>
  <c r="K34" i="1"/>
  <c r="J34" i="1"/>
  <c r="I34" i="1"/>
  <c r="H34" i="1"/>
  <c r="G34" i="1"/>
  <c r="F34" i="1"/>
  <c r="E34" i="1"/>
  <c r="D34" i="1"/>
  <c r="C34" i="1"/>
  <c r="B34" i="1"/>
  <c r="N34" i="1" s="1"/>
  <c r="M33" i="1"/>
  <c r="L33" i="1"/>
  <c r="K33" i="1"/>
  <c r="J33" i="1"/>
  <c r="I33" i="1"/>
  <c r="H33" i="1"/>
  <c r="G33" i="1"/>
  <c r="F33" i="1"/>
  <c r="E33" i="1"/>
  <c r="D33" i="1"/>
  <c r="C33" i="1"/>
  <c r="B33" i="1"/>
  <c r="N33" i="1" s="1"/>
  <c r="K31" i="1"/>
  <c r="K38" i="1" s="1"/>
  <c r="F31" i="1"/>
  <c r="F38" i="1" s="1"/>
  <c r="M30" i="1"/>
  <c r="L30" i="1"/>
  <c r="K30" i="1"/>
  <c r="J30" i="1"/>
  <c r="I30" i="1"/>
  <c r="H30" i="1"/>
  <c r="G30" i="1"/>
  <c r="F30" i="1"/>
  <c r="E30" i="1"/>
  <c r="D30" i="1"/>
  <c r="C30" i="1"/>
  <c r="B30" i="1"/>
  <c r="N30" i="1" s="1"/>
  <c r="M29" i="1"/>
  <c r="L29" i="1"/>
  <c r="K29" i="1"/>
  <c r="J29" i="1"/>
  <c r="I29" i="1"/>
  <c r="H29" i="1"/>
  <c r="H31" i="1" s="1"/>
  <c r="H38" i="1" s="1"/>
  <c r="G29" i="1"/>
  <c r="F29" i="1"/>
  <c r="E29" i="1"/>
  <c r="D29" i="1"/>
  <c r="C29" i="1"/>
  <c r="B29" i="1"/>
  <c r="N29" i="1" s="1"/>
  <c r="M28" i="1"/>
  <c r="L28" i="1"/>
  <c r="K28" i="1"/>
  <c r="J28" i="1"/>
  <c r="I28" i="1"/>
  <c r="H28" i="1"/>
  <c r="G28" i="1"/>
  <c r="F28" i="1"/>
  <c r="E28" i="1"/>
  <c r="D28" i="1"/>
  <c r="C28" i="1"/>
  <c r="B28" i="1"/>
  <c r="N28" i="1" s="1"/>
  <c r="M27" i="1"/>
  <c r="L27" i="1"/>
  <c r="L31" i="1" s="1"/>
  <c r="L38" i="1" s="1"/>
  <c r="K27" i="1"/>
  <c r="J27" i="1"/>
  <c r="J31" i="1" s="1"/>
  <c r="J38" i="1" s="1"/>
  <c r="J40" i="1" s="1"/>
  <c r="I27" i="1"/>
  <c r="H27" i="1"/>
  <c r="G27" i="1"/>
  <c r="G31" i="1" s="1"/>
  <c r="G38" i="1" s="1"/>
  <c r="F27" i="1"/>
  <c r="E27" i="1"/>
  <c r="D27" i="1"/>
  <c r="C27" i="1"/>
  <c r="B27" i="1"/>
  <c r="N27" i="1" s="1"/>
  <c r="M26" i="1"/>
  <c r="M31" i="1" s="1"/>
  <c r="M38" i="1" s="1"/>
  <c r="L26" i="1"/>
  <c r="K26" i="1"/>
  <c r="J26" i="1"/>
  <c r="I26" i="1"/>
  <c r="I31" i="1" s="1"/>
  <c r="I38" i="1" s="1"/>
  <c r="H26" i="1"/>
  <c r="G26" i="1"/>
  <c r="F26" i="1"/>
  <c r="E26" i="1"/>
  <c r="E31" i="1" s="1"/>
  <c r="E38" i="1" s="1"/>
  <c r="E40" i="1" s="1"/>
  <c r="D26" i="1"/>
  <c r="D31" i="1" s="1"/>
  <c r="D38" i="1" s="1"/>
  <c r="D40" i="1" s="1"/>
  <c r="C26" i="1"/>
  <c r="C31" i="1" s="1"/>
  <c r="C38" i="1" s="1"/>
  <c r="C40" i="1" s="1"/>
  <c r="B26" i="1"/>
  <c r="B31" i="1" s="1"/>
  <c r="L24" i="1"/>
  <c r="L119" i="1" s="1"/>
  <c r="E24" i="1"/>
  <c r="E117" i="1" s="1"/>
  <c r="M23" i="1"/>
  <c r="L23" i="1"/>
  <c r="K23" i="1"/>
  <c r="J23" i="1"/>
  <c r="I23" i="1"/>
  <c r="H23" i="1"/>
  <c r="G23" i="1"/>
  <c r="F23" i="1"/>
  <c r="E23" i="1"/>
  <c r="D23" i="1"/>
  <c r="C23" i="1"/>
  <c r="B23" i="1"/>
  <c r="N23" i="1" s="1"/>
  <c r="M22" i="1"/>
  <c r="L22" i="1"/>
  <c r="K22" i="1"/>
  <c r="J22" i="1"/>
  <c r="I22" i="1"/>
  <c r="H22" i="1"/>
  <c r="G22" i="1"/>
  <c r="F22" i="1"/>
  <c r="E22" i="1"/>
  <c r="D22" i="1"/>
  <c r="C22" i="1"/>
  <c r="B22" i="1"/>
  <c r="N22" i="1" s="1"/>
  <c r="M21" i="1"/>
  <c r="L21" i="1"/>
  <c r="K21" i="1"/>
  <c r="J21" i="1"/>
  <c r="I21" i="1"/>
  <c r="H21" i="1"/>
  <c r="G21" i="1"/>
  <c r="F21" i="1"/>
  <c r="E21" i="1"/>
  <c r="D21" i="1"/>
  <c r="C21" i="1"/>
  <c r="B21" i="1"/>
  <c r="N21" i="1" s="1"/>
  <c r="M20" i="1"/>
  <c r="M118" i="1" s="1" a="1"/>
  <c r="M118" i="1" s="1"/>
  <c r="L20" i="1"/>
  <c r="K20" i="1"/>
  <c r="J20" i="1"/>
  <c r="I20" i="1"/>
  <c r="H20" i="1"/>
  <c r="G20" i="1"/>
  <c r="F20" i="1"/>
  <c r="F118" i="1" s="1" a="1"/>
  <c r="F118" i="1" s="1"/>
  <c r="E20" i="1"/>
  <c r="D20" i="1"/>
  <c r="D24" i="1" s="1"/>
  <c r="C20" i="1"/>
  <c r="B20" i="1"/>
  <c r="N20" i="1" s="1"/>
  <c r="M19" i="1"/>
  <c r="M120" i="1" s="1"/>
  <c r="L19" i="1"/>
  <c r="L120" i="1" s="1"/>
  <c r="K19" i="1"/>
  <c r="K120" i="1" s="1"/>
  <c r="J19" i="1"/>
  <c r="J120" i="1" s="1"/>
  <c r="I19" i="1"/>
  <c r="I118" i="1" s="1" a="1"/>
  <c r="I118" i="1" s="1"/>
  <c r="H19" i="1"/>
  <c r="H118" i="1" s="1" a="1"/>
  <c r="H118" i="1" s="1"/>
  <c r="G19" i="1"/>
  <c r="G24" i="1" s="1"/>
  <c r="F19" i="1"/>
  <c r="F120" i="1" s="1"/>
  <c r="E19" i="1"/>
  <c r="E118" i="1" s="1" a="1"/>
  <c r="E118" i="1" s="1"/>
  <c r="D19" i="1"/>
  <c r="D120" i="1" s="1"/>
  <c r="C19" i="1"/>
  <c r="C118" i="1" s="1" a="1"/>
  <c r="C118" i="1" s="1"/>
  <c r="B19" i="1"/>
  <c r="B120" i="1" s="1"/>
  <c r="M18" i="1"/>
  <c r="M24" i="1" s="1"/>
  <c r="L18" i="1"/>
  <c r="K18" i="1"/>
  <c r="K24" i="1" s="1"/>
  <c r="J18" i="1"/>
  <c r="J24" i="1" s="1"/>
  <c r="I18" i="1"/>
  <c r="I24" i="1" s="1"/>
  <c r="H18" i="1"/>
  <c r="H24" i="1" s="1"/>
  <c r="G18" i="1"/>
  <c r="F18" i="1"/>
  <c r="F24" i="1" s="1"/>
  <c r="E18" i="1"/>
  <c r="D18" i="1"/>
  <c r="C18" i="1"/>
  <c r="C24" i="1" s="1"/>
  <c r="B18" i="1"/>
  <c r="N18" i="1" s="1"/>
  <c r="N120" i="1" l="1"/>
  <c r="L40" i="1"/>
  <c r="N103" i="1"/>
  <c r="N104" i="1"/>
  <c r="C119" i="1"/>
  <c r="C41" i="1"/>
  <c r="C117" i="1"/>
  <c r="C116" i="1"/>
  <c r="M40" i="1"/>
  <c r="M41" i="1" s="1"/>
  <c r="D41" i="1"/>
  <c r="D117" i="1"/>
  <c r="D116" i="1"/>
  <c r="D119" i="1"/>
  <c r="N31" i="1"/>
  <c r="N38" i="1" s="1"/>
  <c r="B38" i="1"/>
  <c r="B40" i="1" s="1"/>
  <c r="N40" i="1"/>
  <c r="G119" i="1"/>
  <c r="G117" i="1"/>
  <c r="G116" i="1"/>
  <c r="N60" i="1"/>
  <c r="F40" i="1"/>
  <c r="F41" i="1" s="1"/>
  <c r="G40" i="1"/>
  <c r="G41" i="1" s="1"/>
  <c r="J119" i="1"/>
  <c r="J117" i="1"/>
  <c r="J116" i="1"/>
  <c r="J41" i="1"/>
  <c r="H40" i="1"/>
  <c r="H41" i="1" s="1"/>
  <c r="F116" i="1"/>
  <c r="F119" i="1"/>
  <c r="F117" i="1"/>
  <c r="K119" i="1"/>
  <c r="K117" i="1"/>
  <c r="K116" i="1"/>
  <c r="K41" i="1"/>
  <c r="I40" i="1"/>
  <c r="H119" i="1"/>
  <c r="H117" i="1"/>
  <c r="H116" i="1"/>
  <c r="I119" i="1"/>
  <c r="I117" i="1"/>
  <c r="I116" i="1"/>
  <c r="I41" i="1"/>
  <c r="M119" i="1"/>
  <c r="M117" i="1"/>
  <c r="M116" i="1"/>
  <c r="K40" i="1"/>
  <c r="N48" i="1"/>
  <c r="B108" i="1"/>
  <c r="D118" i="1" a="1"/>
  <c r="D118" i="1" s="1"/>
  <c r="J118" i="1" a="1"/>
  <c r="J118" i="1" s="1"/>
  <c r="E119" i="1"/>
  <c r="B24" i="1"/>
  <c r="N62" i="1"/>
  <c r="N64" i="1" s="1"/>
  <c r="E120" i="1"/>
  <c r="N26" i="1"/>
  <c r="L41" i="1"/>
  <c r="B95" i="1"/>
  <c r="K118" i="1" a="1"/>
  <c r="K118" i="1" s="1"/>
  <c r="G120" i="1"/>
  <c r="N113" i="1"/>
  <c r="N114" i="1" s="1"/>
  <c r="L116" i="1"/>
  <c r="L117" i="1"/>
  <c r="N101" i="1"/>
  <c r="G118" i="1" a="1"/>
  <c r="G118" i="1" s="1"/>
  <c r="E41" i="1"/>
  <c r="N102" i="1"/>
  <c r="B100" i="1"/>
  <c r="I120" i="1"/>
  <c r="N19" i="1"/>
  <c r="B118" i="1" a="1"/>
  <c r="B118" i="1" s="1"/>
  <c r="E116" i="1"/>
  <c r="G42" i="1" l="1"/>
  <c r="G65" i="1"/>
  <c r="G67" i="1" s="1"/>
  <c r="M42" i="1"/>
  <c r="M65" i="1"/>
  <c r="M67" i="1" s="1"/>
  <c r="H65" i="1"/>
  <c r="H67" i="1" s="1"/>
  <c r="H42" i="1"/>
  <c r="F42" i="1"/>
  <c r="F65" i="1"/>
  <c r="F67" i="1" s="1"/>
  <c r="K42" i="1"/>
  <c r="K65" i="1"/>
  <c r="K67" i="1" s="1"/>
  <c r="E42" i="1"/>
  <c r="E65" i="1"/>
  <c r="E67" i="1" s="1"/>
  <c r="I42" i="1"/>
  <c r="I65" i="1"/>
  <c r="I67" i="1" s="1"/>
  <c r="N118" i="1"/>
  <c r="J42" i="1"/>
  <c r="J65" i="1"/>
  <c r="J67" i="1" s="1"/>
  <c r="B119" i="1"/>
  <c r="N119" i="1" s="1"/>
  <c r="B117" i="1"/>
  <c r="N117" i="1" s="1"/>
  <c r="B116" i="1"/>
  <c r="N116" i="1" s="1"/>
  <c r="B41" i="1"/>
  <c r="N24" i="1"/>
  <c r="N41" i="1" s="1"/>
  <c r="D42" i="1"/>
  <c r="D65" i="1"/>
  <c r="D67" i="1" s="1"/>
  <c r="C42" i="1"/>
  <c r="C65" i="1"/>
  <c r="C67" i="1" s="1"/>
  <c r="L42" i="1"/>
  <c r="L65" i="1"/>
  <c r="L67" i="1" s="1"/>
  <c r="K68" i="1" l="1"/>
  <c r="K69" i="1"/>
  <c r="D69" i="1"/>
  <c r="D68" i="1"/>
  <c r="B42" i="1"/>
  <c r="B65" i="1"/>
  <c r="B67" i="1" s="1"/>
  <c r="F69" i="1"/>
  <c r="F68" i="1"/>
  <c r="L69" i="1"/>
  <c r="L68" i="1"/>
  <c r="E68" i="1"/>
  <c r="E69" i="1"/>
  <c r="N42" i="1"/>
  <c r="N65" i="1"/>
  <c r="N67" i="1" s="1"/>
  <c r="J69" i="1"/>
  <c r="J68" i="1"/>
  <c r="H69" i="1"/>
  <c r="H68" i="1"/>
  <c r="M68" i="1"/>
  <c r="M69" i="1"/>
  <c r="C69" i="1"/>
  <c r="C68" i="1"/>
  <c r="I69" i="1"/>
  <c r="I68" i="1"/>
  <c r="G69" i="1"/>
  <c r="G68" i="1"/>
  <c r="N69" i="1" l="1"/>
  <c r="N68" i="1"/>
  <c r="B69" i="1"/>
  <c r="B6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<sst xmlns="http://schemas.openxmlformats.org/spreadsheetml/2006/main" count="113" uniqueCount="110">
  <si>
    <t>Profit Center</t>
  </si>
  <si>
    <t>Logistics/VAS Warehousing</t>
  </si>
  <si>
    <t>Last refresh: 16/10/2025 11:07:18 am</t>
  </si>
  <si>
    <t>Logged in as: ALL (Full access)</t>
  </si>
  <si>
    <t>Currency</t>
  </si>
  <si>
    <t>DKK</t>
  </si>
  <si>
    <t>JAN</t>
  </si>
  <si>
    <t>FEB</t>
  </si>
  <si>
    <t>MAR</t>
  </si>
  <si>
    <t>APR</t>
  </si>
  <si>
    <t>MAY</t>
  </si>
  <si>
    <t>JUN</t>
  </si>
  <si>
    <t>JUL</t>
  </si>
  <si>
    <t>AUG</t>
  </si>
  <si>
    <t>SEP</t>
  </si>
  <si>
    <t>OCT</t>
  </si>
  <si>
    <t>NOV</t>
  </si>
  <si>
    <t>DEC</t>
  </si>
  <si>
    <t>TOTAL</t>
  </si>
  <si>
    <t>Revenue Freight</t>
  </si>
  <si>
    <t>Revenue - Value added service</t>
  </si>
  <si>
    <t>Revenue Logistics Handling</t>
  </si>
  <si>
    <t>Revenue Logistics Storage</t>
  </si>
  <si>
    <t>Revenue Logistics Other</t>
  </si>
  <si>
    <t>Other Revenue</t>
  </si>
  <si>
    <t>Revenue Total</t>
  </si>
  <si>
    <t>Freight Costs</t>
  </si>
  <si>
    <t>CoS - Value added service</t>
  </si>
  <si>
    <t>CoS Logistics Handling</t>
  </si>
  <si>
    <t>CoS Logistics Storage</t>
  </si>
  <si>
    <t>CoS Logistics Other</t>
  </si>
  <si>
    <t>CoS Total</t>
  </si>
  <si>
    <t>Housing - Lease and rent</t>
  </si>
  <si>
    <t>Housing - Other</t>
  </si>
  <si>
    <t>Equipment Total</t>
  </si>
  <si>
    <t>Outsource Total</t>
  </si>
  <si>
    <t>Claims and other</t>
  </si>
  <si>
    <t>Operational costs Logistics</t>
  </si>
  <si>
    <t>Total Staff Costs, blue collar - own</t>
  </si>
  <si>
    <t>Operational costs</t>
  </si>
  <si>
    <t>Gross Profit</t>
  </si>
  <si>
    <t>GP Margin (overall)</t>
  </si>
  <si>
    <t>Staff Costs, White Collar</t>
  </si>
  <si>
    <t>Other staff costs (training, education etc.)</t>
  </si>
  <si>
    <t>Travel costs</t>
  </si>
  <si>
    <t>Costs of entertainment</t>
  </si>
  <si>
    <t>Costs of property (Office lease, warehouse costs)</t>
  </si>
  <si>
    <t>Sales and marketing costs (advertising etc.)</t>
  </si>
  <si>
    <t>Vehicle costs (Leasing costs comp.car, gas, tyres)</t>
  </si>
  <si>
    <t>Office costs (Office supplies)</t>
  </si>
  <si>
    <t>Small investments (PC, furniture &lt; EUR 3,000 each)</t>
  </si>
  <si>
    <t>Telecommunication (Phone, Internet)</t>
  </si>
  <si>
    <t>Business adm.services (incl.insurance, SSC cost)</t>
  </si>
  <si>
    <t>IT costs (Software licenses, Group IT charges)</t>
  </si>
  <si>
    <t>Provision for bad debt, credit loss</t>
  </si>
  <si>
    <t>Credit insurance and other cost rel.to A/R and A/P</t>
  </si>
  <si>
    <t>Other costs of business</t>
  </si>
  <si>
    <t>Recharged Group Charges without mark-up</t>
  </si>
  <si>
    <t>Group Charges</t>
  </si>
  <si>
    <t>Other External Costs</t>
  </si>
  <si>
    <t>Shared Service Center</t>
  </si>
  <si>
    <t>Central Management</t>
  </si>
  <si>
    <t>Other Schenker Costs</t>
  </si>
  <si>
    <t>Allocated Costs</t>
  </si>
  <si>
    <t>EBITDA</t>
  </si>
  <si>
    <t>Total depreciations</t>
  </si>
  <si>
    <t>EBIT</t>
  </si>
  <si>
    <t>EBIT Margin</t>
  </si>
  <si>
    <t>Conversion Rate</t>
  </si>
  <si>
    <t>Contract Logistic Input Data &amp; KPI</t>
  </si>
  <si>
    <t>Schenker</t>
  </si>
  <si>
    <t>Space_Common</t>
  </si>
  <si>
    <t>Space_Storage_Aircon_Sqm</t>
  </si>
  <si>
    <t>Space_Storage_Non_Aircon_Sqm</t>
  </si>
  <si>
    <t>Space_Unutilized_Aircon_Sqm</t>
  </si>
  <si>
    <t>Space_Unutilized_Non_Aircon_Sqm</t>
  </si>
  <si>
    <t>DSV</t>
  </si>
  <si>
    <t>SQM - Warehouse</t>
  </si>
  <si>
    <t>SQM - Office</t>
  </si>
  <si>
    <t>Space Total</t>
  </si>
  <si>
    <t>FTE_Perm_Management</t>
  </si>
  <si>
    <t>FTE_Perm_Blue_Collar</t>
  </si>
  <si>
    <t>FTE_Perm_White_Collar</t>
  </si>
  <si>
    <t>FTE_Agency_Contract_Blue_Collar</t>
  </si>
  <si>
    <t>FTE_Agency_Contract_White_Collar</t>
  </si>
  <si>
    <t>FTE_Perm_Overtime</t>
  </si>
  <si>
    <t>FTE_Agency_Contract_Overtime</t>
  </si>
  <si>
    <t>FTE - Blue Collar</t>
  </si>
  <si>
    <t>FTE - White Collar</t>
  </si>
  <si>
    <t>FTE Total</t>
  </si>
  <si>
    <t>Orderlines - Inbound</t>
  </si>
  <si>
    <t>Orderlines - Outbound</t>
  </si>
  <si>
    <t>Orderlines - Total</t>
  </si>
  <si>
    <t>Overtime - Blue  Collar (DKK '000)</t>
  </si>
  <si>
    <t>Overtime - White  Collar (DKK '000)</t>
  </si>
  <si>
    <t>Overtime per FTE - Blue Collar (DKK)</t>
  </si>
  <si>
    <t>Overtime per FTE - White Collar (DKK)</t>
  </si>
  <si>
    <t>Working Hours - Handling Blue Collar</t>
  </si>
  <si>
    <t>Working Hours - Non-Handling Blue Collar</t>
  </si>
  <si>
    <t>Working Hours - Total Blue Collar</t>
  </si>
  <si>
    <t>Pallet places - Buffer</t>
  </si>
  <si>
    <t>Pallet places - Occupied</t>
  </si>
  <si>
    <t>Pallet places - Reserved</t>
  </si>
  <si>
    <t>Pallet places - Sellable</t>
  </si>
  <si>
    <t>Pallet places - Total</t>
  </si>
  <si>
    <t>Revenue per FTE</t>
  </si>
  <si>
    <t>Revenue per sqm (WH only)</t>
  </si>
  <si>
    <t>Revenue Logistic Handling, Storage + VAS Per Warehouse M2</t>
  </si>
  <si>
    <t>White Collar Factor</t>
  </si>
  <si>
    <t>Blue Collar Factor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</si>
</sst>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000"/>
    <numFmt numFmtId="165" formatCode="_(* #,##0_);_(* \(#,##0\);_(* &quot;-&quot;??_);_(@_)"/>
    <numFmt numFmtId="166" formatCode="0.0%"/>
    <numFmt numFmtId="167" formatCode="_(* #,##0.000_);_(* \(#,##0.000\);_(* &quot;-&quot;??_);_(@_)"/>
    <numFmt numFmtId="168" formatCode="0.0"/>
  </numFmts>
  <fonts count="21">
    <font>
      <sz val="11"/>
      <color theme="1"/>
      <name val="Calibri"/>
      <family val="2"/>
      <scheme val="minor"/>
    </font>
    <font>
      <sz val="11"/>
      <color theme="1"/>
      <name val="Calibri"/>
      <family val="2"/>
      <scheme val="minor"/>
    </font>
    <font>
      <sz val="11"/>
      <color rgb="FF000000"/>
      <name val="Calibri"/>
      <family val="2"/>
    </font>
    <font>
      <sz val="10"/>
      <color theme="1"/>
      <name val="DB Sans Comp"/>
      <family val="2"/>
    </font>
    <font>
      <sz val="8"/>
      <color rgb="FF1F497D"/>
      <name val="Verdana"/>
      <family val="2"/>
    </font>
    <font>
      <b/>
      <sz val="8"/>
      <name val="Verdana"/>
      <family val="2"/>
    </font>
    <font>
      <sz val="8"/>
      <name val="Verdana"/>
      <family val="2"/>
    </font>
    <font>
      <sz val="10"/>
      <color theme="0"/>
      <name val="DB Sans Comp"/>
      <family val="2"/>
    </font>
    <font>
      <sz val="10"/>
      <color rgb="FFFF0000"/>
      <name val="DB Sans Comp"/>
      <family val="2"/>
    </font>
    <font>
      <b/>
      <sz val="10"/>
      <color indexed="9"/>
      <name val="DB Sans Comp"/>
      <family val="2"/>
    </font>
    <font>
      <b/>
      <sz val="10"/>
      <name val="DB Sans Comp"/>
      <family val="2"/>
    </font>
    <font>
      <sz val="10"/>
      <color indexed="8"/>
      <name val="Arial"/>
      <family val="2"/>
    </font>
    <font>
      <b/>
      <sz val="10"/>
      <color indexed="8"/>
      <name val="DB Sans Comp"/>
      <family val="2"/>
    </font>
    <font>
      <b/>
      <sz val="10"/>
      <color theme="1"/>
      <name val="DB Sans Comp"/>
      <family val="2"/>
    </font>
    <font>
      <sz val="10"/>
      <color indexed="8"/>
      <name val="DB Sans Comp"/>
      <family val="2"/>
    </font>
    <font>
      <sz val="10"/>
      <name val="Arial"/>
      <family val="2"/>
    </font>
    <font>
      <i/>
      <sz val="10"/>
      <color indexed="8"/>
      <name val="DB Sans Comp"/>
      <family val="2"/>
    </font>
    <font>
      <i/>
      <sz val="10"/>
      <color theme="1"/>
      <name val="DB Sans Comp"/>
      <family val="2"/>
    </font>
    <font>
      <b/>
      <i/>
      <sz val="10"/>
      <color indexed="8"/>
      <name val="DB Sans Comp"/>
      <family val="2"/>
    </font>
    <font>
      <b/>
      <i/>
      <sz val="10"/>
      <color theme="1"/>
      <name val="DB Sans Comp"/>
      <family val="2"/>
    </font>
    <font>
      <b/>
      <i/>
      <sz val="10"/>
      <color theme="0"/>
      <name val="DB Sans Comp"/>
      <family val="2"/>
    </font>
  </fonts>
  <fills count="11">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rgb="FF002664"/>
        <bgColor indexed="64"/>
      </patternFill>
    </fill>
    <fill>
      <patternFill patternType="solid">
        <fgColor theme="0" tint="-4.9989318521683403E-2"/>
        <bgColor indexed="64"/>
      </patternFill>
    </fill>
    <fill>
      <patternFill patternType="solid">
        <fgColor theme="2"/>
        <bgColor indexed="64"/>
      </patternFill>
    </fill>
    <fill>
      <patternFill patternType="solid">
        <fgColor theme="0"/>
        <bgColor indexed="64"/>
      </patternFill>
    </fill>
    <fill>
      <patternFill patternType="solid">
        <fgColor indexed="9"/>
        <bgColor indexed="64"/>
      </patternFill>
    </fill>
    <fill>
      <patternFill patternType="solid">
        <fgColor rgb="FFCAE7EA"/>
        <bgColor indexed="64"/>
      </patternFill>
    </fill>
    <fill>
      <patternFill patternType="solid">
        <fgColor theme="0" tint="-0.14999847407452621"/>
        <bgColor indexed="64"/>
      </patternFill>
    </fill>
  </fills>
  <borders count="19">
    <border>
      <left/>
      <right/>
      <top/>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indexed="64"/>
      </left>
      <right style="thin">
        <color indexed="64"/>
      </right>
      <top style="thin">
        <color indexed="64"/>
      </top>
      <bottom style="thin">
        <color indexed="64"/>
      </bottom>
      <diagonal/>
    </border>
    <border>
      <left style="thick">
        <color indexed="9"/>
      </left>
      <right style="thick">
        <color indexed="9"/>
      </right>
      <top style="thick">
        <color indexed="9"/>
      </top>
      <bottom style="thick">
        <color indexed="9"/>
      </bottom>
      <diagonal/>
    </border>
    <border>
      <left style="medium">
        <color theme="0"/>
      </left>
      <right style="medium">
        <color theme="0"/>
      </right>
      <top/>
      <bottom/>
      <diagonal/>
    </border>
    <border>
      <left/>
      <right/>
      <top/>
      <bottom style="thin">
        <color indexed="64"/>
      </bottom>
      <diagonal/>
    </border>
    <border>
      <left style="medium">
        <color theme="0"/>
      </left>
      <right style="medium">
        <color theme="0"/>
      </right>
      <top/>
      <bottom style="thin">
        <color indexed="64"/>
      </bottom>
      <diagonal/>
    </border>
    <border>
      <left/>
      <right style="medium">
        <color theme="0"/>
      </right>
      <top/>
      <bottom style="thick">
        <color indexed="9"/>
      </bottom>
      <diagonal/>
    </border>
    <border>
      <left/>
      <right style="medium">
        <color theme="0"/>
      </right>
      <top style="thin">
        <color indexed="64"/>
      </top>
      <bottom/>
      <diagonal/>
    </border>
    <border>
      <left/>
      <right style="medium">
        <color theme="0"/>
      </right>
      <top/>
      <bottom/>
      <diagonal/>
    </border>
    <border>
      <left style="medium">
        <color theme="0"/>
      </left>
      <right style="medium">
        <color theme="0"/>
      </right>
      <top/>
      <bottom style="thick">
        <color indexed="9"/>
      </bottom>
      <diagonal/>
    </border>
    <border>
      <left/>
      <right style="medium">
        <color theme="0"/>
      </right>
      <top/>
      <bottom style="thin">
        <color indexed="64"/>
      </bottom>
      <diagonal/>
    </border>
    <border>
      <left/>
      <right/>
      <top style="thin">
        <color indexed="64"/>
      </top>
      <bottom style="thin">
        <color indexed="64"/>
      </bottom>
      <diagonal/>
    </border>
    <border>
      <left/>
      <right style="medium">
        <color theme="0"/>
      </right>
      <top style="thin">
        <color indexed="64"/>
      </top>
      <bottom style="thin">
        <color indexed="64"/>
      </bottom>
      <diagonal/>
    </border>
    <border>
      <left style="medium">
        <color theme="0"/>
      </left>
      <right style="medium">
        <color theme="0"/>
      </right>
      <top style="thin">
        <color indexed="64"/>
      </top>
      <bottom style="thin">
        <color indexed="64"/>
      </bottom>
      <diagonal/>
    </border>
    <border>
      <left style="thick">
        <color theme="0"/>
      </left>
      <right style="thick">
        <color theme="0"/>
      </right>
      <top/>
      <bottom/>
      <diagonal/>
    </border>
    <border>
      <left style="thick">
        <color theme="0"/>
      </left>
      <right style="thick">
        <color theme="0"/>
      </right>
      <top/>
      <bottom style="thin">
        <color indexed="64"/>
      </bottom>
      <diagonal/>
    </border>
    <border>
      <left/>
      <right/>
      <top style="thin">
        <color indexed="64"/>
      </top>
      <bottom/>
      <diagonal/>
    </border>
    <border>
      <left style="thick">
        <color theme="0"/>
      </left>
      <right style="thick">
        <color theme="0"/>
      </right>
      <top style="thin">
        <color indexed="64"/>
      </top>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164" fontId="4" fillId="0" borderId="1" applyNumberFormat="0" applyFill="0" applyBorder="0" applyAlignment="0" applyProtection="0">
      <alignment horizontal="right" vertical="center"/>
    </xf>
    <xf numFmtId="0" fontId="11" fillId="0" borderId="0"/>
    <xf numFmtId="43" fontId="1" fillId="0" borderId="0" applyFont="0" applyFill="0" applyBorder="0" applyAlignment="0" applyProtection="0"/>
    <xf numFmtId="43" fontId="1" fillId="0" borderId="0" applyFont="0" applyFill="0" applyBorder="0" applyAlignment="0" applyProtection="0"/>
    <xf numFmtId="0" fontId="15"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84">
    <xf numFmtId="0" fontId="0" fillId="0" borderId="0" xfId="0"/>
    <xf numFmtId="0" fontId="3" fillId="0" borderId="0" xfId="0" applyFont="1"/>
    <xf numFmtId="0" fontId="5" fillId="0" borderId="2" xfId="3" applyNumberFormat="1" applyFont="1" applyBorder="1" applyAlignment="1"/>
    <xf numFmtId="0" fontId="6" fillId="2" borderId="2" xfId="3" applyNumberFormat="1" applyFont="1" applyFill="1" applyBorder="1" applyAlignment="1"/>
    <xf numFmtId="0" fontId="5" fillId="0" borderId="0" xfId="3" applyNumberFormat="1" applyFont="1" applyFill="1" applyBorder="1" applyAlignment="1"/>
    <xf numFmtId="0" fontId="6" fillId="0" borderId="0" xfId="3" applyNumberFormat="1" applyFont="1" applyFill="1" applyBorder="1" applyAlignment="1"/>
    <xf numFmtId="0" fontId="3" fillId="3" borderId="0" xfId="0" applyFont="1" applyFill="1"/>
    <xf numFmtId="0" fontId="7" fillId="0" borderId="0" xfId="0" applyFont="1"/>
    <xf numFmtId="0" fontId="8" fillId="0" borderId="0" xfId="0" applyFont="1"/>
    <xf numFmtId="0" fontId="9" fillId="4" borderId="3" xfId="0" applyFont="1" applyFill="1" applyBorder="1" applyAlignment="1">
      <alignment horizontal="center"/>
    </xf>
    <xf numFmtId="0" fontId="10" fillId="5" borderId="3" xfId="0" applyFont="1" applyFill="1" applyBorder="1" applyAlignment="1">
      <alignment horizontal="center"/>
    </xf>
    <xf numFmtId="165" fontId="3" fillId="0" borderId="0" xfId="1" applyNumberFormat="1" applyFont="1"/>
    <xf numFmtId="165" fontId="3" fillId="5" borderId="4" xfId="0" applyNumberFormat="1" applyFont="1" applyFill="1" applyBorder="1"/>
    <xf numFmtId="0" fontId="3" fillId="0" borderId="5" xfId="0" applyFont="1" applyBorder="1"/>
    <xf numFmtId="165" fontId="3" fillId="0" borderId="5" xfId="1" applyNumberFormat="1" applyFont="1" applyBorder="1"/>
    <xf numFmtId="165" fontId="3" fillId="5" borderId="6" xfId="0" applyNumberFormat="1" applyFont="1" applyFill="1" applyBorder="1"/>
    <xf numFmtId="0" fontId="12" fillId="6" borderId="0" xfId="4" applyFont="1" applyFill="1"/>
    <xf numFmtId="165" fontId="12" fillId="6" borderId="7" xfId="5" applyNumberFormat="1" applyFont="1" applyFill="1" applyBorder="1"/>
    <xf numFmtId="165" fontId="13" fillId="6" borderId="4" xfId="0" applyNumberFormat="1" applyFont="1" applyFill="1" applyBorder="1"/>
    <xf numFmtId="0" fontId="12" fillId="7" borderId="0" xfId="4" applyFont="1" applyFill="1"/>
    <xf numFmtId="165" fontId="12" fillId="7" borderId="0" xfId="5" applyNumberFormat="1" applyFont="1" applyFill="1"/>
    <xf numFmtId="165" fontId="13" fillId="7" borderId="4" xfId="0" applyNumberFormat="1" applyFont="1" applyFill="1" applyBorder="1"/>
    <xf numFmtId="0" fontId="12" fillId="0" borderId="0" xfId="4" applyFont="1"/>
    <xf numFmtId="165" fontId="12" fillId="8" borderId="8" xfId="5" applyNumberFormat="1" applyFont="1" applyFill="1" applyBorder="1"/>
    <xf numFmtId="165" fontId="12" fillId="5" borderId="8" xfId="5" applyNumberFormat="1" applyFont="1" applyFill="1" applyBorder="1"/>
    <xf numFmtId="165" fontId="12" fillId="8" borderId="0" xfId="5" applyNumberFormat="1" applyFont="1" applyFill="1" applyBorder="1"/>
    <xf numFmtId="165" fontId="12" fillId="8" borderId="9" xfId="5" applyNumberFormat="1" applyFont="1" applyFill="1" applyBorder="1"/>
    <xf numFmtId="165" fontId="12" fillId="5" borderId="9" xfId="5" applyNumberFormat="1" applyFont="1" applyFill="1" applyBorder="1"/>
    <xf numFmtId="165" fontId="14" fillId="8" borderId="10" xfId="6" applyNumberFormat="1" applyFont="1" applyFill="1" applyBorder="1"/>
    <xf numFmtId="165" fontId="14" fillId="8" borderId="6" xfId="6" applyNumberFormat="1" applyFont="1" applyFill="1" applyBorder="1"/>
    <xf numFmtId="0" fontId="14" fillId="0" borderId="0" xfId="4" applyFont="1"/>
    <xf numFmtId="165" fontId="3" fillId="5" borderId="0" xfId="0" applyNumberFormat="1" applyFont="1" applyFill="1"/>
    <xf numFmtId="0" fontId="13" fillId="0" borderId="0" xfId="0" applyFont="1"/>
    <xf numFmtId="165" fontId="12" fillId="8" borderId="11" xfId="5" applyNumberFormat="1" applyFont="1" applyFill="1" applyBorder="1"/>
    <xf numFmtId="165" fontId="13" fillId="5" borderId="6" xfId="0" applyNumberFormat="1" applyFont="1" applyFill="1" applyBorder="1"/>
    <xf numFmtId="0" fontId="12" fillId="0" borderId="12" xfId="4" applyFont="1" applyBorder="1"/>
    <xf numFmtId="165" fontId="13" fillId="0" borderId="13" xfId="0" applyNumberFormat="1" applyFont="1" applyBorder="1"/>
    <xf numFmtId="165" fontId="13" fillId="5" borderId="14" xfId="0" applyNumberFormat="1" applyFont="1" applyFill="1" applyBorder="1"/>
    <xf numFmtId="0" fontId="16" fillId="8" borderId="15" xfId="7" applyFont="1" applyFill="1" applyBorder="1"/>
    <xf numFmtId="166" fontId="17" fillId="0" borderId="15" xfId="2" applyNumberFormat="1" applyFont="1" applyBorder="1"/>
    <xf numFmtId="166" fontId="17" fillId="5" borderId="15" xfId="2" applyNumberFormat="1" applyFont="1" applyFill="1" applyBorder="1"/>
    <xf numFmtId="0" fontId="14" fillId="8" borderId="0" xfId="7" applyFont="1" applyFill="1"/>
    <xf numFmtId="165" fontId="3" fillId="5" borderId="15" xfId="0" applyNumberFormat="1" applyFont="1" applyFill="1" applyBorder="1"/>
    <xf numFmtId="49" fontId="12" fillId="0" borderId="11" xfId="8" applyNumberFormat="1" applyFont="1" applyFill="1" applyBorder="1" applyAlignment="1"/>
    <xf numFmtId="165" fontId="12" fillId="0" borderId="11" xfId="9" applyNumberFormat="1" applyFont="1" applyFill="1" applyBorder="1"/>
    <xf numFmtId="165" fontId="3" fillId="5" borderId="16" xfId="0" applyNumberFormat="1" applyFont="1" applyFill="1" applyBorder="1"/>
    <xf numFmtId="165" fontId="3" fillId="0" borderId="9" xfId="0" applyNumberFormat="1" applyFont="1" applyBorder="1"/>
    <xf numFmtId="0" fontId="12" fillId="0" borderId="5" xfId="4" applyFont="1" applyBorder="1"/>
    <xf numFmtId="165" fontId="3" fillId="0" borderId="11" xfId="0" applyNumberFormat="1" applyFont="1" applyBorder="1"/>
    <xf numFmtId="0" fontId="13" fillId="0" borderId="17" xfId="0" applyFont="1" applyBorder="1"/>
    <xf numFmtId="165" fontId="3" fillId="5" borderId="18" xfId="0" applyNumberFormat="1" applyFont="1" applyFill="1" applyBorder="1"/>
    <xf numFmtId="165" fontId="3" fillId="0" borderId="0" xfId="0" applyNumberFormat="1" applyFont="1"/>
    <xf numFmtId="0" fontId="13" fillId="0" borderId="5" xfId="0" applyFont="1" applyBorder="1"/>
    <xf numFmtId="165" fontId="3" fillId="0" borderId="5" xfId="0" applyNumberFormat="1" applyFont="1" applyBorder="1"/>
    <xf numFmtId="0" fontId="18" fillId="8" borderId="15" xfId="7" applyFont="1" applyFill="1" applyBorder="1" applyAlignment="1">
      <alignment vertical="center" wrapText="1"/>
    </xf>
    <xf numFmtId="166" fontId="17" fillId="0" borderId="15" xfId="2" applyNumberFormat="1" applyFont="1" applyBorder="1" applyAlignment="1">
      <alignment vertical="center"/>
    </xf>
    <xf numFmtId="166" fontId="19" fillId="5" borderId="15" xfId="2" applyNumberFormat="1" applyFont="1" applyFill="1" applyBorder="1" applyAlignment="1">
      <alignment vertical="center"/>
    </xf>
    <xf numFmtId="0" fontId="20" fillId="4" borderId="0" xfId="0" applyFont="1" applyFill="1" applyAlignment="1">
      <alignment wrapText="1"/>
    </xf>
    <xf numFmtId="0" fontId="13" fillId="4" borderId="0" xfId="0" applyFont="1" applyFill="1"/>
    <xf numFmtId="0" fontId="20" fillId="0" borderId="0" xfId="0" applyFont="1" applyAlignment="1">
      <alignment wrapText="1"/>
    </xf>
    <xf numFmtId="0" fontId="19" fillId="9" borderId="0" xfId="0" applyFont="1" applyFill="1" applyAlignment="1">
      <alignment wrapText="1"/>
    </xf>
    <xf numFmtId="165" fontId="17" fillId="5" borderId="15" xfId="0" applyNumberFormat="1" applyFont="1" applyFill="1" applyBorder="1"/>
    <xf numFmtId="165" fontId="14" fillId="8" borderId="7" xfId="8" applyNumberFormat="1" applyFont="1" applyFill="1" applyBorder="1" applyAlignment="1"/>
    <xf numFmtId="165" fontId="18" fillId="3" borderId="7" xfId="8" applyNumberFormat="1" applyFont="1" applyFill="1" applyBorder="1" applyAlignment="1"/>
    <xf numFmtId="165" fontId="3" fillId="3" borderId="0" xfId="1" applyNumberFormat="1" applyFont="1" applyFill="1"/>
    <xf numFmtId="165" fontId="17" fillId="5" borderId="0" xfId="0" applyNumberFormat="1" applyFont="1" applyFill="1"/>
    <xf numFmtId="165" fontId="3" fillId="0" borderId="0" xfId="1" applyNumberFormat="1" applyFont="1" applyAlignment="1">
      <alignment horizontal="right"/>
    </xf>
    <xf numFmtId="49" fontId="12" fillId="10" borderId="7" xfId="8" applyNumberFormat="1" applyFont="1" applyFill="1" applyBorder="1" applyAlignment="1"/>
    <xf numFmtId="165" fontId="12" fillId="10" borderId="7" xfId="10" applyNumberFormat="1" applyFont="1" applyFill="1" applyBorder="1"/>
    <xf numFmtId="165" fontId="12" fillId="0" borderId="0" xfId="10" applyNumberFormat="1" applyFont="1" applyFill="1" applyBorder="1"/>
    <xf numFmtId="0" fontId="13" fillId="9" borderId="0" xfId="0" applyFont="1" applyFill="1"/>
    <xf numFmtId="165" fontId="12" fillId="10" borderId="7" xfId="9" applyNumberFormat="1" applyFont="1" applyFill="1" applyBorder="1"/>
    <xf numFmtId="49" fontId="12" fillId="0" borderId="7" xfId="8" applyNumberFormat="1" applyFont="1" applyFill="1" applyBorder="1" applyAlignment="1"/>
    <xf numFmtId="165" fontId="12" fillId="0" borderId="0" xfId="9" applyNumberFormat="1" applyFont="1" applyFill="1" applyBorder="1"/>
    <xf numFmtId="0" fontId="16" fillId="0" borderId="15" xfId="7" applyFont="1" applyBorder="1"/>
    <xf numFmtId="43" fontId="17" fillId="0" borderId="15" xfId="0" applyNumberFormat="1" applyFont="1" applyBorder="1"/>
    <xf numFmtId="165" fontId="17" fillId="0" borderId="15" xfId="0" applyNumberFormat="1" applyFont="1" applyBorder="1"/>
    <xf numFmtId="49" fontId="12" fillId="0" borderId="0" xfId="8" applyNumberFormat="1" applyFont="1" applyFill="1" applyBorder="1" applyAlignment="1"/>
    <xf numFmtId="165" fontId="14" fillId="0" borderId="0" xfId="9" applyNumberFormat="1" applyFont="1" applyFill="1" applyBorder="1"/>
    <xf numFmtId="165" fontId="18" fillId="0" borderId="7" xfId="8" applyNumberFormat="1" applyFont="1" applyFill="1" applyBorder="1" applyAlignment="1"/>
    <xf numFmtId="165" fontId="3" fillId="0" borderId="0" xfId="1" applyNumberFormat="1" applyFont="1" applyFill="1"/>
    <xf numFmtId="167" fontId="3" fillId="0" borderId="0" xfId="1" applyNumberFormat="1" applyFont="1"/>
    <xf numFmtId="168" fontId="13" fillId="0" borderId="0" xfId="0" applyNumberFormat="1" applyFont="1"/>
    <xf numFmtId="165" fontId="19" fillId="5" borderId="15" xfId="0" applyNumberFormat="1" applyFont="1" applyFill="1" applyBorder="1"/>
  </cellXfs>
  <cellStyles count="11">
    <cellStyle name="Comma" xfId="1" builtinId="3"/>
    <cellStyle name="Comma 10" xfId="10" xr:uid="{0BA8BCA2-632A-41A7-A380-CF1BBEB30148}"/>
    <cellStyle name="Comma 11" xfId="9" xr:uid="{FFF09F9A-0109-490F-A35D-9AE5D19661F5}"/>
    <cellStyle name="Comma 3" xfId="6" xr:uid="{062977E9-9338-414D-A3DE-A0FB4B75186B}"/>
    <cellStyle name="Comma 5" xfId="5" xr:uid="{7D2E9B46-345E-43A1-AFE9-B1FD15A7C12A}"/>
    <cellStyle name="Comma 9" xfId="8" xr:uid="{AD93C2DF-9B4D-43EC-AF48-ADC8C193A4ED}"/>
    <cellStyle name="Normal" xfId="0" builtinId="0"/>
    <cellStyle name="Normal_Sheet1_1" xfId="7" xr:uid="{EC73A222-A708-4108-9BF2-E066C975081B}"/>
    <cellStyle name="Normal_Sheet2" xfId="4" xr:uid="{C75D1808-CA36-44A0-BE7E-6626E3ED4CE3}"/>
    <cellStyle name="Percent" xfId="2" builtinId="5"/>
    <cellStyle name="SAPFormula" xfId="3" xr:uid="{4DED70CF-2386-4218-BE36-7EA608F154D3}"/>
  </cellStyles>
  <dxfs count="4">
    <dxf>
      <font>
        <b/>
        <i val="0"/>
        <color rgb="FFFF0000"/>
      </font>
    </dxf>
    <dxf>
      <font>
        <color auto="1"/>
      </font>
      <fill>
        <patternFill>
          <bgColor rgb="FFFF0000"/>
        </patternFill>
      </fill>
    </dxf>
    <dxf>
      <font>
        <b/>
        <i val="0"/>
        <color theme="0"/>
      </font>
      <fill>
        <patternFill>
          <bgColor rgb="FF002664"/>
        </patternFill>
      </fill>
      <border>
        <bottom style="thin">
          <color theme="0" tint="-0.34998626667073579"/>
        </bottom>
        <vertical/>
        <horizontal/>
      </border>
    </dxf>
    <dxf>
      <font>
        <sz val="8"/>
        <color auto="1"/>
        <name val="Arial"/>
        <family val="2"/>
        <scheme val="none"/>
      </font>
      <border diagonalUp="0" diagonalDown="0">
        <left/>
        <right/>
        <top/>
        <bottom/>
        <vertical/>
        <horizontal/>
      </border>
    </dxf>
  </dxfs>
  <tableStyles count="1" defaultTableStyle="TableStyleMedium2" defaultPivotStyle="PivotStyleLight16">
    <tableStyle name="DSV" pivot="0" table="0" count="10" xr9:uid="{6324CBCA-CA42-46F8-8098-A096215A0880}">
      <tableStyleElement type="wholeTable" dxfId="3"/>
      <tableStyleElement type="headerRow" dxfId="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0" tint="-0.499984740745262"/>
          </font>
          <fill>
            <patternFill patternType="solid">
              <fgColor theme="0" tint="-0.14993743705557422"/>
              <bgColor theme="0" tint="-0.14996795556505021"/>
            </patternFill>
          </fill>
          <border diagonalUp="0" diagonalDown="0">
            <left/>
            <right/>
            <top/>
            <bottom/>
            <vertical/>
            <horizontal/>
          </border>
        </dxf>
        <dxf>
          <font>
            <b/>
            <i val="0"/>
            <color rgb="FF000000"/>
          </font>
          <fill>
            <patternFill patternType="solid">
              <fgColor theme="0" tint="-0.249977111117893"/>
              <bgColor theme="0" tint="-0.14996795556505021"/>
            </patternFill>
          </fill>
          <border diagonalUp="0" diagonalDown="0">
            <left/>
            <right/>
            <top/>
            <bottom/>
            <vertical/>
            <horizontal/>
          </border>
        </dxf>
        <dxf>
          <font>
            <color rgb="FF959595"/>
          </font>
          <fill>
            <patternFill patternType="solid">
              <fgColor theme="0"/>
              <bgColor theme="2" tint="0.79998168889431442"/>
            </patternFill>
          </fill>
          <border diagonalUp="0" diagonalDown="0">
            <left/>
            <right/>
            <top/>
            <bottom/>
            <vertical/>
            <horizontal/>
          </border>
        </dxf>
        <dxf>
          <font>
            <b val="0"/>
            <i val="0"/>
            <color rgb="FF000000"/>
          </font>
          <fill>
            <patternFill patternType="solid">
              <fgColor theme="0"/>
              <bgColor theme="2" tint="0.7999816888943144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DSV">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microsoft.com/office/2007/relationships/slicerCache" Target="slicerCaches/slicerCache10.xml"/><Relationship Id="rId18" Type="http://schemas.openxmlformats.org/officeDocument/2006/relationships/calcChain" Target="calcChain.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microsoft.com/office/2007/relationships/slicerCache" Target="slicerCaches/slicerCache9.xml"/><Relationship Id="rId17" Type="http://schemas.openxmlformats.org/officeDocument/2006/relationships/sheetMetadata" Target="metadata.xml"/><Relationship Id="rId2" Type="http://schemas.openxmlformats.org/officeDocument/2006/relationships/externalLink" Target="externalLinks/externalLink1.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3.xml"/><Relationship Id="rId11" Type="http://schemas.microsoft.com/office/2007/relationships/slicerCache" Target="slicerCaches/slicerCache8.xml"/><Relationship Id="rId5" Type="http://schemas.microsoft.com/office/2007/relationships/slicerCache" Target="slicerCaches/slicerCache2.xml"/><Relationship Id="rId15" Type="http://schemas.openxmlformats.org/officeDocument/2006/relationships/styles" Target="styles.xml"/><Relationship Id="rId10" Type="http://schemas.microsoft.com/office/2007/relationships/slicerCache" Target="slicerCaches/slicerCache7.xml"/><Relationship Id="rId4" Type="http://schemas.microsoft.com/office/2007/relationships/slicerCache" Target="slicerCaches/slicerCache1.xml"/><Relationship Id="rId9" Type="http://schemas.microsoft.com/office/2007/relationships/slicerCache" Target="slicerCaches/slicerCache6.xml"/><Relationship Id="rId14" Type="http://schemas.openxmlformats.org/officeDocument/2006/relationships/theme" Target="theme/theme1.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5852582" cy="505267"/>
    <xdr:sp macro="" textlink="">
      <xdr:nvSpPr>
        <xdr:cNvPr id="2" name="TextBox 1">
          <a:extLst>
            <a:ext uri="{FF2B5EF4-FFF2-40B4-BE49-F238E27FC236}">
              <a16:creationId xmlns:a16="http://schemas.microsoft.com/office/drawing/2014/main" id="{486ED496-D6D5-409B-80DD-ABEC7926B815}"/>
            </a:ext>
          </a:extLst>
        </xdr:cNvPr>
        <xdr:cNvSpPr txBox="1"/>
      </xdr:nvSpPr>
      <xdr:spPr>
        <a:xfrm>
          <a:off x="0" y="0"/>
          <a:ext cx="5852582" cy="505267"/>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2800" b="1">
              <a:latin typeface="DB Office" pitchFamily="34" charset="0"/>
            </a:rPr>
            <a:t>PLCM - P&amp;L Consolidated Model</a:t>
          </a:r>
          <a:endParaRPr lang="en-US" sz="2800" b="1" baseline="0">
            <a:latin typeface="DB Office" pitchFamily="34" charset="0"/>
          </a:endParaRPr>
        </a:p>
      </xdr:txBody>
    </xdr:sp>
    <xdr:clientData/>
  </xdr:oneCellAnchor>
  <xdr:twoCellAnchor editAs="absolute">
    <xdr:from>
      <xdr:col>9</xdr:col>
      <xdr:colOff>407448</xdr:colOff>
      <xdr:row>4</xdr:row>
      <xdr:rowOff>137939</xdr:rowOff>
    </xdr:from>
    <xdr:to>
      <xdr:col>10</xdr:col>
      <xdr:colOff>1083370</xdr:colOff>
      <xdr:row>12</xdr:row>
      <xdr:rowOff>40100</xdr:rowOff>
    </xdr:to>
    <mc:AlternateContent xmlns:mc="http://schemas.openxmlformats.org/markup-compatibility/2006">
      <mc:Choice xmlns:a14="http://schemas.microsoft.com/office/drawing/2010/main" Requires="a14">
        <xdr:graphicFrame macro="">
          <xdr:nvGraphicFramePr>
            <xdr:cNvPr id="3" name="Contract Name 1">
              <a:extLst>
                <a:ext uri="{FF2B5EF4-FFF2-40B4-BE49-F238E27FC236}">
                  <a16:creationId xmlns:a16="http://schemas.microsoft.com/office/drawing/2014/main" id="{8F10D3F1-73D8-4911-A70E-1AA28FE3FD30}"/>
                </a:ext>
              </a:extLst>
            </xdr:cNvPr>
            <xdr:cNvGraphicFramePr/>
          </xdr:nvGraphicFramePr>
          <xdr:xfrm>
            <a:off x="0" y="0"/>
            <a:ext cx="0" cy="0"/>
          </xdr:xfrm>
          <a:graphic>
            <a:graphicData uri="http://schemas.microsoft.com/office/drawing/2010/slicer">
              <sle:slicer xmlns:sle="http://schemas.microsoft.com/office/drawing/2010/slicer" name="Contract Name 1"/>
            </a:graphicData>
          </a:graphic>
        </xdr:graphicFrame>
      </mc:Choice>
      <mc:Fallback>
        <xdr:sp macro="" textlink="">
          <xdr:nvSpPr>
            <xdr:cNvPr id="0" name=""/>
            <xdr:cNvSpPr>
              <a:spLocks noTextEdit="1"/>
            </xdr:cNvSpPr>
          </xdr:nvSpPr>
          <xdr:spPr>
            <a:xfrm>
              <a:off x="11142290" y="886571"/>
              <a:ext cx="1798869" cy="1399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827962</xdr:colOff>
      <xdr:row>4</xdr:row>
      <xdr:rowOff>135116</xdr:rowOff>
    </xdr:from>
    <xdr:to>
      <xdr:col>9</xdr:col>
      <xdr:colOff>347831</xdr:colOff>
      <xdr:row>12</xdr:row>
      <xdr:rowOff>33163</xdr:rowOff>
    </xdr:to>
    <mc:AlternateContent xmlns:mc="http://schemas.openxmlformats.org/markup-compatibility/2006">
      <mc:Choice xmlns:a14="http://schemas.microsoft.com/office/drawing/2010/main" Requires="a14">
        <xdr:graphicFrame macro="">
          <xdr:nvGraphicFramePr>
            <xdr:cNvPr id="4" name="LFS Branch 1">
              <a:extLst>
                <a:ext uri="{FF2B5EF4-FFF2-40B4-BE49-F238E27FC236}">
                  <a16:creationId xmlns:a16="http://schemas.microsoft.com/office/drawing/2014/main" id="{CCE1FF80-61C1-43EE-A0BD-50841FCCD381}"/>
                </a:ext>
              </a:extLst>
            </xdr:cNvPr>
            <xdr:cNvGraphicFramePr/>
          </xdr:nvGraphicFramePr>
          <xdr:xfrm>
            <a:off x="0" y="0"/>
            <a:ext cx="0" cy="0"/>
          </xdr:xfrm>
          <a:graphic>
            <a:graphicData uri="http://schemas.microsoft.com/office/drawing/2010/slicer">
              <sle:slicer xmlns:sle="http://schemas.microsoft.com/office/drawing/2010/slicer" name="LFS Branch 1"/>
            </a:graphicData>
          </a:graphic>
        </xdr:graphicFrame>
      </mc:Choice>
      <mc:Fallback>
        <xdr:sp macro="" textlink="">
          <xdr:nvSpPr>
            <xdr:cNvPr id="0" name=""/>
            <xdr:cNvSpPr>
              <a:spLocks noTextEdit="1"/>
            </xdr:cNvSpPr>
          </xdr:nvSpPr>
          <xdr:spPr>
            <a:xfrm>
              <a:off x="9316909" y="883748"/>
              <a:ext cx="1765764" cy="13953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4</xdr:row>
      <xdr:rowOff>121362</xdr:rowOff>
    </xdr:from>
    <xdr:to>
      <xdr:col>0</xdr:col>
      <xdr:colOff>1358902</xdr:colOff>
      <xdr:row>7</xdr:row>
      <xdr:rowOff>173217</xdr:rowOff>
    </xdr:to>
    <mc:AlternateContent xmlns:mc="http://schemas.openxmlformats.org/markup-compatibility/2006">
      <mc:Choice xmlns:a14="http://schemas.microsoft.com/office/drawing/2010/main" Requires="a14">
        <xdr:graphicFrame macro="">
          <xdr:nvGraphicFramePr>
            <xdr:cNvPr id="5" name="Calendar Year 1">
              <a:extLst>
                <a:ext uri="{FF2B5EF4-FFF2-40B4-BE49-F238E27FC236}">
                  <a16:creationId xmlns:a16="http://schemas.microsoft.com/office/drawing/2014/main" id="{7937D037-E090-4D40-966D-F2EC41DBABCE}"/>
                </a:ext>
              </a:extLst>
            </xdr:cNvPr>
            <xdr:cNvGraphicFramePr/>
          </xdr:nvGraphicFramePr>
          <xdr:xfrm>
            <a:off x="0" y="0"/>
            <a:ext cx="0" cy="0"/>
          </xdr:xfrm>
          <a:graphic>
            <a:graphicData uri="http://schemas.microsoft.com/office/drawing/2010/slicer">
              <sle:slicer xmlns:sle="http://schemas.microsoft.com/office/drawing/2010/slicer" name="Calendar Year 1"/>
            </a:graphicData>
          </a:graphic>
        </xdr:graphicFrame>
      </mc:Choice>
      <mc:Fallback>
        <xdr:sp macro="" textlink="">
          <xdr:nvSpPr>
            <xdr:cNvPr id="0" name=""/>
            <xdr:cNvSpPr>
              <a:spLocks noTextEdit="1"/>
            </xdr:cNvSpPr>
          </xdr:nvSpPr>
          <xdr:spPr>
            <a:xfrm>
              <a:off x="0" y="869994"/>
              <a:ext cx="1358902" cy="6133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103720</xdr:colOff>
      <xdr:row>4</xdr:row>
      <xdr:rowOff>137939</xdr:rowOff>
    </xdr:from>
    <xdr:to>
      <xdr:col>7</xdr:col>
      <xdr:colOff>772941</xdr:colOff>
      <xdr:row>12</xdr:row>
      <xdr:rowOff>40100</xdr:rowOff>
    </xdr:to>
    <mc:AlternateContent xmlns:mc="http://schemas.openxmlformats.org/markup-compatibility/2006">
      <mc:Choice xmlns:a14="http://schemas.microsoft.com/office/drawing/2010/main" Requires="a14">
        <xdr:graphicFrame macro="">
          <xdr:nvGraphicFramePr>
            <xdr:cNvPr id="6" name="Site 1">
              <a:extLst>
                <a:ext uri="{FF2B5EF4-FFF2-40B4-BE49-F238E27FC236}">
                  <a16:creationId xmlns:a16="http://schemas.microsoft.com/office/drawing/2014/main" id="{B732D0E6-1ECA-453F-A376-23C892F31CF9}"/>
                </a:ext>
              </a:extLst>
            </xdr:cNvPr>
            <xdr:cNvGraphicFramePr/>
          </xdr:nvGraphicFramePr>
          <xdr:xfrm>
            <a:off x="0" y="0"/>
            <a:ext cx="0" cy="0"/>
          </xdr:xfrm>
          <a:graphic>
            <a:graphicData uri="http://schemas.microsoft.com/office/drawing/2010/slicer">
              <sle:slicer xmlns:sle="http://schemas.microsoft.com/office/drawing/2010/slicer" name="Site 1"/>
            </a:graphicData>
          </a:graphic>
        </xdr:graphicFrame>
      </mc:Choice>
      <mc:Fallback>
        <xdr:sp macro="" textlink="">
          <xdr:nvSpPr>
            <xdr:cNvPr id="0" name=""/>
            <xdr:cNvSpPr>
              <a:spLocks noTextEdit="1"/>
            </xdr:cNvSpPr>
          </xdr:nvSpPr>
          <xdr:spPr>
            <a:xfrm>
              <a:off x="7469720" y="886571"/>
              <a:ext cx="1792168" cy="1399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1827</xdr:colOff>
      <xdr:row>4</xdr:row>
      <xdr:rowOff>130883</xdr:rowOff>
    </xdr:from>
    <xdr:to>
      <xdr:col>12</xdr:col>
      <xdr:colOff>671399</xdr:colOff>
      <xdr:row>12</xdr:row>
      <xdr:rowOff>33878</xdr:rowOff>
    </xdr:to>
    <mc:AlternateContent xmlns:mc="http://schemas.openxmlformats.org/markup-compatibility/2006">
      <mc:Choice xmlns:a14="http://schemas.microsoft.com/office/drawing/2010/main" Requires="a14">
        <xdr:graphicFrame macro="">
          <xdr:nvGraphicFramePr>
            <xdr:cNvPr id="7" name="Vertical Market 1">
              <a:extLst>
                <a:ext uri="{FF2B5EF4-FFF2-40B4-BE49-F238E27FC236}">
                  <a16:creationId xmlns:a16="http://schemas.microsoft.com/office/drawing/2014/main" id="{5BF7CB4E-F64A-4454-8645-BF67F902D20D}"/>
                </a:ext>
              </a:extLst>
            </xdr:cNvPr>
            <xdr:cNvGraphicFramePr/>
          </xdr:nvGraphicFramePr>
          <xdr:xfrm>
            <a:off x="0" y="0"/>
            <a:ext cx="0" cy="0"/>
          </xdr:xfrm>
          <a:graphic>
            <a:graphicData uri="http://schemas.microsoft.com/office/drawing/2010/slicer">
              <sle:slicer xmlns:sle="http://schemas.microsoft.com/office/drawing/2010/slicer" name="Vertical Market 1"/>
            </a:graphicData>
          </a:graphic>
        </xdr:graphicFrame>
      </mc:Choice>
      <mc:Fallback>
        <xdr:sp macro="" textlink="">
          <xdr:nvSpPr>
            <xdr:cNvPr id="0" name=""/>
            <xdr:cNvSpPr>
              <a:spLocks noTextEdit="1"/>
            </xdr:cNvSpPr>
          </xdr:nvSpPr>
          <xdr:spPr>
            <a:xfrm>
              <a:off x="12982564" y="879515"/>
              <a:ext cx="1792519" cy="14002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12</xdr:col>
      <xdr:colOff>776815</xdr:colOff>
      <xdr:row>4</xdr:row>
      <xdr:rowOff>130883</xdr:rowOff>
    </xdr:from>
    <xdr:to>
      <xdr:col>14</xdr:col>
      <xdr:colOff>270226</xdr:colOff>
      <xdr:row>12</xdr:row>
      <xdr:rowOff>33878</xdr:rowOff>
    </xdr:to>
    <mc:AlternateContent xmlns:mc="http://schemas.openxmlformats.org/markup-compatibility/2006">
      <mc:Choice xmlns:a14="http://schemas.microsoft.com/office/drawing/2010/main" Requires="a14">
        <xdr:graphicFrame macro="">
          <xdr:nvGraphicFramePr>
            <xdr:cNvPr id="8" name="Key Account 1">
              <a:extLst>
                <a:ext uri="{FF2B5EF4-FFF2-40B4-BE49-F238E27FC236}">
                  <a16:creationId xmlns:a16="http://schemas.microsoft.com/office/drawing/2014/main" id="{F12725D3-228A-4B2E-8AEB-F66BF947D7A6}"/>
                </a:ext>
              </a:extLst>
            </xdr:cNvPr>
            <xdr:cNvGraphicFramePr/>
          </xdr:nvGraphicFramePr>
          <xdr:xfrm>
            <a:off x="0" y="0"/>
            <a:ext cx="0" cy="0"/>
          </xdr:xfrm>
          <a:graphic>
            <a:graphicData uri="http://schemas.microsoft.com/office/drawing/2010/slicer">
              <sle:slicer xmlns:sle="http://schemas.microsoft.com/office/drawing/2010/slicer" name="Key Account 1"/>
            </a:graphicData>
          </a:graphic>
        </xdr:graphicFrame>
      </mc:Choice>
      <mc:Fallback>
        <xdr:sp macro="" textlink="">
          <xdr:nvSpPr>
            <xdr:cNvPr id="0" name=""/>
            <xdr:cNvSpPr>
              <a:spLocks noTextEdit="1"/>
            </xdr:cNvSpPr>
          </xdr:nvSpPr>
          <xdr:spPr>
            <a:xfrm>
              <a:off x="14880499" y="879515"/>
              <a:ext cx="1739306" cy="14002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14813</xdr:colOff>
      <xdr:row>4</xdr:row>
      <xdr:rowOff>116765</xdr:rowOff>
    </xdr:from>
    <xdr:to>
      <xdr:col>3</xdr:col>
      <xdr:colOff>244471</xdr:colOff>
      <xdr:row>11</xdr:row>
      <xdr:rowOff>154513</xdr:rowOff>
    </xdr:to>
    <mc:AlternateContent xmlns:mc="http://schemas.openxmlformats.org/markup-compatibility/2006">
      <mc:Choice xmlns:a14="http://schemas.microsoft.com/office/drawing/2010/main" Requires="a14">
        <xdr:graphicFrame macro="">
          <xdr:nvGraphicFramePr>
            <xdr:cNvPr id="9" name="Entity 2">
              <a:extLst>
                <a:ext uri="{FF2B5EF4-FFF2-40B4-BE49-F238E27FC236}">
                  <a16:creationId xmlns:a16="http://schemas.microsoft.com/office/drawing/2014/main" id="{CF602DA1-6226-4B43-B2BB-09A206515445}"/>
                </a:ext>
              </a:extLst>
            </xdr:cNvPr>
            <xdr:cNvGraphicFramePr/>
          </xdr:nvGraphicFramePr>
          <xdr:xfrm>
            <a:off x="0" y="0"/>
            <a:ext cx="0" cy="0"/>
          </xdr:xfrm>
          <a:graphic>
            <a:graphicData uri="http://schemas.microsoft.com/office/drawing/2010/slicer">
              <sle:slicer xmlns:sle="http://schemas.microsoft.com/office/drawing/2010/slicer" name="Entity 2"/>
            </a:graphicData>
          </a:graphic>
        </xdr:graphicFrame>
      </mc:Choice>
      <mc:Fallback>
        <xdr:sp macro="" textlink="">
          <xdr:nvSpPr>
            <xdr:cNvPr id="0" name=""/>
            <xdr:cNvSpPr>
              <a:spLocks noTextEdit="1"/>
            </xdr:cNvSpPr>
          </xdr:nvSpPr>
          <xdr:spPr>
            <a:xfrm>
              <a:off x="2889024" y="865397"/>
              <a:ext cx="1352605" cy="13478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297742</xdr:colOff>
      <xdr:row>4</xdr:row>
      <xdr:rowOff>117123</xdr:rowOff>
    </xdr:from>
    <xdr:to>
      <xdr:col>4</xdr:col>
      <xdr:colOff>683329</xdr:colOff>
      <xdr:row>9</xdr:row>
      <xdr:rowOff>179212</xdr:rowOff>
    </xdr:to>
    <mc:AlternateContent xmlns:mc="http://schemas.openxmlformats.org/markup-compatibility/2006">
      <mc:Choice xmlns:a14="http://schemas.microsoft.com/office/drawing/2010/main" Requires="a14">
        <xdr:graphicFrame macro="">
          <xdr:nvGraphicFramePr>
            <xdr:cNvPr id="10" name="Division 1">
              <a:extLst>
                <a:ext uri="{FF2B5EF4-FFF2-40B4-BE49-F238E27FC236}">
                  <a16:creationId xmlns:a16="http://schemas.microsoft.com/office/drawing/2014/main" id="{163EC932-6987-4D82-B729-2BA86A1BE82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ivision 1"/>
            </a:graphicData>
          </a:graphic>
        </xdr:graphicFrame>
      </mc:Choice>
      <mc:Fallback>
        <xdr:sp macro="" textlink="">
          <xdr:nvSpPr>
            <xdr:cNvPr id="0" name=""/>
            <xdr:cNvSpPr>
              <a:spLocks noTextEdit="1"/>
            </xdr:cNvSpPr>
          </xdr:nvSpPr>
          <xdr:spPr>
            <a:xfrm>
              <a:off x="4294900" y="865755"/>
              <a:ext cx="1508534" cy="9978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xdr:from>
          <xdr:col>3</xdr:col>
          <xdr:colOff>861060</xdr:colOff>
          <xdr:row>2</xdr:row>
          <xdr:rowOff>190500</xdr:rowOff>
        </xdr:from>
        <xdr:to>
          <xdr:col>4</xdr:col>
          <xdr:colOff>838200</xdr:colOff>
          <xdr:row>3</xdr:row>
          <xdr:rowOff>190500</xdr:rowOff>
        </xdr:to>
        <xdr:sp macro="" textlink="">
          <xdr:nvSpPr>
            <xdr:cNvPr id="1025" name="Button 1" hidden="1">
              <a:extLst>
                <a:ext uri="{63B3BB69-23CF-44E3-9099-C40C66FF867C}">
                  <a14:compatExt spid="_x0000_s1025"/>
                </a:ext>
                <a:ext uri="{FF2B5EF4-FFF2-40B4-BE49-F238E27FC236}">
                  <a16:creationId xmlns:a16="http://schemas.microsoft.com/office/drawing/2014/main" id="{2B5BF86F-6298-4DF5-BE95-4F91DD6181BC}"/>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Log out/ Re-login</a:t>
              </a:r>
            </a:p>
          </xdr:txBody>
        </xdr:sp>
        <xdr:clientData fPrintsWithSheet="0"/>
      </xdr:twoCellAnchor>
    </mc:Choice>
    <mc:Fallback/>
  </mc:AlternateContent>
  <xdr:twoCellAnchor editAs="oneCell">
    <xdr:from>
      <xdr:col>4</xdr:col>
      <xdr:colOff>717899</xdr:colOff>
      <xdr:row>4</xdr:row>
      <xdr:rowOff>116064</xdr:rowOff>
    </xdr:from>
    <xdr:to>
      <xdr:col>6</xdr:col>
      <xdr:colOff>55241</xdr:colOff>
      <xdr:row>11</xdr:row>
      <xdr:rowOff>37746</xdr:rowOff>
    </xdr:to>
    <mc:AlternateContent xmlns:mc="http://schemas.openxmlformats.org/markup-compatibility/2006">
      <mc:Choice xmlns:a14="http://schemas.microsoft.com/office/drawing/2010/main" Requires="a14">
        <xdr:graphicFrame macro="">
          <xdr:nvGraphicFramePr>
            <xdr:cNvPr id="11" name="Local Key Customer 1">
              <a:extLst>
                <a:ext uri="{FF2B5EF4-FFF2-40B4-BE49-F238E27FC236}">
                  <a16:creationId xmlns:a16="http://schemas.microsoft.com/office/drawing/2014/main" id="{25A7625E-972B-47CC-8E51-4C7E2533EF61}"/>
                </a:ext>
              </a:extLst>
            </xdr:cNvPr>
            <xdr:cNvGraphicFramePr/>
          </xdr:nvGraphicFramePr>
          <xdr:xfrm>
            <a:off x="0" y="0"/>
            <a:ext cx="0" cy="0"/>
          </xdr:xfrm>
          <a:graphic>
            <a:graphicData uri="http://schemas.microsoft.com/office/drawing/2010/slicer">
              <sle:slicer xmlns:sle="http://schemas.microsoft.com/office/drawing/2010/slicer" name="Local Key Customer 1"/>
            </a:graphicData>
          </a:graphic>
        </xdr:graphicFrame>
      </mc:Choice>
      <mc:Fallback>
        <xdr:sp macro="" textlink="">
          <xdr:nvSpPr>
            <xdr:cNvPr id="0" name=""/>
            <xdr:cNvSpPr>
              <a:spLocks noTextEdit="1"/>
            </xdr:cNvSpPr>
          </xdr:nvSpPr>
          <xdr:spPr>
            <a:xfrm>
              <a:off x="5838004" y="864696"/>
              <a:ext cx="1583237" cy="12317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1425222</xdr:colOff>
      <xdr:row>4</xdr:row>
      <xdr:rowOff>104776</xdr:rowOff>
    </xdr:from>
    <xdr:to>
      <xdr:col>2</xdr:col>
      <xdr:colOff>704</xdr:colOff>
      <xdr:row>11</xdr:row>
      <xdr:rowOff>150283</xdr:rowOff>
    </xdr:to>
    <mc:AlternateContent xmlns:mc="http://schemas.openxmlformats.org/markup-compatibility/2006">
      <mc:Choice xmlns:a14="http://schemas.microsoft.com/office/drawing/2010/main" Requires="a14">
        <xdr:graphicFrame macro="">
          <xdr:nvGraphicFramePr>
            <xdr:cNvPr id="12" name="Unit 1">
              <a:extLst>
                <a:ext uri="{FF2B5EF4-FFF2-40B4-BE49-F238E27FC236}">
                  <a16:creationId xmlns:a16="http://schemas.microsoft.com/office/drawing/2014/main" id="{E5BCCB0B-F60B-4E3D-9462-83936A596B0D}"/>
                </a:ext>
              </a:extLst>
            </xdr:cNvPr>
            <xdr:cNvGraphicFramePr/>
          </xdr:nvGraphicFramePr>
          <xdr:xfrm>
            <a:off x="0" y="0"/>
            <a:ext cx="0" cy="0"/>
          </xdr:xfrm>
          <a:graphic>
            <a:graphicData uri="http://schemas.microsoft.com/office/drawing/2010/slicer">
              <sle:slicer xmlns:sle="http://schemas.microsoft.com/office/drawing/2010/slicer" name="Unit 1"/>
            </a:graphicData>
          </a:graphic>
        </xdr:graphicFrame>
      </mc:Choice>
      <mc:Fallback>
        <xdr:sp macro="" textlink="">
          <xdr:nvSpPr>
            <xdr:cNvPr id="0" name=""/>
            <xdr:cNvSpPr>
              <a:spLocks noTextEdit="1"/>
            </xdr:cNvSpPr>
          </xdr:nvSpPr>
          <xdr:spPr>
            <a:xfrm>
              <a:off x="1425222" y="853408"/>
              <a:ext cx="1449693" cy="13556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UMMY%20APAC%20P&amp;L%20Consolidated%20Model%20(DKK%20current%20fx)%20DSV.xlsm" TargetMode="External"/><Relationship Id="rId2" Type="http://schemas.openxmlformats.org/officeDocument/2006/relationships/externalLinkPath" Target="file:///C:\Users\thiranai.silarak1\Downloads\DUMMY%20APAC%20P&amp;L%20Consolidated%20Model%20(DKK%20current%20fx)%20DSV.xlsm" TargetMode="External"/><Relationship Id="rId1" Type="http://schemas.openxmlformats.org/officeDocument/2006/relationships/externalLinkPath" Target="/Users/thiranai.silarak1/Downloads/DUMMY%20APAC%20P&amp;L%20Consolidated%20Model%20(DKK%20current%20fx)%20DSV.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amp;L (2)"/>
      <sheetName val="P&amp;L"/>
      <sheetName val="LoginLog"/>
      <sheetName val="BI Data"/>
      <sheetName val="PIVOT"/>
      <sheetName val="Cost Elements"/>
      <sheetName val="STKF"/>
      <sheetName val="AccessControl"/>
      <sheetName val="Welcome"/>
    </sheetNames>
    <sheetDataSet>
      <sheetData sheetId="0"/>
      <sheetData sheetId="1" refreshError="1"/>
      <sheetData sheetId="2" refreshError="1"/>
      <sheetData sheetId="3" refreshError="1"/>
      <sheetData sheetId="4">
        <row r="1">
          <cell r="A1" t="str">
            <v>Calendar month</v>
          </cell>
          <cell r="B1" t="str">
            <v>Cost Category</v>
          </cell>
          <cell r="C1" t="str">
            <v>LFS Statistical key figure</v>
          </cell>
          <cell r="D1" t="str">
            <v>Suma de Amount</v>
          </cell>
          <cell r="E1" t="str">
            <v>Suma de Logistics Contract Allocation Quantity</v>
          </cell>
        </row>
        <row r="2">
          <cell r="A2">
            <v>1</v>
          </cell>
          <cell r="B2" t="str">
            <v>Revenue Logistics Handling</v>
          </cell>
          <cell r="C2" t="str">
            <v>#</v>
          </cell>
          <cell r="D2">
            <v>-182.68070937300007</v>
          </cell>
          <cell r="E2">
            <v>0</v>
          </cell>
        </row>
        <row r="3">
          <cell r="A3">
            <v>1</v>
          </cell>
          <cell r="B3" t="str">
            <v>Revenue Logistics Other</v>
          </cell>
          <cell r="C3" t="str">
            <v>#</v>
          </cell>
          <cell r="D3">
            <v>-214.56297708299999</v>
          </cell>
          <cell r="E3">
            <v>0</v>
          </cell>
        </row>
        <row r="4">
          <cell r="A4">
            <v>1</v>
          </cell>
          <cell r="B4" t="str">
            <v>Claims and other</v>
          </cell>
          <cell r="C4" t="str">
            <v>#</v>
          </cell>
          <cell r="D4">
            <v>-82.338909750000013</v>
          </cell>
          <cell r="E4">
            <v>0</v>
          </cell>
        </row>
        <row r="5">
          <cell r="A5">
            <v>1</v>
          </cell>
          <cell r="B5" t="str">
            <v>Revenue Freight</v>
          </cell>
          <cell r="C5" t="str">
            <v>#</v>
          </cell>
          <cell r="D5">
            <v>-486.03387568500062</v>
          </cell>
          <cell r="E5">
            <v>0</v>
          </cell>
        </row>
        <row r="6">
          <cell r="A6">
            <v>1</v>
          </cell>
          <cell r="B6" t="str">
            <v>Packaging</v>
          </cell>
          <cell r="C6" t="str">
            <v>#</v>
          </cell>
          <cell r="D6">
            <v>46.155809826000002</v>
          </cell>
          <cell r="E6">
            <v>0</v>
          </cell>
        </row>
        <row r="7">
          <cell r="A7">
            <v>1</v>
          </cell>
          <cell r="B7" t="str">
            <v>Freight Costs</v>
          </cell>
          <cell r="C7" t="str">
            <v>#</v>
          </cell>
          <cell r="D7">
            <v>59.567989032</v>
          </cell>
          <cell r="E7">
            <v>0</v>
          </cell>
        </row>
        <row r="8">
          <cell r="A8">
            <v>1</v>
          </cell>
          <cell r="B8" t="str">
            <v>Revenue Logistics Storage</v>
          </cell>
          <cell r="C8" t="str">
            <v>#</v>
          </cell>
          <cell r="D8">
            <v>-5814.9713950020005</v>
          </cell>
          <cell r="E8">
            <v>0</v>
          </cell>
        </row>
        <row r="9">
          <cell r="A9">
            <v>1</v>
          </cell>
          <cell r="B9" t="str">
            <v>Housing - Other</v>
          </cell>
          <cell r="C9" t="str">
            <v>#</v>
          </cell>
          <cell r="D9">
            <v>365.04106776899994</v>
          </cell>
          <cell r="E9">
            <v>0</v>
          </cell>
        </row>
        <row r="10">
          <cell r="A10">
            <v>1</v>
          </cell>
          <cell r="B10" t="str">
            <v>Equipment Total</v>
          </cell>
          <cell r="C10" t="str">
            <v>#</v>
          </cell>
          <cell r="D10">
            <v>35.543488499999995</v>
          </cell>
          <cell r="E10">
            <v>0</v>
          </cell>
        </row>
        <row r="11">
          <cell r="A11">
            <v>1</v>
          </cell>
          <cell r="B11" t="str">
            <v>Staff Costs, White Collar</v>
          </cell>
          <cell r="C11" t="str">
            <v>#</v>
          </cell>
          <cell r="D11">
            <v>148.48907301900002</v>
          </cell>
          <cell r="E11">
            <v>0</v>
          </cell>
        </row>
        <row r="12">
          <cell r="A12">
            <v>1</v>
          </cell>
          <cell r="B12" t="str">
            <v>Other costs of business</v>
          </cell>
          <cell r="C12" t="str">
            <v>#</v>
          </cell>
          <cell r="D12">
            <v>-28.099141245000006</v>
          </cell>
          <cell r="E12">
            <v>0</v>
          </cell>
        </row>
        <row r="13">
          <cell r="A13">
            <v>1</v>
          </cell>
          <cell r="B13" t="str">
            <v>Total depreciations</v>
          </cell>
          <cell r="C13" t="str">
            <v>#</v>
          </cell>
          <cell r="D13">
            <v>50.231852649000011</v>
          </cell>
          <cell r="E13">
            <v>0</v>
          </cell>
        </row>
        <row r="14">
          <cell r="A14">
            <v>1</v>
          </cell>
          <cell r="B14" t="str">
            <v>Travel costs</v>
          </cell>
          <cell r="C14" t="str">
            <v>#</v>
          </cell>
          <cell r="D14">
            <v>0.323871831</v>
          </cell>
          <cell r="E14">
            <v>0</v>
          </cell>
        </row>
        <row r="15">
          <cell r="A15">
            <v>1</v>
          </cell>
          <cell r="B15" t="str">
            <v>Office costs (Office supplies)</v>
          </cell>
          <cell r="C15" t="str">
            <v>#</v>
          </cell>
          <cell r="D15">
            <v>3.2560733160000002</v>
          </cell>
          <cell r="E15">
            <v>0</v>
          </cell>
        </row>
        <row r="16">
          <cell r="A16">
            <v>1</v>
          </cell>
          <cell r="B16" t="str">
            <v>Costs of entertainment</v>
          </cell>
          <cell r="C16" t="str">
            <v>#</v>
          </cell>
          <cell r="D16">
            <v>0.48513006000000003</v>
          </cell>
          <cell r="E16">
            <v>0</v>
          </cell>
        </row>
        <row r="17">
          <cell r="A17">
            <v>1</v>
          </cell>
          <cell r="B17" t="str">
            <v>Other staff costs (training, education etc.)</v>
          </cell>
          <cell r="C17" t="str">
            <v>#</v>
          </cell>
          <cell r="D17">
            <v>0.903582</v>
          </cell>
          <cell r="E17">
            <v>0</v>
          </cell>
        </row>
        <row r="18">
          <cell r="A18">
            <v>1</v>
          </cell>
          <cell r="B18" t="str">
            <v>Costs of property (Office lease, warehouse costs)</v>
          </cell>
          <cell r="C18" t="str">
            <v>#</v>
          </cell>
          <cell r="D18">
            <v>71.980463807999996</v>
          </cell>
          <cell r="E18">
            <v>0</v>
          </cell>
        </row>
        <row r="19">
          <cell r="A19">
            <v>1</v>
          </cell>
          <cell r="B19" t="str">
            <v>Business adm.services (incl.insurance, SSC cost)</v>
          </cell>
          <cell r="C19" t="str">
            <v>#</v>
          </cell>
          <cell r="D19">
            <v>44.270439246000009</v>
          </cell>
          <cell r="E19">
            <v>0</v>
          </cell>
        </row>
        <row r="20">
          <cell r="A20">
            <v>1</v>
          </cell>
          <cell r="B20" t="str">
            <v>Telecommunication (Phone, Internet)</v>
          </cell>
          <cell r="C20" t="str">
            <v>#</v>
          </cell>
          <cell r="D20">
            <v>57.271613273999996</v>
          </cell>
          <cell r="E20">
            <v>0</v>
          </cell>
        </row>
        <row r="21">
          <cell r="A21">
            <v>1</v>
          </cell>
          <cell r="B21" t="str">
            <v>IT costs (Software licenses, Group IT charges)</v>
          </cell>
          <cell r="C21" t="str">
            <v>#</v>
          </cell>
          <cell r="D21">
            <v>7.4933120520000003</v>
          </cell>
          <cell r="E21">
            <v>0</v>
          </cell>
        </row>
        <row r="22">
          <cell r="A22">
            <v>1</v>
          </cell>
          <cell r="B22" t="str">
            <v>Revenue - Value added service</v>
          </cell>
          <cell r="C22" t="str">
            <v>#</v>
          </cell>
          <cell r="D22">
            <v>-108.38179436400003</v>
          </cell>
          <cell r="E22">
            <v>0</v>
          </cell>
        </row>
        <row r="23">
          <cell r="A23">
            <v>1</v>
          </cell>
          <cell r="B23" t="str">
            <v>Outsource Total</v>
          </cell>
          <cell r="C23" t="str">
            <v>#</v>
          </cell>
          <cell r="D23">
            <v>347.37932683799994</v>
          </cell>
          <cell r="E23">
            <v>0</v>
          </cell>
        </row>
        <row r="24">
          <cell r="A24">
            <v>1</v>
          </cell>
          <cell r="B24" t="str">
            <v>Housing - Lease and rent</v>
          </cell>
          <cell r="C24" t="str">
            <v>#</v>
          </cell>
          <cell r="D24">
            <v>636.73259616900009</v>
          </cell>
          <cell r="E24">
            <v>0</v>
          </cell>
        </row>
        <row r="25">
          <cell r="A25">
            <v>1</v>
          </cell>
          <cell r="B25" t="str">
            <v>Group Charges</v>
          </cell>
          <cell r="C25" t="str">
            <v>#</v>
          </cell>
          <cell r="D25">
            <v>226.38793661099999</v>
          </cell>
          <cell r="E25">
            <v>0</v>
          </cell>
        </row>
        <row r="26">
          <cell r="A26">
            <v>1</v>
          </cell>
          <cell r="B26" t="str">
            <v>Credit insurance and other cost rel.to A/R and A/P</v>
          </cell>
          <cell r="C26" t="str">
            <v>#</v>
          </cell>
          <cell r="D26">
            <v>2.1965143680000003</v>
          </cell>
          <cell r="E26">
            <v>0</v>
          </cell>
        </row>
        <row r="27">
          <cell r="A27">
            <v>1</v>
          </cell>
          <cell r="B27" t="str">
            <v>Total Staff Costs, blue collar - own</v>
          </cell>
          <cell r="C27" t="str">
            <v>#</v>
          </cell>
          <cell r="D27">
            <v>-21.968789166000033</v>
          </cell>
          <cell r="E27">
            <v>0</v>
          </cell>
        </row>
        <row r="28">
          <cell r="A28">
            <v>1</v>
          </cell>
          <cell r="B28" t="str">
            <v>Shared Service Center</v>
          </cell>
          <cell r="C28" t="str">
            <v>#</v>
          </cell>
          <cell r="D28">
            <v>70.302885930000187</v>
          </cell>
          <cell r="E28">
            <v>0</v>
          </cell>
        </row>
        <row r="29">
          <cell r="A29">
            <v>1</v>
          </cell>
          <cell r="B29" t="str">
            <v>Central Management</v>
          </cell>
          <cell r="C29" t="str">
            <v>#</v>
          </cell>
          <cell r="D29">
            <v>-3.4498604970000066</v>
          </cell>
          <cell r="E29">
            <v>0</v>
          </cell>
        </row>
      </sheetData>
      <sheetData sheetId="5" refreshError="1"/>
      <sheetData sheetId="6">
        <row r="1">
          <cell r="A1" t="str">
            <v>Key</v>
          </cell>
          <cell r="B1" t="str">
            <v>CPRS Key</v>
          </cell>
          <cell r="C1" t="str">
            <v>Unit</v>
          </cell>
          <cell r="D1" t="str">
            <v>Key</v>
          </cell>
        </row>
        <row r="2">
          <cell r="A2">
            <v>11000</v>
          </cell>
          <cell r="B2" t="str">
            <v>Space_Storage_Non_Aircon_Sqm</v>
          </cell>
          <cell r="C2" t="str">
            <v>M2</v>
          </cell>
          <cell r="D2">
            <v>11000</v>
          </cell>
        </row>
        <row r="3">
          <cell r="A3">
            <v>12000</v>
          </cell>
          <cell r="B3" t="str">
            <v>Space_Storage_Aircon_Sqm</v>
          </cell>
          <cell r="C3" t="str">
            <v>M2</v>
          </cell>
          <cell r="D3">
            <v>12000</v>
          </cell>
        </row>
        <row r="4">
          <cell r="A4">
            <v>14000</v>
          </cell>
          <cell r="B4" t="str">
            <v>FTE_Agency_Contract_White_Collar</v>
          </cell>
          <cell r="C4" t="str">
            <v>FTE</v>
          </cell>
          <cell r="D4">
            <v>14000</v>
          </cell>
        </row>
        <row r="5">
          <cell r="A5" t="str">
            <v>AP101</v>
          </cell>
          <cell r="B5" t="str">
            <v>FTE_Perm_Management</v>
          </cell>
          <cell r="C5" t="str">
            <v>FTE</v>
          </cell>
          <cell r="D5" t="str">
            <v>AP101</v>
          </cell>
        </row>
        <row r="6">
          <cell r="A6" t="str">
            <v>AP102</v>
          </cell>
          <cell r="B6" t="str">
            <v>FTE_Perm_White_Collar</v>
          </cell>
          <cell r="C6" t="str">
            <v>FTE</v>
          </cell>
          <cell r="D6" t="str">
            <v>AP102</v>
          </cell>
        </row>
        <row r="7">
          <cell r="A7" t="str">
            <v>AP103</v>
          </cell>
          <cell r="B7" t="str">
            <v>FTE_Perm_Blue_Collar</v>
          </cell>
          <cell r="C7" t="str">
            <v>FTE</v>
          </cell>
          <cell r="D7" t="str">
            <v>AP103</v>
          </cell>
        </row>
        <row r="8">
          <cell r="A8" t="str">
            <v>AP104</v>
          </cell>
          <cell r="B8" t="str">
            <v>FTE_Perm_Overtime</v>
          </cell>
          <cell r="C8" t="str">
            <v>FTE</v>
          </cell>
          <cell r="D8" t="str">
            <v>AP104</v>
          </cell>
        </row>
        <row r="9">
          <cell r="A9" t="str">
            <v>AP105</v>
          </cell>
          <cell r="B9" t="str">
            <v>FTE_Agency_Contract_Blue_Collar</v>
          </cell>
          <cell r="C9" t="str">
            <v>FTE</v>
          </cell>
          <cell r="D9" t="str">
            <v>AP105</v>
          </cell>
        </row>
        <row r="10">
          <cell r="A10" t="str">
            <v>AP106</v>
          </cell>
          <cell r="B10" t="str">
            <v>FTE_Agency_Contract_Overtime</v>
          </cell>
          <cell r="C10" t="str">
            <v>FTE</v>
          </cell>
          <cell r="D10" t="str">
            <v>AP106</v>
          </cell>
        </row>
        <row r="11">
          <cell r="A11" t="str">
            <v>AP200</v>
          </cell>
          <cell r="B11" t="str">
            <v>Space_Common</v>
          </cell>
          <cell r="C11" t="str">
            <v>M2</v>
          </cell>
          <cell r="D11" t="str">
            <v>AP200</v>
          </cell>
        </row>
        <row r="12">
          <cell r="A12" t="str">
            <v>AP201</v>
          </cell>
          <cell r="B12" t="str">
            <v>Space_Unutilized_Aircon_Sqm</v>
          </cell>
          <cell r="C12" t="str">
            <v>M2</v>
          </cell>
          <cell r="D12" t="str">
            <v>AP201</v>
          </cell>
        </row>
        <row r="13">
          <cell r="A13" t="str">
            <v>AP202</v>
          </cell>
          <cell r="B13" t="str">
            <v>Space_Unutilized_Non_Aircon_Sqm</v>
          </cell>
          <cell r="C13" t="str">
            <v>M2</v>
          </cell>
          <cell r="D13" t="str">
            <v>AP202</v>
          </cell>
        </row>
        <row r="14">
          <cell r="A14" t="str">
            <v>AP203</v>
          </cell>
          <cell r="B14" t="str">
            <v>SQM - Warehouse</v>
          </cell>
        </row>
        <row r="15">
          <cell r="A15" t="str">
            <v>AP204</v>
          </cell>
          <cell r="B15" t="str">
            <v>SQM - Office</v>
          </cell>
        </row>
        <row r="16">
          <cell r="A16" t="str">
            <v>AP107</v>
          </cell>
          <cell r="B16" t="str">
            <v>Overtime - Blue  Collar (DKK '000)</v>
          </cell>
        </row>
        <row r="17">
          <cell r="A17" t="str">
            <v>AP108</v>
          </cell>
          <cell r="B17" t="str">
            <v>Overtime - White  Collar (DKK '000)</v>
          </cell>
        </row>
        <row r="18">
          <cell r="A18" t="str">
            <v>AP109</v>
          </cell>
          <cell r="B18" t="str">
            <v>Working Hours - Handling Blue Collar</v>
          </cell>
        </row>
        <row r="19">
          <cell r="A19" t="str">
            <v>AP110</v>
          </cell>
          <cell r="B19" t="str">
            <v>Working Hours - Non-Handling Blue Collar</v>
          </cell>
        </row>
        <row r="20">
          <cell r="A20" t="str">
            <v>AP111</v>
          </cell>
          <cell r="B20" t="str">
            <v>Orderlines - Inbound</v>
          </cell>
        </row>
        <row r="21">
          <cell r="A21" t="str">
            <v>AP112</v>
          </cell>
          <cell r="B21" t="str">
            <v>Orderlines - Outbound</v>
          </cell>
        </row>
        <row r="22">
          <cell r="A22" t="str">
            <v>AP205</v>
          </cell>
          <cell r="B22" t="str">
            <v>Pallet places - Buffer</v>
          </cell>
        </row>
        <row r="23">
          <cell r="A23" t="str">
            <v>AP206</v>
          </cell>
          <cell r="B23" t="str">
            <v>Pallet places - Occupied</v>
          </cell>
        </row>
        <row r="24">
          <cell r="A24" t="str">
            <v>AP207</v>
          </cell>
          <cell r="B24" t="str">
            <v>Pallet places - Reserved</v>
          </cell>
        </row>
        <row r="25">
          <cell r="A25" t="str">
            <v>AP208</v>
          </cell>
          <cell r="B25" t="str">
            <v>Pallet places - Sellable</v>
          </cell>
        </row>
        <row r="26">
          <cell r="A26" t="str">
            <v>AP113</v>
          </cell>
          <cell r="B26" t="str">
            <v>FTE - Blue Collar</v>
          </cell>
        </row>
        <row r="27">
          <cell r="A27" t="str">
            <v>AP114</v>
          </cell>
          <cell r="B27" t="str">
            <v>FTE - White Collar</v>
          </cell>
        </row>
        <row r="28">
          <cell r="A28" t="str">
            <v>BUDGET</v>
          </cell>
          <cell r="B28" t="str">
            <v>Budget</v>
          </cell>
        </row>
      </sheetData>
      <sheetData sheetId="7" refreshError="1"/>
      <sheetData sheetId="8"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thiranai.silarak1/Downloads/DUMMY%20APAC%20P&amp;L%20Consolidated%20Model%20(DKK%20current%20fx)%20DSV.xlsm"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 Sonia" refreshedDate="46062.931518518519" createdVersion="8" refreshedVersion="8" minRefreshableVersion="3" recordCount="10001" xr:uid="{1ED96A99-7277-40C3-8AA7-C0775284406B}">
  <cacheSource type="worksheet">
    <worksheetSource ref="A1:U33566" sheet="BI Data" r:id="rId2"/>
  </cacheSource>
  <cacheFields count="21">
    <cacheField name="Country" numFmtId="0">
      <sharedItems containsBlank="1"/>
    </cacheField>
    <cacheField name="Site" numFmtId="0">
      <sharedItems containsBlank="1" count="42">
        <s v="SLC"/>
        <s v="Warehouse A"/>
        <s v="East DC"/>
        <s v="MegaHub"/>
        <s v="North DC"/>
        <s v="RL2"/>
        <m/>
        <s v="Agility Int Log Pte. Ltd." u="1"/>
        <s v="DSV_5 Changi North Way -Fair &amp; Event" u="1"/>
        <s v="DSV_1 Changi North Way Multi-client" u="1"/>
        <s v="DSV_5 Changi North Way Multi-client" u="1"/>
        <s v="DSV_6 Changi North Way Multi-client" u="1"/>
        <s v="DSV_21 Jalan Buroh" u="1"/>
        <s v="DSV_OSO Off-Site Operations" u="1"/>
        <s v="DSV_PLC Pioneer View" u="1"/>
        <s v="DSV_TP2 Penjuru Estee Lauder Warehouse" u="1"/>
        <s v="DSV_TUKANG INNOVATION ROAD" u="1"/>
        <s v="DSV_Central Shared Costs" u="1"/>
        <s v="Agility Log Holding (S)" u="1"/>
        <s v="ACW Warehouse" u="1"/>
        <s v="Bedok South" u="1"/>
        <s v="Benoi Logistics Hub" u="1"/>
        <s v="CL/SCM Mgmt" u="1"/>
        <s v="Galaxy VMI" u="1"/>
        <s v="Logos Tuas Log Hub" u="1"/>
        <s v="Mapletree Robinson" u="1"/>
        <s v="Penjuru Hub 2" u="1"/>
        <s v="Pioneer Hub" u="1"/>
        <s v="RED LION (OWNED FACILITY)" u="1"/>
        <s v="Red Lion 2" u="1"/>
        <s v="SLC (Owned Facility)" u="1"/>
        <s v="SLC 1 (Owned Facility)" u="1"/>
        <s v="SLC 2 (Owned Facility)" u="1"/>
        <s v="Tampines Hub" u="1"/>
        <s v="Tuas Hub" u="1"/>
        <s v="161/Not assigned" u="1"/>
        <s v="New Business" u="1"/>
        <s v="PEARL Wareshouse" u="1"/>
        <s v="DSV_TA3 Jalan Buroh Schaeffler" u="1"/>
        <s v="DSV_TAS" u="1"/>
        <s v="DSV_CNW Changi North Way" u="1"/>
        <s v="SI1" u="1"/>
      </sharedItems>
    </cacheField>
    <cacheField name="Site Name" numFmtId="0">
      <sharedItems containsBlank="1"/>
    </cacheField>
    <cacheField name="LFS Condition contract" numFmtId="0">
      <sharedItems containsNonDate="0" containsString="0" containsBlank="1"/>
    </cacheField>
    <cacheField name="Contract Name" numFmtId="0">
      <sharedItems containsBlank="1" containsMixedTypes="1" containsNumber="1" containsInteger="1" minValue="0" maxValue="0" count="8">
        <s v="AWS"/>
        <s v="TRIMBLE"/>
        <s v="DSV Internal"/>
        <s v="APPLE CL"/>
        <s v="WINBOND"/>
        <s v="HP DC"/>
        <m/>
        <n v="0" u="1"/>
      </sharedItems>
    </cacheField>
    <cacheField name="Corp. Product" numFmtId="0">
      <sharedItems containsBlank="1" count="22">
        <s v="Handling"/>
        <s v="Storage"/>
        <s v="VAS"/>
        <s v="Transport"/>
        <s v="eCommerce"/>
        <m/>
        <s v="Unmappable / Others" u="1"/>
        <s v="Finished Goods Fulfillment PLUS" u="1"/>
        <s v="FINISHED GOODS FULFILLMENT" u="1"/>
        <s v="Server Farm / Cloud Logistics" u="1"/>
        <s v="Production / Inbound Logistics" u="1"/>
        <s v="Spares / Aftermarket Logistics" u="1"/>
        <s v="Finished Goods Fulfillment PLUS (Medical Devices)" u="1"/>
        <s v="Circular Economy Logistics" u="1"/>
        <s v="#" u="1"/>
        <s v="Not Assigned" u="1"/>
        <s v="Omni Channel / e-Commerce" u="1"/>
        <s v="Omnichannel / e-Commerce" u="1"/>
        <s v="Production Logistics" u="1"/>
        <s v="Distribution Logistics" u="1"/>
        <s v="CL/SCM - Others" u="1"/>
        <s v="Finished Goods Fulfillment (Pharma &amp; Biopharma)" u="1"/>
      </sharedItems>
    </cacheField>
    <cacheField name="Vertical Market" numFmtId="0">
      <sharedItems containsBlank="1" count="32">
        <s v="Industrial"/>
        <s v="Retail"/>
        <s v="Technology"/>
        <s v="Automotive"/>
        <s v="Healthcare"/>
        <m/>
        <s v="#" u="1"/>
        <s v="Electronics" u="1"/>
        <s v="Others" u="1"/>
        <s v="Consumer &amp; Reta" u="1"/>
        <s v="Not Assigned" u="1"/>
        <s v="Shell Group" u="1"/>
        <s v="Dyson Group" u="1"/>
        <s v="adidas Group" u="1"/>
        <s v="Osram Group" u="1"/>
        <s v="Estee Lauder Group" u="1"/>
        <s v="ResMed Group" u="1"/>
        <s v="Zebra Group" u="1"/>
        <s v="Abbott Group" u="1"/>
        <s v="Jungheinrich Group" u="1"/>
        <s v="MacGregor Group" u="1"/>
        <s v="Western Digital Group" u="1"/>
        <s v="Schaeffler Group" u="1"/>
        <s v="Ricoh Group" u="1"/>
        <s v="Ericsson Group" u="1"/>
        <s v="Jotun Group" u="1"/>
        <s v="Canon Group" u="1"/>
        <s v="LEDVANCE Group" u="1"/>
        <s v="Olympus Group" u="1"/>
        <s v="Rentokil Group" u="1"/>
        <s v="Novartis Group" u="1"/>
        <s v="Sartorius Group" u="1"/>
      </sharedItems>
    </cacheField>
    <cacheField name="Key Account" numFmtId="0">
      <sharedItems containsBlank="1" count="51">
        <s v="Apple"/>
        <s v="Dell"/>
        <s v="Amazon"/>
        <s v="Tesla"/>
        <s v="Nike"/>
        <s v="HP"/>
        <m/>
        <s v="#" u="1"/>
        <s v="Lam Research Group" u="1"/>
        <s v="Konica Minolta Group" u="1"/>
        <s v="Not Assigned" u="1"/>
        <s v="Black &amp; Decker Group" u="1"/>
        <s v="Grundfos Group" u="1"/>
        <s v="Amazon Group" u="1"/>
        <s v="Applied Materials Group" u="1"/>
        <s v="Cisco Group" u="1"/>
        <s v="Qualcomm Group" u="1"/>
        <s v="Siemens Group" u="1"/>
        <s v="Boeing Group" u="1"/>
        <s v="Bombardier Group" u="1"/>
        <s v="Waters Group" u="1"/>
        <s v="Air France - KLM Group" u="1"/>
        <s v="Apple Group" u="1"/>
        <s v="Infinera Group" u="1"/>
        <s v="Epson Group" u="1"/>
        <s v="Bosch Group" u="1"/>
        <s v="Baxter Group" u="1"/>
        <s v="Thermo Fisher Group" u="1"/>
        <s v="Getinge Group" u="1"/>
        <s v="Swarovski Group" u="1"/>
        <s v="Cariuma Group" u="1"/>
        <s v="Intel Group" u="1"/>
        <s v="AMD Group" u="1"/>
        <s v="Bausch Health Group" u="1"/>
        <s v="Panasonic Group" u="1"/>
        <s v="Tokyo Electron Group" u="1"/>
        <s v="IBM Group" u="1"/>
        <s v="Timken Group" u="1"/>
        <s v="Micron Group" u="1"/>
        <s v="Becton Dickinson Group" u="1"/>
        <s v="Givaudan Group" u="1"/>
        <s v="PepsiCo Group" u="1"/>
        <s v="Kering Group" u="1"/>
        <s v="Bytedance Group" u="1"/>
        <s v="Infineon Group" u="1"/>
        <s v="Industrial" u="1"/>
        <s v="Consumer &amp; Retail" u="1"/>
        <s v="Others" u="1"/>
        <s v="Electronics" u="1"/>
        <s v="Healthcare" u="1"/>
        <s v="Automotive" u="1"/>
      </sharedItems>
    </cacheField>
    <cacheField name="LFS Branch" numFmtId="0">
      <sharedItems containsBlank="1" count="6">
        <s v="SG1"/>
        <m/>
        <s v="SG Logistics busin." u="1"/>
        <s v="SG Logistics" u="1"/>
        <s v="161/Not assigned" u="1"/>
        <s v="161/BR_A" u="1"/>
      </sharedItems>
    </cacheField>
    <cacheField name="Profit Center global" numFmtId="0">
      <sharedItems containsNonDate="0" containsBlank="1" count="2">
        <m/>
        <s v="Logistics/VAS Warehousing" u="1"/>
      </sharedItems>
    </cacheField>
    <cacheField name="Calendar Year" numFmtId="0">
      <sharedItems containsString="0" containsBlank="1" containsNumber="1" containsInteger="1" minValue="2025" maxValue="2025" count="2">
        <n v="2025"/>
        <m/>
      </sharedItems>
    </cacheField>
    <cacheField name="Cost Element Global" numFmtId="0">
      <sharedItems containsNonDate="0" containsString="0" containsBlank="1"/>
    </cacheField>
    <cacheField name="LFS Statistical key figure" numFmtId="0">
      <sharedItems containsBlank="1" count="35">
        <s v="#"/>
        <m/>
        <s v="10700" u="1"/>
        <s v="10800" u="1"/>
        <s v="10900" u="1"/>
        <s v="11000" u="1"/>
        <s v="12000" u="1"/>
        <s v="13000" u="1"/>
        <s v="14000" u="1"/>
        <s v="15000" u="1"/>
        <s v="AP100" u="1"/>
        <s v="AP101" u="1"/>
        <s v="AP102" u="1"/>
        <s v="AP103" u="1"/>
        <s v="AP104" u="1"/>
        <s v="AP105" u="1"/>
        <s v="AP106" u="1"/>
        <s v="AP200" u="1"/>
        <s v="AP201" u="1"/>
        <s v="AP202" u="1"/>
        <s v="AP108" u="1"/>
        <s v="AP208" u="1"/>
        <s v="AP204" u="1"/>
        <s v="AP205" u="1"/>
        <s v="AP109" u="1"/>
        <s v="AP206" u="1"/>
        <s v="AP114" u="1"/>
        <s v="AP207" u="1"/>
        <s v="AP112" u="1"/>
        <s v="AP110" u="1"/>
        <s v="AP203" u="1"/>
        <s v="AP107" u="1"/>
        <s v="AP111" u="1"/>
        <s v="AP113" u="1"/>
        <s v="BUDGET" u="1"/>
      </sharedItems>
    </cacheField>
    <cacheField name="Calendar month" numFmtId="0">
      <sharedItems containsString="0" containsBlank="1" containsNumber="1" containsInteger="1" minValue="1" maxValue="12" count="13">
        <n v="1"/>
        <m/>
        <n v="2" u="1"/>
        <n v="3" u="1"/>
        <n v="4" u="1"/>
        <n v="5" u="1"/>
        <n v="6" u="1"/>
        <n v="7" u="1"/>
        <n v="9" u="1"/>
        <n v="8" u="1"/>
        <n v="10" u="1"/>
        <n v="11" u="1"/>
        <n v="12" u="1"/>
      </sharedItems>
    </cacheField>
    <cacheField name="Amount" numFmtId="0">
      <sharedItems containsString="0" containsBlank="1" containsNumber="1" minValue="-5131.2081191039997" maxValue="5131.2093654240007"/>
    </cacheField>
    <cacheField name="Logistics Contract Allocation Quantity" numFmtId="0">
      <sharedItems containsNonDate="0" containsString="0" containsBlank="1"/>
    </cacheField>
    <cacheField name="Cost Category" numFmtId="0">
      <sharedItems containsBlank="1" count="62">
        <s v="Revenue Logistics Other"/>
        <s v="Freight Costs"/>
        <s v="Revenue Logistics Storage"/>
        <s v="Revenue Logistics Handling"/>
        <s v="Revenue Freight"/>
        <s v="Housing - Other"/>
        <s v="Revenue - Value added service"/>
        <s v="Outsource Total"/>
        <s v="Claims and other"/>
        <s v="Packaging"/>
        <s v="Housing - Lease and rent"/>
        <s v="Equipment Total"/>
        <s v="Total Staff Costs, blue collar - own"/>
        <s v="Shared Service Center"/>
        <s v="Staff Costs, White Collar"/>
        <s v="Other costs of business"/>
        <s v="Central Management"/>
        <s v="Total depreciations"/>
        <s v="Travel costs"/>
        <s v="Telecommunication (Phone, Internet)"/>
        <s v="Small investments (PC, furniture &lt; EUR 3,000 each)"/>
        <s v="Other staff costs (training, education etc.)"/>
        <s v="Group Charges"/>
        <s v="Office costs (Office supplies)"/>
        <s v="IT costs (Software licenses, Group IT charges)"/>
        <s v="Costs of property (Office lease, warehouse costs)"/>
        <s v="Costs of entertainment"/>
        <s v="Business adm.services (incl.insurance, SSC cost)"/>
        <s v="Provision for bad debt, credit loss"/>
        <s v="Credit insurance and other cost rel.to A/R and A/P"/>
        <m/>
        <s v="N/A" u="1"/>
        <s v="Overtime - Blue  Collar (DKK '000)" u="1"/>
        <s v="Overtime - White  Collar (DKK '000)" u="1"/>
        <s v="FTE - Blue Collar" u="1"/>
        <s v="FTE - White Collar" u="1"/>
        <s v="SQM - Warehouse" u="1"/>
        <s v="SQM - Office" u="1"/>
        <s v="Orderlines - Inbound" u="1"/>
        <s v="Orderlines - Outbound" u="1"/>
        <s v="Pallet places - Occupied" u="1"/>
        <s v="Pallet places - Sellable" u="1"/>
        <s v="Pallet places - Reserved" u="1"/>
        <s v="Pallet places - Buffer" u="1"/>
        <s v="Working Hours - Handling Blue Collar" u="1"/>
        <s v="Working Hours - Non-Handling Blue Collar" u="1"/>
        <s v="Gross Profit" u="1"/>
        <s v="Operational costs" u="1"/>
        <s v="Operational costs Logistics" u="1"/>
        <s v="" u="1"/>
        <s v="Revenue" u="1"/>
        <s v="Revenue Logistics" u="1"/>
        <s v="FTE - Total" u="1"/>
        <s v="Orderlines - Total" u="1"/>
        <s v="Pallet places - Total" u="1"/>
        <s v="Other External Costs" u="1"/>
        <s v="EBITDA" u="1"/>
        <s v="EBIT" u="1"/>
        <s v="Sales and marketing costs (advertising etc.)" u="1"/>
        <s v="Vehicle costs (Leasing costs comp.car, gas, tyres)" u="1"/>
        <s v="Other Revenue" u="1"/>
        <s v="Allocated Costs" u="1"/>
      </sharedItems>
    </cacheField>
    <cacheField name="Entity" numFmtId="0">
      <sharedItems containsBlank="1" count="7">
        <s v="I501"/>
        <s v="I203"/>
        <s v="I701"/>
        <s v="I762"/>
        <m/>
        <s v="DSV" u="1"/>
        <s v="Schenker" u="1"/>
      </sharedItems>
    </cacheField>
    <cacheField name="Division" numFmtId="0">
      <sharedItems containsBlank="1" count="4">
        <s v="Contract Logistics"/>
        <m/>
        <s v="Fair &amp; Events" u="1"/>
        <s v="I71N" u="1"/>
      </sharedItems>
    </cacheField>
    <cacheField name="Local Key Customer" numFmtId="0">
      <sharedItems containsBlank="1" count="7">
        <s v="AWS"/>
        <s v="WINBOND"/>
        <s v="HP"/>
        <s v="TESLA"/>
        <s v="APPLE"/>
        <s v="TRIMBLE"/>
        <m/>
      </sharedItems>
    </cacheField>
    <cacheField name="Unit" numFmtId="0">
      <sharedItems containsString="0" containsBlank="1" containsNumber="1" containsInteger="1" minValue="1" maxValue="3" count="4">
        <n v="2"/>
        <n v="1"/>
        <n v="3"/>
        <m/>
      </sharedItems>
    </cacheField>
  </cacheFields>
  <extLst>
    <ext xmlns:x14="http://schemas.microsoft.com/office/spreadsheetml/2009/9/main" uri="{725AE2AE-9491-48be-B2B4-4EB974FC3084}">
      <x14:pivotCacheDefinition pivotCacheId="12240392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s v="Singapore"/>
    <x v="0"/>
    <s v="SG3"/>
    <m/>
    <x v="0"/>
    <x v="0"/>
    <x v="0"/>
    <x v="0"/>
    <x v="0"/>
    <x v="0"/>
    <x v="0"/>
    <m/>
    <x v="0"/>
    <x v="0"/>
    <n v="-0.141737742"/>
    <m/>
    <x v="0"/>
    <x v="0"/>
    <x v="0"/>
    <x v="0"/>
    <x v="0"/>
  </r>
  <r>
    <s v="Singapore"/>
    <x v="0"/>
    <s v="SG3"/>
    <m/>
    <x v="1"/>
    <x v="0"/>
    <x v="0"/>
    <x v="1"/>
    <x v="0"/>
    <x v="0"/>
    <x v="0"/>
    <m/>
    <x v="0"/>
    <x v="0"/>
    <n v="2.8556307000000003"/>
    <m/>
    <x v="1"/>
    <x v="0"/>
    <x v="0"/>
    <x v="1"/>
    <x v="1"/>
  </r>
  <r>
    <s v="Singapore"/>
    <x v="0"/>
    <s v="SG2"/>
    <m/>
    <x v="2"/>
    <x v="1"/>
    <x v="0"/>
    <x v="2"/>
    <x v="0"/>
    <x v="0"/>
    <x v="0"/>
    <m/>
    <x v="0"/>
    <x v="0"/>
    <n v="-0.20252700000000001"/>
    <m/>
    <x v="2"/>
    <x v="0"/>
    <x v="0"/>
    <x v="2"/>
    <x v="0"/>
  </r>
  <r>
    <s v="Singapore"/>
    <x v="1"/>
    <s v="SG1"/>
    <m/>
    <x v="3"/>
    <x v="0"/>
    <x v="1"/>
    <x v="3"/>
    <x v="0"/>
    <x v="0"/>
    <x v="0"/>
    <m/>
    <x v="0"/>
    <x v="0"/>
    <n v="-36.768512007000005"/>
    <m/>
    <x v="1"/>
    <x v="0"/>
    <x v="0"/>
    <x v="3"/>
    <x v="0"/>
  </r>
  <r>
    <s v="Singapore"/>
    <x v="1"/>
    <s v="SG2"/>
    <m/>
    <x v="0"/>
    <x v="2"/>
    <x v="2"/>
    <x v="3"/>
    <x v="0"/>
    <x v="0"/>
    <x v="0"/>
    <m/>
    <x v="0"/>
    <x v="0"/>
    <n v="9.3474000000000005E-3"/>
    <m/>
    <x v="3"/>
    <x v="1"/>
    <x v="0"/>
    <x v="3"/>
    <x v="1"/>
  </r>
  <r>
    <s v="Singapore"/>
    <x v="0"/>
    <s v="SG1"/>
    <m/>
    <x v="1"/>
    <x v="3"/>
    <x v="3"/>
    <x v="4"/>
    <x v="0"/>
    <x v="0"/>
    <x v="0"/>
    <m/>
    <x v="0"/>
    <x v="0"/>
    <n v="-0.21810600000000002"/>
    <m/>
    <x v="4"/>
    <x v="2"/>
    <x v="0"/>
    <x v="2"/>
    <x v="2"/>
  </r>
  <r>
    <s v="Singapore"/>
    <x v="2"/>
    <s v="SG2"/>
    <m/>
    <x v="4"/>
    <x v="1"/>
    <x v="3"/>
    <x v="4"/>
    <x v="0"/>
    <x v="0"/>
    <x v="0"/>
    <m/>
    <x v="0"/>
    <x v="0"/>
    <n v="-0.12463200000000001"/>
    <m/>
    <x v="4"/>
    <x v="1"/>
    <x v="0"/>
    <x v="2"/>
    <x v="2"/>
  </r>
  <r>
    <s v="Singapore"/>
    <x v="0"/>
    <s v="SG2"/>
    <m/>
    <x v="5"/>
    <x v="2"/>
    <x v="0"/>
    <x v="3"/>
    <x v="0"/>
    <x v="0"/>
    <x v="0"/>
    <m/>
    <x v="0"/>
    <x v="0"/>
    <n v="0.28012599900000001"/>
    <m/>
    <x v="0"/>
    <x v="3"/>
    <x v="0"/>
    <x v="1"/>
    <x v="2"/>
  </r>
  <r>
    <s v="Singapore"/>
    <x v="3"/>
    <s v="SG3"/>
    <m/>
    <x v="2"/>
    <x v="4"/>
    <x v="0"/>
    <x v="0"/>
    <x v="0"/>
    <x v="0"/>
    <x v="0"/>
    <m/>
    <x v="0"/>
    <x v="0"/>
    <n v="0.24926400000000001"/>
    <m/>
    <x v="0"/>
    <x v="1"/>
    <x v="0"/>
    <x v="4"/>
    <x v="0"/>
  </r>
  <r>
    <s v="Singapore"/>
    <x v="4"/>
    <s v="SG4"/>
    <m/>
    <x v="3"/>
    <x v="2"/>
    <x v="1"/>
    <x v="5"/>
    <x v="0"/>
    <x v="0"/>
    <x v="0"/>
    <m/>
    <x v="0"/>
    <x v="0"/>
    <n v="-1.3680075690000002"/>
    <m/>
    <x v="4"/>
    <x v="3"/>
    <x v="0"/>
    <x v="0"/>
    <x v="0"/>
  </r>
  <r>
    <s v="Singapore"/>
    <x v="1"/>
    <s v="SG1"/>
    <m/>
    <x v="1"/>
    <x v="4"/>
    <x v="4"/>
    <x v="4"/>
    <x v="0"/>
    <x v="0"/>
    <x v="0"/>
    <m/>
    <x v="0"/>
    <x v="0"/>
    <n v="-4.6737000000000001E-2"/>
    <m/>
    <x v="0"/>
    <x v="3"/>
    <x v="0"/>
    <x v="0"/>
    <x v="0"/>
  </r>
  <r>
    <s v="Singapore"/>
    <x v="2"/>
    <s v="SG2"/>
    <m/>
    <x v="1"/>
    <x v="2"/>
    <x v="4"/>
    <x v="5"/>
    <x v="0"/>
    <x v="0"/>
    <x v="0"/>
    <m/>
    <x v="0"/>
    <x v="0"/>
    <n v="338.84325000000001"/>
    <m/>
    <x v="5"/>
    <x v="1"/>
    <x v="0"/>
    <x v="0"/>
    <x v="2"/>
  </r>
  <r>
    <s v="Singapore"/>
    <x v="4"/>
    <s v="SG2"/>
    <m/>
    <x v="4"/>
    <x v="3"/>
    <x v="2"/>
    <x v="2"/>
    <x v="0"/>
    <x v="0"/>
    <x v="0"/>
    <m/>
    <x v="0"/>
    <x v="0"/>
    <n v="-0.42063300000000003"/>
    <m/>
    <x v="4"/>
    <x v="2"/>
    <x v="0"/>
    <x v="5"/>
    <x v="1"/>
  </r>
  <r>
    <s v="Singapore"/>
    <x v="4"/>
    <s v="SG2"/>
    <m/>
    <x v="2"/>
    <x v="2"/>
    <x v="3"/>
    <x v="1"/>
    <x v="0"/>
    <x v="0"/>
    <x v="0"/>
    <m/>
    <x v="0"/>
    <x v="0"/>
    <n v="-0.1838322"/>
    <m/>
    <x v="4"/>
    <x v="2"/>
    <x v="0"/>
    <x v="1"/>
    <x v="1"/>
  </r>
  <r>
    <s v="Singapore"/>
    <x v="4"/>
    <s v="SG1"/>
    <m/>
    <x v="1"/>
    <x v="4"/>
    <x v="3"/>
    <x v="1"/>
    <x v="0"/>
    <x v="0"/>
    <x v="0"/>
    <m/>
    <x v="0"/>
    <x v="0"/>
    <n v="-4.6737000000000001E-2"/>
    <m/>
    <x v="0"/>
    <x v="1"/>
    <x v="0"/>
    <x v="1"/>
    <x v="2"/>
  </r>
  <r>
    <s v="Singapore"/>
    <x v="4"/>
    <s v="SG4"/>
    <m/>
    <x v="1"/>
    <x v="0"/>
    <x v="4"/>
    <x v="5"/>
    <x v="0"/>
    <x v="0"/>
    <x v="0"/>
    <m/>
    <x v="0"/>
    <x v="0"/>
    <n v="-1.2463200000000001"/>
    <m/>
    <x v="4"/>
    <x v="0"/>
    <x v="0"/>
    <x v="3"/>
    <x v="1"/>
  </r>
  <r>
    <s v="Singapore"/>
    <x v="0"/>
    <s v="SG3"/>
    <m/>
    <x v="3"/>
    <x v="3"/>
    <x v="2"/>
    <x v="4"/>
    <x v="0"/>
    <x v="0"/>
    <x v="0"/>
    <m/>
    <x v="0"/>
    <x v="0"/>
    <n v="-12.3977682"/>
    <m/>
    <x v="3"/>
    <x v="0"/>
    <x v="0"/>
    <x v="1"/>
    <x v="0"/>
  </r>
  <r>
    <s v="Singapore"/>
    <x v="5"/>
    <s v="SG1"/>
    <m/>
    <x v="5"/>
    <x v="0"/>
    <x v="4"/>
    <x v="1"/>
    <x v="0"/>
    <x v="0"/>
    <x v="0"/>
    <m/>
    <x v="0"/>
    <x v="0"/>
    <n v="-0.38906994600000006"/>
    <m/>
    <x v="4"/>
    <x v="3"/>
    <x v="0"/>
    <x v="1"/>
    <x v="2"/>
  </r>
  <r>
    <s v="Singapore"/>
    <x v="2"/>
    <s v="SG2"/>
    <m/>
    <x v="2"/>
    <x v="1"/>
    <x v="2"/>
    <x v="4"/>
    <x v="0"/>
    <x v="0"/>
    <x v="0"/>
    <m/>
    <x v="0"/>
    <x v="0"/>
    <n v="-1.5579000000000001"/>
    <m/>
    <x v="2"/>
    <x v="0"/>
    <x v="0"/>
    <x v="5"/>
    <x v="0"/>
  </r>
  <r>
    <s v="Singapore"/>
    <x v="5"/>
    <s v="SG4"/>
    <m/>
    <x v="4"/>
    <x v="0"/>
    <x v="0"/>
    <x v="1"/>
    <x v="0"/>
    <x v="0"/>
    <x v="0"/>
    <m/>
    <x v="0"/>
    <x v="0"/>
    <n v="-0.8895609000000001"/>
    <m/>
    <x v="4"/>
    <x v="0"/>
    <x v="0"/>
    <x v="3"/>
    <x v="2"/>
  </r>
  <r>
    <s v="Singapore"/>
    <x v="2"/>
    <s v="SG4"/>
    <m/>
    <x v="2"/>
    <x v="2"/>
    <x v="4"/>
    <x v="5"/>
    <x v="0"/>
    <x v="0"/>
    <x v="0"/>
    <m/>
    <x v="0"/>
    <x v="0"/>
    <n v="-0.31550590800000006"/>
    <m/>
    <x v="3"/>
    <x v="2"/>
    <x v="0"/>
    <x v="5"/>
    <x v="2"/>
  </r>
  <r>
    <s v="Singapore"/>
    <x v="2"/>
    <s v="SG3"/>
    <m/>
    <x v="4"/>
    <x v="2"/>
    <x v="1"/>
    <x v="3"/>
    <x v="0"/>
    <x v="0"/>
    <x v="0"/>
    <m/>
    <x v="0"/>
    <x v="0"/>
    <n v="-1.6797122010000001"/>
    <m/>
    <x v="4"/>
    <x v="0"/>
    <x v="0"/>
    <x v="4"/>
    <x v="1"/>
  </r>
  <r>
    <s v="Singapore"/>
    <x v="2"/>
    <s v="SG3"/>
    <m/>
    <x v="1"/>
    <x v="4"/>
    <x v="2"/>
    <x v="0"/>
    <x v="0"/>
    <x v="0"/>
    <x v="0"/>
    <m/>
    <x v="0"/>
    <x v="0"/>
    <n v="-0.1838322"/>
    <m/>
    <x v="4"/>
    <x v="1"/>
    <x v="0"/>
    <x v="4"/>
    <x v="1"/>
  </r>
  <r>
    <s v="Singapore"/>
    <x v="4"/>
    <s v="SG4"/>
    <m/>
    <x v="3"/>
    <x v="2"/>
    <x v="2"/>
    <x v="3"/>
    <x v="0"/>
    <x v="0"/>
    <x v="0"/>
    <m/>
    <x v="0"/>
    <x v="0"/>
    <n v="-0.31158000000000002"/>
    <m/>
    <x v="0"/>
    <x v="1"/>
    <x v="0"/>
    <x v="5"/>
    <x v="0"/>
  </r>
  <r>
    <s v="Singapore"/>
    <x v="1"/>
    <s v="SG3"/>
    <m/>
    <x v="0"/>
    <x v="3"/>
    <x v="0"/>
    <x v="4"/>
    <x v="0"/>
    <x v="0"/>
    <x v="0"/>
    <m/>
    <x v="0"/>
    <x v="0"/>
    <n v="-3.8947500000000003E-2"/>
    <m/>
    <x v="0"/>
    <x v="2"/>
    <x v="0"/>
    <x v="1"/>
    <x v="0"/>
  </r>
  <r>
    <s v="Singapore"/>
    <x v="4"/>
    <s v="SG4"/>
    <m/>
    <x v="5"/>
    <x v="0"/>
    <x v="2"/>
    <x v="2"/>
    <x v="0"/>
    <x v="0"/>
    <x v="0"/>
    <m/>
    <x v="0"/>
    <x v="0"/>
    <n v="-3.1158000000000001"/>
    <m/>
    <x v="4"/>
    <x v="0"/>
    <x v="0"/>
    <x v="4"/>
    <x v="0"/>
  </r>
  <r>
    <s v="Singapore"/>
    <x v="5"/>
    <s v="SG2"/>
    <m/>
    <x v="0"/>
    <x v="4"/>
    <x v="1"/>
    <x v="1"/>
    <x v="0"/>
    <x v="0"/>
    <x v="0"/>
    <m/>
    <x v="0"/>
    <x v="0"/>
    <n v="-0.34273800000000004"/>
    <m/>
    <x v="3"/>
    <x v="0"/>
    <x v="0"/>
    <x v="5"/>
    <x v="1"/>
  </r>
  <r>
    <s v="Singapore"/>
    <x v="5"/>
    <s v="SG2"/>
    <m/>
    <x v="0"/>
    <x v="1"/>
    <x v="1"/>
    <x v="1"/>
    <x v="0"/>
    <x v="0"/>
    <x v="0"/>
    <m/>
    <x v="0"/>
    <x v="0"/>
    <n v="-6.2316000000000003E-2"/>
    <m/>
    <x v="6"/>
    <x v="1"/>
    <x v="0"/>
    <x v="2"/>
    <x v="1"/>
  </r>
  <r>
    <s v="Singapore"/>
    <x v="4"/>
    <s v="SG2"/>
    <m/>
    <x v="1"/>
    <x v="2"/>
    <x v="1"/>
    <x v="0"/>
    <x v="0"/>
    <x v="0"/>
    <x v="0"/>
    <m/>
    <x v="0"/>
    <x v="0"/>
    <n v="0.37389600000000001"/>
    <m/>
    <x v="4"/>
    <x v="1"/>
    <x v="0"/>
    <x v="5"/>
    <x v="0"/>
  </r>
  <r>
    <s v="Singapore"/>
    <x v="5"/>
    <s v="SG1"/>
    <m/>
    <x v="4"/>
    <x v="0"/>
    <x v="3"/>
    <x v="1"/>
    <x v="0"/>
    <x v="0"/>
    <x v="0"/>
    <m/>
    <x v="0"/>
    <x v="0"/>
    <n v="-0.81010800000000005"/>
    <m/>
    <x v="4"/>
    <x v="2"/>
    <x v="0"/>
    <x v="5"/>
    <x v="2"/>
  </r>
  <r>
    <s v="Singapore"/>
    <x v="0"/>
    <s v="SG4"/>
    <m/>
    <x v="2"/>
    <x v="1"/>
    <x v="1"/>
    <x v="2"/>
    <x v="0"/>
    <x v="0"/>
    <x v="0"/>
    <m/>
    <x v="0"/>
    <x v="0"/>
    <n v="-0.80334671400000002"/>
    <m/>
    <x v="4"/>
    <x v="1"/>
    <x v="0"/>
    <x v="3"/>
    <x v="0"/>
  </r>
  <r>
    <s v="Singapore"/>
    <x v="5"/>
    <s v="SG1"/>
    <m/>
    <x v="1"/>
    <x v="4"/>
    <x v="4"/>
    <x v="3"/>
    <x v="0"/>
    <x v="0"/>
    <x v="0"/>
    <m/>
    <x v="0"/>
    <x v="0"/>
    <n v="2.6484300000000003"/>
    <m/>
    <x v="1"/>
    <x v="2"/>
    <x v="0"/>
    <x v="0"/>
    <x v="0"/>
  </r>
  <r>
    <s v="Singapore"/>
    <x v="0"/>
    <s v="SG4"/>
    <m/>
    <x v="0"/>
    <x v="4"/>
    <x v="3"/>
    <x v="1"/>
    <x v="0"/>
    <x v="0"/>
    <x v="0"/>
    <m/>
    <x v="0"/>
    <x v="0"/>
    <n v="-7.7895000000000006E-2"/>
    <m/>
    <x v="0"/>
    <x v="2"/>
    <x v="0"/>
    <x v="1"/>
    <x v="2"/>
  </r>
  <r>
    <s v="Singapore"/>
    <x v="4"/>
    <s v="SG2"/>
    <m/>
    <x v="0"/>
    <x v="3"/>
    <x v="4"/>
    <x v="3"/>
    <x v="0"/>
    <x v="0"/>
    <x v="0"/>
    <m/>
    <x v="0"/>
    <x v="0"/>
    <n v="-5.4526499999999999E-3"/>
    <m/>
    <x v="6"/>
    <x v="2"/>
    <x v="0"/>
    <x v="0"/>
    <x v="2"/>
  </r>
  <r>
    <s v="Singapore"/>
    <x v="5"/>
    <s v="SG3"/>
    <m/>
    <x v="1"/>
    <x v="4"/>
    <x v="0"/>
    <x v="2"/>
    <x v="0"/>
    <x v="0"/>
    <x v="0"/>
    <m/>
    <x v="0"/>
    <x v="0"/>
    <n v="-0.20057962500000001"/>
    <m/>
    <x v="6"/>
    <x v="2"/>
    <x v="0"/>
    <x v="3"/>
    <x v="0"/>
  </r>
  <r>
    <s v="Singapore"/>
    <x v="2"/>
    <s v="SG2"/>
    <m/>
    <x v="3"/>
    <x v="1"/>
    <x v="4"/>
    <x v="1"/>
    <x v="0"/>
    <x v="0"/>
    <x v="0"/>
    <m/>
    <x v="0"/>
    <x v="0"/>
    <n v="-0.70884449999999999"/>
    <m/>
    <x v="0"/>
    <x v="2"/>
    <x v="0"/>
    <x v="3"/>
    <x v="1"/>
  </r>
  <r>
    <s v="Singapore"/>
    <x v="4"/>
    <s v="SG3"/>
    <m/>
    <x v="5"/>
    <x v="4"/>
    <x v="1"/>
    <x v="3"/>
    <x v="0"/>
    <x v="0"/>
    <x v="0"/>
    <m/>
    <x v="0"/>
    <x v="0"/>
    <n v="0.75900888"/>
    <m/>
    <x v="6"/>
    <x v="1"/>
    <x v="0"/>
    <x v="2"/>
    <x v="0"/>
  </r>
  <r>
    <s v="Singapore"/>
    <x v="3"/>
    <s v="SG1"/>
    <m/>
    <x v="1"/>
    <x v="2"/>
    <x v="3"/>
    <x v="4"/>
    <x v="0"/>
    <x v="0"/>
    <x v="0"/>
    <m/>
    <x v="0"/>
    <x v="0"/>
    <n v="2.2305389040000003"/>
    <m/>
    <x v="1"/>
    <x v="1"/>
    <x v="0"/>
    <x v="5"/>
    <x v="2"/>
  </r>
  <r>
    <s v="Singapore"/>
    <x v="1"/>
    <s v="SG4"/>
    <m/>
    <x v="4"/>
    <x v="0"/>
    <x v="2"/>
    <x v="1"/>
    <x v="0"/>
    <x v="0"/>
    <x v="0"/>
    <m/>
    <x v="0"/>
    <x v="0"/>
    <n v="1.4469930989999999"/>
    <m/>
    <x v="2"/>
    <x v="2"/>
    <x v="0"/>
    <x v="5"/>
    <x v="0"/>
  </r>
  <r>
    <s v="Singapore"/>
    <x v="4"/>
    <s v="SG4"/>
    <m/>
    <x v="1"/>
    <x v="1"/>
    <x v="4"/>
    <x v="4"/>
    <x v="0"/>
    <x v="0"/>
    <x v="0"/>
    <m/>
    <x v="0"/>
    <x v="0"/>
    <n v="-0.93474000000000002"/>
    <m/>
    <x v="0"/>
    <x v="0"/>
    <x v="0"/>
    <x v="1"/>
    <x v="1"/>
  </r>
  <r>
    <s v="Singapore"/>
    <x v="3"/>
    <s v="SG2"/>
    <m/>
    <x v="0"/>
    <x v="2"/>
    <x v="4"/>
    <x v="3"/>
    <x v="0"/>
    <x v="0"/>
    <x v="0"/>
    <m/>
    <x v="0"/>
    <x v="0"/>
    <n v="-0.77895000000000003"/>
    <m/>
    <x v="4"/>
    <x v="2"/>
    <x v="0"/>
    <x v="2"/>
    <x v="2"/>
  </r>
  <r>
    <s v="Singapore"/>
    <x v="0"/>
    <s v="SG1"/>
    <m/>
    <x v="0"/>
    <x v="0"/>
    <x v="3"/>
    <x v="5"/>
    <x v="0"/>
    <x v="0"/>
    <x v="0"/>
    <m/>
    <x v="0"/>
    <x v="0"/>
    <n v="-1.1310354"/>
    <m/>
    <x v="3"/>
    <x v="1"/>
    <x v="0"/>
    <x v="2"/>
    <x v="1"/>
  </r>
  <r>
    <s v="Singapore"/>
    <x v="4"/>
    <s v="SG2"/>
    <m/>
    <x v="5"/>
    <x v="4"/>
    <x v="1"/>
    <x v="1"/>
    <x v="0"/>
    <x v="0"/>
    <x v="0"/>
    <m/>
    <x v="0"/>
    <x v="0"/>
    <n v="0.7290972"/>
    <m/>
    <x v="2"/>
    <x v="0"/>
    <x v="0"/>
    <x v="5"/>
    <x v="1"/>
  </r>
  <r>
    <s v="Singapore"/>
    <x v="5"/>
    <s v="SG2"/>
    <m/>
    <x v="5"/>
    <x v="0"/>
    <x v="0"/>
    <x v="4"/>
    <x v="0"/>
    <x v="0"/>
    <x v="0"/>
    <m/>
    <x v="0"/>
    <x v="0"/>
    <n v="-50.013575280000005"/>
    <m/>
    <x v="5"/>
    <x v="2"/>
    <x v="0"/>
    <x v="2"/>
    <x v="0"/>
  </r>
  <r>
    <s v="Singapore"/>
    <x v="4"/>
    <s v="SG4"/>
    <m/>
    <x v="3"/>
    <x v="3"/>
    <x v="1"/>
    <x v="2"/>
    <x v="0"/>
    <x v="0"/>
    <x v="0"/>
    <m/>
    <x v="0"/>
    <x v="0"/>
    <n v="-0.31006883700000004"/>
    <m/>
    <x v="4"/>
    <x v="0"/>
    <x v="0"/>
    <x v="2"/>
    <x v="0"/>
  </r>
  <r>
    <s v="Singapore"/>
    <x v="5"/>
    <s v="SG2"/>
    <m/>
    <x v="2"/>
    <x v="1"/>
    <x v="2"/>
    <x v="5"/>
    <x v="0"/>
    <x v="0"/>
    <x v="0"/>
    <m/>
    <x v="0"/>
    <x v="0"/>
    <n v="-0.15579000000000001"/>
    <m/>
    <x v="4"/>
    <x v="0"/>
    <x v="0"/>
    <x v="5"/>
    <x v="2"/>
  </r>
  <r>
    <s v="Singapore"/>
    <x v="4"/>
    <s v="SG1"/>
    <m/>
    <x v="5"/>
    <x v="3"/>
    <x v="1"/>
    <x v="1"/>
    <x v="0"/>
    <x v="0"/>
    <x v="0"/>
    <m/>
    <x v="0"/>
    <x v="0"/>
    <n v="-36.934817832000007"/>
    <m/>
    <x v="2"/>
    <x v="2"/>
    <x v="0"/>
    <x v="0"/>
    <x v="1"/>
  </r>
  <r>
    <s v="Singapore"/>
    <x v="3"/>
    <s v="SG2"/>
    <m/>
    <x v="0"/>
    <x v="0"/>
    <x v="3"/>
    <x v="4"/>
    <x v="0"/>
    <x v="0"/>
    <x v="0"/>
    <m/>
    <x v="0"/>
    <x v="0"/>
    <n v="-0.24926400000000001"/>
    <m/>
    <x v="0"/>
    <x v="0"/>
    <x v="0"/>
    <x v="1"/>
    <x v="2"/>
  </r>
  <r>
    <s v="Singapore"/>
    <x v="2"/>
    <s v="SG4"/>
    <m/>
    <x v="1"/>
    <x v="0"/>
    <x v="2"/>
    <x v="1"/>
    <x v="0"/>
    <x v="0"/>
    <x v="0"/>
    <m/>
    <x v="0"/>
    <x v="0"/>
    <n v="0.46737000000000001"/>
    <m/>
    <x v="0"/>
    <x v="0"/>
    <x v="0"/>
    <x v="1"/>
    <x v="1"/>
  </r>
  <r>
    <s v="Singapore"/>
    <x v="3"/>
    <s v="SG4"/>
    <m/>
    <x v="2"/>
    <x v="0"/>
    <x v="3"/>
    <x v="1"/>
    <x v="0"/>
    <x v="0"/>
    <x v="0"/>
    <m/>
    <x v="0"/>
    <x v="0"/>
    <n v="-3.8947500000000003E-2"/>
    <m/>
    <x v="0"/>
    <x v="3"/>
    <x v="0"/>
    <x v="0"/>
    <x v="2"/>
  </r>
  <r>
    <s v="Singapore"/>
    <x v="3"/>
    <s v="SG3"/>
    <m/>
    <x v="4"/>
    <x v="1"/>
    <x v="2"/>
    <x v="4"/>
    <x v="0"/>
    <x v="0"/>
    <x v="0"/>
    <m/>
    <x v="0"/>
    <x v="0"/>
    <n v="1.2233409750000002"/>
    <m/>
    <x v="4"/>
    <x v="3"/>
    <x v="0"/>
    <x v="5"/>
    <x v="0"/>
  </r>
  <r>
    <s v="Singapore"/>
    <x v="3"/>
    <s v="SG3"/>
    <m/>
    <x v="2"/>
    <x v="3"/>
    <x v="0"/>
    <x v="3"/>
    <x v="0"/>
    <x v="0"/>
    <x v="0"/>
    <m/>
    <x v="0"/>
    <x v="0"/>
    <n v="0.1838322"/>
    <m/>
    <x v="4"/>
    <x v="3"/>
    <x v="0"/>
    <x v="0"/>
    <x v="0"/>
  </r>
  <r>
    <s v="Singapore"/>
    <x v="1"/>
    <s v="SG4"/>
    <m/>
    <x v="2"/>
    <x v="3"/>
    <x v="2"/>
    <x v="0"/>
    <x v="0"/>
    <x v="0"/>
    <x v="0"/>
    <m/>
    <x v="0"/>
    <x v="0"/>
    <n v="-0.15579000000000001"/>
    <m/>
    <x v="0"/>
    <x v="0"/>
    <x v="0"/>
    <x v="3"/>
    <x v="1"/>
  </r>
  <r>
    <s v="Singapore"/>
    <x v="3"/>
    <s v="SG1"/>
    <m/>
    <x v="5"/>
    <x v="3"/>
    <x v="1"/>
    <x v="1"/>
    <x v="0"/>
    <x v="0"/>
    <x v="0"/>
    <m/>
    <x v="0"/>
    <x v="0"/>
    <n v="0.52968599999999999"/>
    <m/>
    <x v="7"/>
    <x v="0"/>
    <x v="0"/>
    <x v="5"/>
    <x v="0"/>
  </r>
  <r>
    <s v="Singapore"/>
    <x v="3"/>
    <s v="SG3"/>
    <m/>
    <x v="5"/>
    <x v="0"/>
    <x v="2"/>
    <x v="0"/>
    <x v="0"/>
    <x v="0"/>
    <x v="0"/>
    <m/>
    <x v="0"/>
    <x v="0"/>
    <n v="-0.233685"/>
    <m/>
    <x v="0"/>
    <x v="2"/>
    <x v="0"/>
    <x v="1"/>
    <x v="2"/>
  </r>
  <r>
    <s v="Singapore"/>
    <x v="1"/>
    <s v="SG1"/>
    <m/>
    <x v="0"/>
    <x v="3"/>
    <x v="0"/>
    <x v="3"/>
    <x v="0"/>
    <x v="0"/>
    <x v="0"/>
    <m/>
    <x v="0"/>
    <x v="0"/>
    <n v="-10.048455000000001"/>
    <m/>
    <x v="3"/>
    <x v="2"/>
    <x v="0"/>
    <x v="0"/>
    <x v="2"/>
  </r>
  <r>
    <s v="Singapore"/>
    <x v="3"/>
    <s v="SG2"/>
    <m/>
    <x v="4"/>
    <x v="0"/>
    <x v="1"/>
    <x v="1"/>
    <x v="0"/>
    <x v="0"/>
    <x v="0"/>
    <m/>
    <x v="0"/>
    <x v="0"/>
    <n v="-0.79452900000000004"/>
    <m/>
    <x v="6"/>
    <x v="0"/>
    <x v="0"/>
    <x v="4"/>
    <x v="2"/>
  </r>
  <r>
    <s v="Singapore"/>
    <x v="4"/>
    <s v="SG4"/>
    <m/>
    <x v="0"/>
    <x v="0"/>
    <x v="2"/>
    <x v="4"/>
    <x v="0"/>
    <x v="0"/>
    <x v="0"/>
    <m/>
    <x v="0"/>
    <x v="0"/>
    <n v="1.2024027989999999"/>
    <m/>
    <x v="2"/>
    <x v="0"/>
    <x v="0"/>
    <x v="3"/>
    <x v="1"/>
  </r>
  <r>
    <s v="Singapore"/>
    <x v="4"/>
    <s v="SG1"/>
    <m/>
    <x v="5"/>
    <x v="3"/>
    <x v="0"/>
    <x v="5"/>
    <x v="0"/>
    <x v="0"/>
    <x v="0"/>
    <m/>
    <x v="0"/>
    <x v="0"/>
    <n v="-9.3474000000000002E-2"/>
    <m/>
    <x v="0"/>
    <x v="2"/>
    <x v="0"/>
    <x v="0"/>
    <x v="2"/>
  </r>
  <r>
    <s v="Singapore"/>
    <x v="2"/>
    <s v="SG1"/>
    <m/>
    <x v="4"/>
    <x v="2"/>
    <x v="1"/>
    <x v="2"/>
    <x v="0"/>
    <x v="0"/>
    <x v="0"/>
    <m/>
    <x v="0"/>
    <x v="0"/>
    <n v="5.9792202000000003"/>
    <m/>
    <x v="2"/>
    <x v="0"/>
    <x v="0"/>
    <x v="1"/>
    <x v="1"/>
  </r>
  <r>
    <s v="Singapore"/>
    <x v="5"/>
    <s v="SG2"/>
    <m/>
    <x v="1"/>
    <x v="1"/>
    <x v="4"/>
    <x v="1"/>
    <x v="0"/>
    <x v="0"/>
    <x v="0"/>
    <m/>
    <x v="0"/>
    <x v="0"/>
    <n v="-7.7895000000000004E-3"/>
    <m/>
    <x v="0"/>
    <x v="0"/>
    <x v="0"/>
    <x v="2"/>
    <x v="1"/>
  </r>
  <r>
    <s v="Singapore"/>
    <x v="0"/>
    <s v="SG3"/>
    <m/>
    <x v="2"/>
    <x v="4"/>
    <x v="2"/>
    <x v="2"/>
    <x v="0"/>
    <x v="0"/>
    <x v="0"/>
    <m/>
    <x v="0"/>
    <x v="0"/>
    <n v="-0.12463200000000001"/>
    <m/>
    <x v="0"/>
    <x v="0"/>
    <x v="0"/>
    <x v="5"/>
    <x v="1"/>
  </r>
  <r>
    <s v="Singapore"/>
    <x v="5"/>
    <s v="SG2"/>
    <m/>
    <x v="1"/>
    <x v="4"/>
    <x v="4"/>
    <x v="0"/>
    <x v="0"/>
    <x v="0"/>
    <x v="0"/>
    <m/>
    <x v="0"/>
    <x v="0"/>
    <n v="-4.36212"/>
    <m/>
    <x v="2"/>
    <x v="1"/>
    <x v="0"/>
    <x v="2"/>
    <x v="2"/>
  </r>
  <r>
    <s v="Singapore"/>
    <x v="1"/>
    <s v="SG2"/>
    <m/>
    <x v="2"/>
    <x v="0"/>
    <x v="0"/>
    <x v="4"/>
    <x v="0"/>
    <x v="0"/>
    <x v="0"/>
    <m/>
    <x v="0"/>
    <x v="0"/>
    <n v="-2.33685E-2"/>
    <m/>
    <x v="3"/>
    <x v="1"/>
    <x v="0"/>
    <x v="4"/>
    <x v="2"/>
  </r>
  <r>
    <s v="Singapore"/>
    <x v="1"/>
    <s v="SG1"/>
    <m/>
    <x v="1"/>
    <x v="4"/>
    <x v="4"/>
    <x v="0"/>
    <x v="0"/>
    <x v="0"/>
    <x v="0"/>
    <m/>
    <x v="0"/>
    <x v="0"/>
    <n v="-0.10749510000000001"/>
    <m/>
    <x v="4"/>
    <x v="2"/>
    <x v="0"/>
    <x v="4"/>
    <x v="2"/>
  </r>
  <r>
    <s v="Singapore"/>
    <x v="4"/>
    <s v="SG3"/>
    <m/>
    <x v="0"/>
    <x v="4"/>
    <x v="2"/>
    <x v="2"/>
    <x v="0"/>
    <x v="0"/>
    <x v="0"/>
    <m/>
    <x v="0"/>
    <x v="0"/>
    <n v="0.15579000000000001"/>
    <m/>
    <x v="1"/>
    <x v="3"/>
    <x v="0"/>
    <x v="5"/>
    <x v="2"/>
  </r>
  <r>
    <s v="Singapore"/>
    <x v="2"/>
    <s v="SG2"/>
    <m/>
    <x v="5"/>
    <x v="0"/>
    <x v="2"/>
    <x v="0"/>
    <x v="0"/>
    <x v="0"/>
    <x v="0"/>
    <m/>
    <x v="0"/>
    <x v="0"/>
    <n v="-0.31158000000000002"/>
    <m/>
    <x v="0"/>
    <x v="1"/>
    <x v="0"/>
    <x v="2"/>
    <x v="0"/>
  </r>
  <r>
    <s v="Singapore"/>
    <x v="3"/>
    <s v="SG1"/>
    <m/>
    <x v="4"/>
    <x v="4"/>
    <x v="0"/>
    <x v="0"/>
    <x v="0"/>
    <x v="0"/>
    <x v="0"/>
    <m/>
    <x v="0"/>
    <x v="0"/>
    <n v="2.7263250000000001"/>
    <m/>
    <x v="1"/>
    <x v="0"/>
    <x v="0"/>
    <x v="1"/>
    <x v="1"/>
  </r>
  <r>
    <s v="Singapore"/>
    <x v="2"/>
    <s v="SG2"/>
    <m/>
    <x v="0"/>
    <x v="4"/>
    <x v="2"/>
    <x v="4"/>
    <x v="0"/>
    <x v="0"/>
    <x v="0"/>
    <m/>
    <x v="0"/>
    <x v="0"/>
    <n v="-0.77895000000000003"/>
    <m/>
    <x v="4"/>
    <x v="2"/>
    <x v="0"/>
    <x v="0"/>
    <x v="2"/>
  </r>
  <r>
    <s v="Singapore"/>
    <x v="5"/>
    <s v="SG4"/>
    <m/>
    <x v="1"/>
    <x v="3"/>
    <x v="4"/>
    <x v="4"/>
    <x v="0"/>
    <x v="0"/>
    <x v="0"/>
    <m/>
    <x v="0"/>
    <x v="0"/>
    <n v="2.6484300000000003"/>
    <m/>
    <x v="1"/>
    <x v="0"/>
    <x v="0"/>
    <x v="5"/>
    <x v="0"/>
  </r>
  <r>
    <s v="Singapore"/>
    <x v="1"/>
    <s v="SG4"/>
    <m/>
    <x v="5"/>
    <x v="1"/>
    <x v="2"/>
    <x v="4"/>
    <x v="0"/>
    <x v="0"/>
    <x v="0"/>
    <m/>
    <x v="0"/>
    <x v="0"/>
    <n v="1.9182266910000001"/>
    <m/>
    <x v="1"/>
    <x v="1"/>
    <x v="0"/>
    <x v="1"/>
    <x v="2"/>
  </r>
  <r>
    <s v="Singapore"/>
    <x v="0"/>
    <s v="SG4"/>
    <m/>
    <x v="0"/>
    <x v="1"/>
    <x v="2"/>
    <x v="4"/>
    <x v="0"/>
    <x v="0"/>
    <x v="0"/>
    <m/>
    <x v="0"/>
    <x v="0"/>
    <n v="-0.18928485"/>
    <m/>
    <x v="2"/>
    <x v="1"/>
    <x v="0"/>
    <x v="2"/>
    <x v="1"/>
  </r>
  <r>
    <s v="Singapore"/>
    <x v="4"/>
    <s v="SG2"/>
    <m/>
    <x v="1"/>
    <x v="4"/>
    <x v="1"/>
    <x v="5"/>
    <x v="0"/>
    <x v="0"/>
    <x v="0"/>
    <m/>
    <x v="0"/>
    <x v="0"/>
    <n v="-0.12463200000000001"/>
    <m/>
    <x v="0"/>
    <x v="2"/>
    <x v="0"/>
    <x v="5"/>
    <x v="1"/>
  </r>
  <r>
    <s v="Singapore"/>
    <x v="4"/>
    <s v="SG1"/>
    <m/>
    <x v="5"/>
    <x v="1"/>
    <x v="4"/>
    <x v="0"/>
    <x v="0"/>
    <x v="0"/>
    <x v="0"/>
    <m/>
    <x v="0"/>
    <x v="0"/>
    <n v="4.0583295000000001"/>
    <m/>
    <x v="1"/>
    <x v="3"/>
    <x v="0"/>
    <x v="4"/>
    <x v="0"/>
  </r>
  <r>
    <s v="Singapore"/>
    <x v="4"/>
    <s v="SG3"/>
    <m/>
    <x v="2"/>
    <x v="1"/>
    <x v="0"/>
    <x v="3"/>
    <x v="0"/>
    <x v="0"/>
    <x v="0"/>
    <m/>
    <x v="0"/>
    <x v="0"/>
    <n v="5.0475960000000004"/>
    <m/>
    <x v="7"/>
    <x v="2"/>
    <x v="0"/>
    <x v="2"/>
    <x v="0"/>
  </r>
  <r>
    <s v="Singapore"/>
    <x v="2"/>
    <s v="SG3"/>
    <m/>
    <x v="5"/>
    <x v="3"/>
    <x v="3"/>
    <x v="2"/>
    <x v="0"/>
    <x v="0"/>
    <x v="0"/>
    <m/>
    <x v="0"/>
    <x v="0"/>
    <n v="-4.6737000000000001E-2"/>
    <m/>
    <x v="0"/>
    <x v="0"/>
    <x v="0"/>
    <x v="2"/>
    <x v="1"/>
  </r>
  <r>
    <s v="Singapore"/>
    <x v="3"/>
    <s v="SG4"/>
    <m/>
    <x v="5"/>
    <x v="4"/>
    <x v="1"/>
    <x v="2"/>
    <x v="0"/>
    <x v="0"/>
    <x v="0"/>
    <m/>
    <x v="0"/>
    <x v="0"/>
    <n v="-4.36212"/>
    <m/>
    <x v="4"/>
    <x v="0"/>
    <x v="0"/>
    <x v="0"/>
    <x v="2"/>
  </r>
  <r>
    <s v="Singapore"/>
    <x v="2"/>
    <s v="SG2"/>
    <m/>
    <x v="5"/>
    <x v="2"/>
    <x v="2"/>
    <x v="2"/>
    <x v="0"/>
    <x v="0"/>
    <x v="0"/>
    <m/>
    <x v="0"/>
    <x v="0"/>
    <n v="-0.12463200000000001"/>
    <m/>
    <x v="0"/>
    <x v="1"/>
    <x v="0"/>
    <x v="0"/>
    <x v="2"/>
  </r>
  <r>
    <s v="Singapore"/>
    <x v="2"/>
    <s v="SG1"/>
    <m/>
    <x v="2"/>
    <x v="1"/>
    <x v="3"/>
    <x v="4"/>
    <x v="0"/>
    <x v="0"/>
    <x v="0"/>
    <m/>
    <x v="0"/>
    <x v="0"/>
    <n v="-0.21810600000000002"/>
    <m/>
    <x v="1"/>
    <x v="2"/>
    <x v="0"/>
    <x v="2"/>
    <x v="2"/>
  </r>
  <r>
    <s v="Singapore"/>
    <x v="5"/>
    <s v="SG2"/>
    <m/>
    <x v="4"/>
    <x v="2"/>
    <x v="0"/>
    <x v="5"/>
    <x v="0"/>
    <x v="0"/>
    <x v="0"/>
    <m/>
    <x v="0"/>
    <x v="0"/>
    <n v="0.13989942"/>
    <m/>
    <x v="3"/>
    <x v="3"/>
    <x v="0"/>
    <x v="0"/>
    <x v="2"/>
  </r>
  <r>
    <s v="Singapore"/>
    <x v="3"/>
    <s v="SG1"/>
    <m/>
    <x v="0"/>
    <x v="1"/>
    <x v="1"/>
    <x v="4"/>
    <x v="0"/>
    <x v="0"/>
    <x v="0"/>
    <m/>
    <x v="0"/>
    <x v="0"/>
    <n v="-5.7528729090000006"/>
    <m/>
    <x v="7"/>
    <x v="2"/>
    <x v="0"/>
    <x v="4"/>
    <x v="2"/>
  </r>
  <r>
    <s v="Singapore"/>
    <x v="5"/>
    <s v="SG3"/>
    <m/>
    <x v="5"/>
    <x v="3"/>
    <x v="0"/>
    <x v="5"/>
    <x v="0"/>
    <x v="0"/>
    <x v="0"/>
    <m/>
    <x v="0"/>
    <x v="0"/>
    <n v="-0.21810600000000002"/>
    <m/>
    <x v="4"/>
    <x v="3"/>
    <x v="0"/>
    <x v="2"/>
    <x v="2"/>
  </r>
  <r>
    <s v="Singapore"/>
    <x v="3"/>
    <s v="SG1"/>
    <m/>
    <x v="0"/>
    <x v="0"/>
    <x v="2"/>
    <x v="5"/>
    <x v="0"/>
    <x v="0"/>
    <x v="0"/>
    <m/>
    <x v="0"/>
    <x v="0"/>
    <n v="-0.42842250000000004"/>
    <m/>
    <x v="7"/>
    <x v="2"/>
    <x v="0"/>
    <x v="4"/>
    <x v="0"/>
  </r>
  <r>
    <s v="Singapore"/>
    <x v="5"/>
    <s v="SG3"/>
    <m/>
    <x v="0"/>
    <x v="0"/>
    <x v="2"/>
    <x v="1"/>
    <x v="0"/>
    <x v="0"/>
    <x v="0"/>
    <m/>
    <x v="0"/>
    <x v="0"/>
    <n v="1.1365659450000001"/>
    <m/>
    <x v="1"/>
    <x v="1"/>
    <x v="0"/>
    <x v="3"/>
    <x v="1"/>
  </r>
  <r>
    <s v="Singapore"/>
    <x v="3"/>
    <s v="SG3"/>
    <m/>
    <x v="0"/>
    <x v="1"/>
    <x v="4"/>
    <x v="3"/>
    <x v="0"/>
    <x v="0"/>
    <x v="0"/>
    <m/>
    <x v="0"/>
    <x v="0"/>
    <n v="-0.15579000000000001"/>
    <m/>
    <x v="0"/>
    <x v="3"/>
    <x v="0"/>
    <x v="4"/>
    <x v="0"/>
  </r>
  <r>
    <s v="Singapore"/>
    <x v="1"/>
    <s v="SG2"/>
    <m/>
    <x v="1"/>
    <x v="4"/>
    <x v="1"/>
    <x v="5"/>
    <x v="0"/>
    <x v="0"/>
    <x v="0"/>
    <m/>
    <x v="0"/>
    <x v="0"/>
    <n v="-10.087698501"/>
    <m/>
    <x v="3"/>
    <x v="0"/>
    <x v="0"/>
    <x v="4"/>
    <x v="1"/>
  </r>
  <r>
    <s v="Singapore"/>
    <x v="1"/>
    <s v="SG2"/>
    <m/>
    <x v="5"/>
    <x v="0"/>
    <x v="0"/>
    <x v="0"/>
    <x v="0"/>
    <x v="0"/>
    <x v="0"/>
    <m/>
    <x v="0"/>
    <x v="0"/>
    <n v="1.5423210000000001"/>
    <m/>
    <x v="1"/>
    <x v="1"/>
    <x v="0"/>
    <x v="4"/>
    <x v="2"/>
  </r>
  <r>
    <s v="Singapore"/>
    <x v="2"/>
    <s v="SG4"/>
    <m/>
    <x v="1"/>
    <x v="2"/>
    <x v="3"/>
    <x v="4"/>
    <x v="0"/>
    <x v="0"/>
    <x v="0"/>
    <m/>
    <x v="0"/>
    <x v="0"/>
    <n v="-0.50200211700000008"/>
    <m/>
    <x v="0"/>
    <x v="3"/>
    <x v="0"/>
    <x v="4"/>
    <x v="2"/>
  </r>
  <r>
    <s v="Singapore"/>
    <x v="1"/>
    <s v="SG3"/>
    <m/>
    <x v="4"/>
    <x v="0"/>
    <x v="2"/>
    <x v="5"/>
    <x v="0"/>
    <x v="0"/>
    <x v="0"/>
    <m/>
    <x v="0"/>
    <x v="0"/>
    <n v="1.9027255860000001"/>
    <m/>
    <x v="1"/>
    <x v="2"/>
    <x v="0"/>
    <x v="2"/>
    <x v="1"/>
  </r>
  <r>
    <s v="Singapore"/>
    <x v="3"/>
    <s v="SG3"/>
    <m/>
    <x v="0"/>
    <x v="1"/>
    <x v="2"/>
    <x v="4"/>
    <x v="0"/>
    <x v="0"/>
    <x v="0"/>
    <m/>
    <x v="0"/>
    <x v="0"/>
    <n v="-144.06212880000001"/>
    <m/>
    <x v="2"/>
    <x v="2"/>
    <x v="0"/>
    <x v="4"/>
    <x v="0"/>
  </r>
  <r>
    <s v="Singapore"/>
    <x v="3"/>
    <s v="SG2"/>
    <m/>
    <x v="0"/>
    <x v="2"/>
    <x v="3"/>
    <x v="5"/>
    <x v="0"/>
    <x v="0"/>
    <x v="0"/>
    <m/>
    <x v="0"/>
    <x v="0"/>
    <n v="0.15579000000000001"/>
    <m/>
    <x v="1"/>
    <x v="1"/>
    <x v="0"/>
    <x v="5"/>
    <x v="1"/>
  </r>
  <r>
    <s v="Singapore"/>
    <x v="3"/>
    <s v="SG3"/>
    <m/>
    <x v="4"/>
    <x v="3"/>
    <x v="0"/>
    <x v="0"/>
    <x v="0"/>
    <x v="0"/>
    <x v="0"/>
    <m/>
    <x v="0"/>
    <x v="0"/>
    <n v="-3.9664134000000004"/>
    <m/>
    <x v="3"/>
    <x v="1"/>
    <x v="0"/>
    <x v="0"/>
    <x v="1"/>
  </r>
  <r>
    <s v="Singapore"/>
    <x v="0"/>
    <s v="SG3"/>
    <m/>
    <x v="1"/>
    <x v="1"/>
    <x v="0"/>
    <x v="3"/>
    <x v="0"/>
    <x v="0"/>
    <x v="0"/>
    <m/>
    <x v="0"/>
    <x v="0"/>
    <n v="-0.1308636"/>
    <m/>
    <x v="3"/>
    <x v="3"/>
    <x v="0"/>
    <x v="2"/>
    <x v="2"/>
  </r>
  <r>
    <s v="Singapore"/>
    <x v="4"/>
    <s v="SG3"/>
    <m/>
    <x v="2"/>
    <x v="1"/>
    <x v="4"/>
    <x v="0"/>
    <x v="0"/>
    <x v="0"/>
    <x v="0"/>
    <m/>
    <x v="0"/>
    <x v="0"/>
    <n v="0.84126600000000007"/>
    <m/>
    <x v="0"/>
    <x v="1"/>
    <x v="0"/>
    <x v="4"/>
    <x v="2"/>
  </r>
  <r>
    <s v="Singapore"/>
    <x v="5"/>
    <s v="SG4"/>
    <m/>
    <x v="5"/>
    <x v="1"/>
    <x v="2"/>
    <x v="5"/>
    <x v="0"/>
    <x v="0"/>
    <x v="0"/>
    <m/>
    <x v="0"/>
    <x v="0"/>
    <n v="-0.12463200000000001"/>
    <m/>
    <x v="0"/>
    <x v="1"/>
    <x v="0"/>
    <x v="3"/>
    <x v="1"/>
  </r>
  <r>
    <s v="Singapore"/>
    <x v="0"/>
    <s v="SG4"/>
    <m/>
    <x v="4"/>
    <x v="3"/>
    <x v="2"/>
    <x v="0"/>
    <x v="0"/>
    <x v="0"/>
    <x v="0"/>
    <m/>
    <x v="0"/>
    <x v="0"/>
    <n v="-0.38947500000000002"/>
    <m/>
    <x v="2"/>
    <x v="0"/>
    <x v="0"/>
    <x v="0"/>
    <x v="2"/>
  </r>
  <r>
    <s v="Singapore"/>
    <x v="4"/>
    <s v="SG4"/>
    <m/>
    <x v="1"/>
    <x v="3"/>
    <x v="3"/>
    <x v="5"/>
    <x v="0"/>
    <x v="0"/>
    <x v="0"/>
    <m/>
    <x v="0"/>
    <x v="0"/>
    <n v="-23.368500000000001"/>
    <m/>
    <x v="5"/>
    <x v="3"/>
    <x v="0"/>
    <x v="1"/>
    <x v="2"/>
  </r>
  <r>
    <s v="Singapore"/>
    <x v="0"/>
    <s v="SG4"/>
    <m/>
    <x v="5"/>
    <x v="0"/>
    <x v="3"/>
    <x v="5"/>
    <x v="0"/>
    <x v="0"/>
    <x v="0"/>
    <m/>
    <x v="0"/>
    <x v="0"/>
    <n v="-0.46737000000000001"/>
    <m/>
    <x v="4"/>
    <x v="3"/>
    <x v="0"/>
    <x v="1"/>
    <x v="2"/>
  </r>
  <r>
    <s v="Singapore"/>
    <x v="0"/>
    <s v="SG2"/>
    <m/>
    <x v="3"/>
    <x v="2"/>
    <x v="4"/>
    <x v="1"/>
    <x v="0"/>
    <x v="0"/>
    <x v="0"/>
    <m/>
    <x v="0"/>
    <x v="0"/>
    <n v="-2.7263250000000001"/>
    <m/>
    <x v="1"/>
    <x v="1"/>
    <x v="0"/>
    <x v="2"/>
    <x v="2"/>
  </r>
  <r>
    <s v="Singapore"/>
    <x v="0"/>
    <s v="SG4"/>
    <m/>
    <x v="2"/>
    <x v="3"/>
    <x v="3"/>
    <x v="5"/>
    <x v="0"/>
    <x v="0"/>
    <x v="0"/>
    <m/>
    <x v="0"/>
    <x v="0"/>
    <n v="0.15579000000000001"/>
    <m/>
    <x v="1"/>
    <x v="2"/>
    <x v="0"/>
    <x v="5"/>
    <x v="1"/>
  </r>
  <r>
    <s v="Singapore"/>
    <x v="1"/>
    <s v="SG1"/>
    <m/>
    <x v="2"/>
    <x v="0"/>
    <x v="1"/>
    <x v="4"/>
    <x v="0"/>
    <x v="0"/>
    <x v="0"/>
    <m/>
    <x v="0"/>
    <x v="0"/>
    <n v="0.35875321200000004"/>
    <m/>
    <x v="8"/>
    <x v="2"/>
    <x v="0"/>
    <x v="1"/>
    <x v="0"/>
  </r>
  <r>
    <s v="Singapore"/>
    <x v="3"/>
    <s v="SG3"/>
    <m/>
    <x v="0"/>
    <x v="1"/>
    <x v="4"/>
    <x v="5"/>
    <x v="0"/>
    <x v="0"/>
    <x v="0"/>
    <m/>
    <x v="0"/>
    <x v="0"/>
    <n v="-0.1838322"/>
    <m/>
    <x v="4"/>
    <x v="3"/>
    <x v="0"/>
    <x v="0"/>
    <x v="0"/>
  </r>
  <r>
    <s v="Singapore"/>
    <x v="3"/>
    <s v="SG2"/>
    <m/>
    <x v="4"/>
    <x v="2"/>
    <x v="3"/>
    <x v="3"/>
    <x v="0"/>
    <x v="0"/>
    <x v="0"/>
    <m/>
    <x v="0"/>
    <x v="0"/>
    <n v="-14.218875405000002"/>
    <m/>
    <x v="3"/>
    <x v="1"/>
    <x v="0"/>
    <x v="3"/>
    <x v="1"/>
  </r>
  <r>
    <s v="Singapore"/>
    <x v="3"/>
    <s v="SG1"/>
    <m/>
    <x v="2"/>
    <x v="0"/>
    <x v="4"/>
    <x v="1"/>
    <x v="0"/>
    <x v="0"/>
    <x v="0"/>
    <m/>
    <x v="0"/>
    <x v="0"/>
    <n v="-6.4964430000000002"/>
    <m/>
    <x v="8"/>
    <x v="1"/>
    <x v="0"/>
    <x v="2"/>
    <x v="1"/>
  </r>
  <r>
    <s v="Singapore"/>
    <x v="4"/>
    <s v="SG4"/>
    <m/>
    <x v="3"/>
    <x v="0"/>
    <x v="3"/>
    <x v="2"/>
    <x v="0"/>
    <x v="0"/>
    <x v="0"/>
    <m/>
    <x v="0"/>
    <x v="0"/>
    <n v="0.56863350000000001"/>
    <m/>
    <x v="8"/>
    <x v="0"/>
    <x v="0"/>
    <x v="0"/>
    <x v="2"/>
  </r>
  <r>
    <s v="Singapore"/>
    <x v="0"/>
    <s v="SG4"/>
    <m/>
    <x v="4"/>
    <x v="1"/>
    <x v="4"/>
    <x v="5"/>
    <x v="0"/>
    <x v="0"/>
    <x v="0"/>
    <m/>
    <x v="0"/>
    <x v="0"/>
    <n v="-0.31158000000000002"/>
    <m/>
    <x v="0"/>
    <x v="1"/>
    <x v="0"/>
    <x v="4"/>
    <x v="2"/>
  </r>
  <r>
    <s v="Singapore"/>
    <x v="4"/>
    <s v="SG4"/>
    <m/>
    <x v="5"/>
    <x v="3"/>
    <x v="2"/>
    <x v="0"/>
    <x v="0"/>
    <x v="0"/>
    <x v="0"/>
    <m/>
    <x v="0"/>
    <x v="0"/>
    <n v="38.947500000000005"/>
    <m/>
    <x v="7"/>
    <x v="1"/>
    <x v="0"/>
    <x v="0"/>
    <x v="1"/>
  </r>
  <r>
    <s v="Singapore"/>
    <x v="1"/>
    <s v="SG2"/>
    <m/>
    <x v="1"/>
    <x v="4"/>
    <x v="2"/>
    <x v="5"/>
    <x v="0"/>
    <x v="0"/>
    <x v="0"/>
    <m/>
    <x v="0"/>
    <x v="0"/>
    <n v="-0.77895000000000003"/>
    <m/>
    <x v="4"/>
    <x v="0"/>
    <x v="0"/>
    <x v="3"/>
    <x v="2"/>
  </r>
  <r>
    <s v="Singapore"/>
    <x v="2"/>
    <s v="SG2"/>
    <m/>
    <x v="1"/>
    <x v="4"/>
    <x v="0"/>
    <x v="4"/>
    <x v="0"/>
    <x v="0"/>
    <x v="0"/>
    <m/>
    <x v="0"/>
    <x v="0"/>
    <n v="26.3939418"/>
    <m/>
    <x v="7"/>
    <x v="1"/>
    <x v="0"/>
    <x v="2"/>
    <x v="1"/>
  </r>
  <r>
    <s v="Singapore"/>
    <x v="3"/>
    <s v="SG1"/>
    <m/>
    <x v="4"/>
    <x v="4"/>
    <x v="4"/>
    <x v="2"/>
    <x v="0"/>
    <x v="0"/>
    <x v="0"/>
    <m/>
    <x v="0"/>
    <x v="0"/>
    <n v="-0.1838322"/>
    <m/>
    <x v="4"/>
    <x v="1"/>
    <x v="0"/>
    <x v="3"/>
    <x v="2"/>
  </r>
  <r>
    <s v="Singapore"/>
    <x v="4"/>
    <s v="SG2"/>
    <m/>
    <x v="3"/>
    <x v="2"/>
    <x v="3"/>
    <x v="1"/>
    <x v="0"/>
    <x v="0"/>
    <x v="0"/>
    <m/>
    <x v="0"/>
    <x v="0"/>
    <n v="1.0801232280000002"/>
    <m/>
    <x v="1"/>
    <x v="2"/>
    <x v="0"/>
    <x v="1"/>
    <x v="2"/>
  </r>
  <r>
    <s v="Singapore"/>
    <x v="3"/>
    <s v="SG4"/>
    <m/>
    <x v="2"/>
    <x v="4"/>
    <x v="3"/>
    <x v="2"/>
    <x v="0"/>
    <x v="0"/>
    <x v="0"/>
    <m/>
    <x v="0"/>
    <x v="0"/>
    <n v="0.37389600000000001"/>
    <m/>
    <x v="0"/>
    <x v="1"/>
    <x v="0"/>
    <x v="1"/>
    <x v="0"/>
  </r>
  <r>
    <s v="Singapore"/>
    <x v="4"/>
    <s v="SG3"/>
    <m/>
    <x v="4"/>
    <x v="2"/>
    <x v="4"/>
    <x v="4"/>
    <x v="0"/>
    <x v="0"/>
    <x v="0"/>
    <m/>
    <x v="0"/>
    <x v="0"/>
    <n v="-0.21810600000000002"/>
    <m/>
    <x v="0"/>
    <x v="2"/>
    <x v="0"/>
    <x v="3"/>
    <x v="2"/>
  </r>
  <r>
    <s v="Singapore"/>
    <x v="5"/>
    <s v="SG2"/>
    <m/>
    <x v="0"/>
    <x v="1"/>
    <x v="0"/>
    <x v="5"/>
    <x v="0"/>
    <x v="0"/>
    <x v="0"/>
    <m/>
    <x v="0"/>
    <x v="0"/>
    <n v="5.428969920000001"/>
    <m/>
    <x v="9"/>
    <x v="0"/>
    <x v="0"/>
    <x v="3"/>
    <x v="0"/>
  </r>
  <r>
    <s v="Singapore"/>
    <x v="5"/>
    <s v="SG4"/>
    <m/>
    <x v="5"/>
    <x v="1"/>
    <x v="2"/>
    <x v="0"/>
    <x v="0"/>
    <x v="0"/>
    <x v="0"/>
    <m/>
    <x v="0"/>
    <x v="0"/>
    <n v="-1.2058146000000001"/>
    <m/>
    <x v="2"/>
    <x v="3"/>
    <x v="0"/>
    <x v="0"/>
    <x v="2"/>
  </r>
  <r>
    <s v="Singapore"/>
    <x v="0"/>
    <s v="SG2"/>
    <m/>
    <x v="0"/>
    <x v="2"/>
    <x v="0"/>
    <x v="2"/>
    <x v="0"/>
    <x v="0"/>
    <x v="0"/>
    <m/>
    <x v="0"/>
    <x v="0"/>
    <n v="-7.0105500000000001E-2"/>
    <m/>
    <x v="4"/>
    <x v="3"/>
    <x v="0"/>
    <x v="5"/>
    <x v="2"/>
  </r>
  <r>
    <s v="Singapore"/>
    <x v="1"/>
    <s v="SG2"/>
    <m/>
    <x v="2"/>
    <x v="3"/>
    <x v="4"/>
    <x v="0"/>
    <x v="0"/>
    <x v="0"/>
    <x v="0"/>
    <m/>
    <x v="0"/>
    <x v="0"/>
    <n v="0.12463200000000001"/>
    <m/>
    <x v="0"/>
    <x v="2"/>
    <x v="0"/>
    <x v="1"/>
    <x v="0"/>
  </r>
  <r>
    <s v="Singapore"/>
    <x v="0"/>
    <s v="SG1"/>
    <m/>
    <x v="5"/>
    <x v="0"/>
    <x v="3"/>
    <x v="2"/>
    <x v="0"/>
    <x v="0"/>
    <x v="0"/>
    <m/>
    <x v="0"/>
    <x v="0"/>
    <n v="-7.7895000000000006E-2"/>
    <m/>
    <x v="1"/>
    <x v="2"/>
    <x v="0"/>
    <x v="2"/>
    <x v="1"/>
  </r>
  <r>
    <s v="Singapore"/>
    <x v="2"/>
    <s v="SG3"/>
    <m/>
    <x v="3"/>
    <x v="1"/>
    <x v="3"/>
    <x v="2"/>
    <x v="0"/>
    <x v="0"/>
    <x v="0"/>
    <m/>
    <x v="0"/>
    <x v="0"/>
    <n v="-25.658613000000003"/>
    <m/>
    <x v="4"/>
    <x v="2"/>
    <x v="0"/>
    <x v="4"/>
    <x v="2"/>
  </r>
  <r>
    <s v="Singapore"/>
    <x v="4"/>
    <s v="SG4"/>
    <m/>
    <x v="0"/>
    <x v="1"/>
    <x v="1"/>
    <x v="5"/>
    <x v="0"/>
    <x v="0"/>
    <x v="0"/>
    <m/>
    <x v="0"/>
    <x v="0"/>
    <n v="-0.233685"/>
    <m/>
    <x v="0"/>
    <x v="3"/>
    <x v="0"/>
    <x v="4"/>
    <x v="2"/>
  </r>
  <r>
    <s v="Singapore"/>
    <x v="3"/>
    <s v="SG4"/>
    <m/>
    <x v="1"/>
    <x v="2"/>
    <x v="1"/>
    <x v="2"/>
    <x v="0"/>
    <x v="0"/>
    <x v="0"/>
    <m/>
    <x v="0"/>
    <x v="0"/>
    <n v="-0.30379050000000002"/>
    <m/>
    <x v="0"/>
    <x v="3"/>
    <x v="0"/>
    <x v="4"/>
    <x v="2"/>
  </r>
  <r>
    <s v="Singapore"/>
    <x v="5"/>
    <s v="SG4"/>
    <m/>
    <x v="1"/>
    <x v="4"/>
    <x v="0"/>
    <x v="1"/>
    <x v="0"/>
    <x v="0"/>
    <x v="0"/>
    <m/>
    <x v="0"/>
    <x v="0"/>
    <n v="-0.12463200000000001"/>
    <m/>
    <x v="4"/>
    <x v="2"/>
    <x v="0"/>
    <x v="2"/>
    <x v="0"/>
  </r>
  <r>
    <s v="Singapore"/>
    <x v="1"/>
    <s v="SG2"/>
    <m/>
    <x v="5"/>
    <x v="3"/>
    <x v="2"/>
    <x v="5"/>
    <x v="0"/>
    <x v="0"/>
    <x v="0"/>
    <m/>
    <x v="0"/>
    <x v="0"/>
    <n v="3.8947500000000002"/>
    <m/>
    <x v="1"/>
    <x v="0"/>
    <x v="0"/>
    <x v="3"/>
    <x v="0"/>
  </r>
  <r>
    <s v="Singapore"/>
    <x v="3"/>
    <s v="SG3"/>
    <m/>
    <x v="5"/>
    <x v="2"/>
    <x v="3"/>
    <x v="2"/>
    <x v="0"/>
    <x v="0"/>
    <x v="0"/>
    <m/>
    <x v="0"/>
    <x v="0"/>
    <n v="-1.9162170000000001"/>
    <m/>
    <x v="7"/>
    <x v="0"/>
    <x v="0"/>
    <x v="4"/>
    <x v="0"/>
  </r>
  <r>
    <s v="Singapore"/>
    <x v="4"/>
    <s v="SG2"/>
    <m/>
    <x v="3"/>
    <x v="2"/>
    <x v="4"/>
    <x v="1"/>
    <x v="0"/>
    <x v="0"/>
    <x v="0"/>
    <m/>
    <x v="0"/>
    <x v="0"/>
    <n v="-0.31158000000000002"/>
    <m/>
    <x v="4"/>
    <x v="0"/>
    <x v="0"/>
    <x v="0"/>
    <x v="0"/>
  </r>
  <r>
    <s v="Singapore"/>
    <x v="3"/>
    <s v="SG2"/>
    <m/>
    <x v="4"/>
    <x v="4"/>
    <x v="4"/>
    <x v="0"/>
    <x v="0"/>
    <x v="0"/>
    <x v="0"/>
    <m/>
    <x v="0"/>
    <x v="0"/>
    <n v="0.17136900000000002"/>
    <m/>
    <x v="0"/>
    <x v="3"/>
    <x v="0"/>
    <x v="5"/>
    <x v="2"/>
  </r>
  <r>
    <s v="Singapore"/>
    <x v="3"/>
    <s v="SG1"/>
    <m/>
    <x v="5"/>
    <x v="1"/>
    <x v="2"/>
    <x v="3"/>
    <x v="0"/>
    <x v="0"/>
    <x v="0"/>
    <m/>
    <x v="0"/>
    <x v="0"/>
    <n v="0.79136646300000013"/>
    <m/>
    <x v="1"/>
    <x v="3"/>
    <x v="0"/>
    <x v="5"/>
    <x v="1"/>
  </r>
  <r>
    <s v="Singapore"/>
    <x v="4"/>
    <s v="SG1"/>
    <m/>
    <x v="5"/>
    <x v="1"/>
    <x v="4"/>
    <x v="2"/>
    <x v="0"/>
    <x v="0"/>
    <x v="0"/>
    <m/>
    <x v="0"/>
    <x v="0"/>
    <n v="1.3008465"/>
    <m/>
    <x v="1"/>
    <x v="0"/>
    <x v="0"/>
    <x v="3"/>
    <x v="0"/>
  </r>
  <r>
    <s v="Singapore"/>
    <x v="2"/>
    <s v="SG2"/>
    <m/>
    <x v="5"/>
    <x v="4"/>
    <x v="4"/>
    <x v="1"/>
    <x v="0"/>
    <x v="0"/>
    <x v="0"/>
    <m/>
    <x v="0"/>
    <x v="0"/>
    <n v="0.1324215"/>
    <m/>
    <x v="1"/>
    <x v="1"/>
    <x v="0"/>
    <x v="2"/>
    <x v="1"/>
  </r>
  <r>
    <s v="Singapore"/>
    <x v="5"/>
    <s v="SG2"/>
    <m/>
    <x v="5"/>
    <x v="4"/>
    <x v="3"/>
    <x v="3"/>
    <x v="0"/>
    <x v="0"/>
    <x v="0"/>
    <m/>
    <x v="0"/>
    <x v="0"/>
    <n v="-12.416400684000001"/>
    <m/>
    <x v="3"/>
    <x v="3"/>
    <x v="0"/>
    <x v="4"/>
    <x v="0"/>
  </r>
  <r>
    <s v="Singapore"/>
    <x v="2"/>
    <s v="SG2"/>
    <m/>
    <x v="3"/>
    <x v="2"/>
    <x v="3"/>
    <x v="2"/>
    <x v="0"/>
    <x v="0"/>
    <x v="0"/>
    <m/>
    <x v="0"/>
    <x v="0"/>
    <n v="0.94252950000000002"/>
    <m/>
    <x v="1"/>
    <x v="3"/>
    <x v="0"/>
    <x v="1"/>
    <x v="1"/>
  </r>
  <r>
    <s v="Singapore"/>
    <x v="4"/>
    <s v="SG4"/>
    <m/>
    <x v="4"/>
    <x v="0"/>
    <x v="2"/>
    <x v="5"/>
    <x v="0"/>
    <x v="0"/>
    <x v="0"/>
    <m/>
    <x v="0"/>
    <x v="0"/>
    <n v="-0.15579000000000001"/>
    <m/>
    <x v="0"/>
    <x v="1"/>
    <x v="0"/>
    <x v="3"/>
    <x v="2"/>
  </r>
  <r>
    <s v="Singapore"/>
    <x v="0"/>
    <s v="SG2"/>
    <m/>
    <x v="0"/>
    <x v="4"/>
    <x v="4"/>
    <x v="0"/>
    <x v="0"/>
    <x v="0"/>
    <x v="0"/>
    <m/>
    <x v="0"/>
    <x v="0"/>
    <n v="-13.888444815000001"/>
    <m/>
    <x v="1"/>
    <x v="2"/>
    <x v="0"/>
    <x v="5"/>
    <x v="1"/>
  </r>
  <r>
    <s v="Singapore"/>
    <x v="5"/>
    <s v="SG3"/>
    <m/>
    <x v="5"/>
    <x v="2"/>
    <x v="1"/>
    <x v="1"/>
    <x v="0"/>
    <x v="0"/>
    <x v="0"/>
    <m/>
    <x v="0"/>
    <x v="0"/>
    <n v="-7.7895000000000006E-2"/>
    <m/>
    <x v="4"/>
    <x v="1"/>
    <x v="0"/>
    <x v="4"/>
    <x v="2"/>
  </r>
  <r>
    <s v="Singapore"/>
    <x v="4"/>
    <s v="SG3"/>
    <m/>
    <x v="3"/>
    <x v="0"/>
    <x v="3"/>
    <x v="1"/>
    <x v="0"/>
    <x v="0"/>
    <x v="0"/>
    <m/>
    <x v="0"/>
    <x v="0"/>
    <n v="5.9555556990000005"/>
    <m/>
    <x v="8"/>
    <x v="2"/>
    <x v="0"/>
    <x v="4"/>
    <x v="1"/>
  </r>
  <r>
    <s v="Singapore"/>
    <x v="0"/>
    <s v="SG3"/>
    <m/>
    <x v="1"/>
    <x v="1"/>
    <x v="0"/>
    <x v="3"/>
    <x v="0"/>
    <x v="0"/>
    <x v="0"/>
    <m/>
    <x v="0"/>
    <x v="0"/>
    <n v="-0.12463200000000001"/>
    <m/>
    <x v="0"/>
    <x v="0"/>
    <x v="0"/>
    <x v="5"/>
    <x v="0"/>
  </r>
  <r>
    <s v="Singapore"/>
    <x v="5"/>
    <s v="SG1"/>
    <m/>
    <x v="3"/>
    <x v="4"/>
    <x v="3"/>
    <x v="4"/>
    <x v="0"/>
    <x v="0"/>
    <x v="0"/>
    <m/>
    <x v="0"/>
    <x v="0"/>
    <n v="1.0801232280000002"/>
    <m/>
    <x v="1"/>
    <x v="2"/>
    <x v="0"/>
    <x v="2"/>
    <x v="0"/>
  </r>
  <r>
    <s v="Singapore"/>
    <x v="1"/>
    <s v="SG3"/>
    <m/>
    <x v="2"/>
    <x v="4"/>
    <x v="2"/>
    <x v="2"/>
    <x v="0"/>
    <x v="0"/>
    <x v="0"/>
    <m/>
    <x v="0"/>
    <x v="0"/>
    <n v="-3.7389600000000001"/>
    <m/>
    <x v="4"/>
    <x v="0"/>
    <x v="0"/>
    <x v="4"/>
    <x v="0"/>
  </r>
  <r>
    <s v="Singapore"/>
    <x v="3"/>
    <s v="SG3"/>
    <m/>
    <x v="3"/>
    <x v="3"/>
    <x v="1"/>
    <x v="2"/>
    <x v="0"/>
    <x v="0"/>
    <x v="0"/>
    <m/>
    <x v="0"/>
    <x v="0"/>
    <n v="-7.7895000000000006E-2"/>
    <m/>
    <x v="1"/>
    <x v="0"/>
    <x v="0"/>
    <x v="5"/>
    <x v="0"/>
  </r>
  <r>
    <s v="Singapore"/>
    <x v="4"/>
    <s v="SG3"/>
    <m/>
    <x v="5"/>
    <x v="2"/>
    <x v="1"/>
    <x v="1"/>
    <x v="0"/>
    <x v="0"/>
    <x v="0"/>
    <m/>
    <x v="0"/>
    <x v="0"/>
    <n v="-0.31158000000000002"/>
    <m/>
    <x v="0"/>
    <x v="3"/>
    <x v="0"/>
    <x v="1"/>
    <x v="0"/>
  </r>
  <r>
    <s v="Singapore"/>
    <x v="5"/>
    <s v="SG3"/>
    <m/>
    <x v="5"/>
    <x v="0"/>
    <x v="1"/>
    <x v="5"/>
    <x v="0"/>
    <x v="0"/>
    <x v="0"/>
    <m/>
    <x v="0"/>
    <x v="0"/>
    <n v="-0.15579000000000001"/>
    <m/>
    <x v="4"/>
    <x v="2"/>
    <x v="0"/>
    <x v="0"/>
    <x v="0"/>
  </r>
  <r>
    <s v="Singapore"/>
    <x v="3"/>
    <s v="SG3"/>
    <m/>
    <x v="0"/>
    <x v="0"/>
    <x v="0"/>
    <x v="2"/>
    <x v="0"/>
    <x v="0"/>
    <x v="0"/>
    <m/>
    <x v="0"/>
    <x v="0"/>
    <n v="-0.24926400000000001"/>
    <m/>
    <x v="0"/>
    <x v="0"/>
    <x v="0"/>
    <x v="5"/>
    <x v="2"/>
  </r>
  <r>
    <s v="Singapore"/>
    <x v="5"/>
    <s v="SG3"/>
    <m/>
    <x v="3"/>
    <x v="2"/>
    <x v="3"/>
    <x v="0"/>
    <x v="0"/>
    <x v="0"/>
    <x v="0"/>
    <m/>
    <x v="0"/>
    <x v="0"/>
    <n v="-0.55674672300000005"/>
    <m/>
    <x v="0"/>
    <x v="1"/>
    <x v="0"/>
    <x v="0"/>
    <x v="0"/>
  </r>
  <r>
    <s v="Singapore"/>
    <x v="0"/>
    <s v="SG3"/>
    <m/>
    <x v="4"/>
    <x v="2"/>
    <x v="0"/>
    <x v="2"/>
    <x v="0"/>
    <x v="0"/>
    <x v="0"/>
    <m/>
    <x v="0"/>
    <x v="0"/>
    <n v="-0.233685"/>
    <m/>
    <x v="0"/>
    <x v="0"/>
    <x v="0"/>
    <x v="5"/>
    <x v="0"/>
  </r>
  <r>
    <s v="Singapore"/>
    <x v="3"/>
    <s v="SG1"/>
    <m/>
    <x v="0"/>
    <x v="3"/>
    <x v="4"/>
    <x v="5"/>
    <x v="0"/>
    <x v="0"/>
    <x v="0"/>
    <m/>
    <x v="0"/>
    <x v="0"/>
    <n v="-0.20252700000000001"/>
    <m/>
    <x v="8"/>
    <x v="3"/>
    <x v="0"/>
    <x v="4"/>
    <x v="1"/>
  </r>
  <r>
    <s v="Singapore"/>
    <x v="1"/>
    <s v="SG1"/>
    <m/>
    <x v="0"/>
    <x v="3"/>
    <x v="0"/>
    <x v="3"/>
    <x v="0"/>
    <x v="0"/>
    <x v="0"/>
    <m/>
    <x v="0"/>
    <x v="0"/>
    <n v="-16.280055000000001"/>
    <m/>
    <x v="1"/>
    <x v="1"/>
    <x v="0"/>
    <x v="3"/>
    <x v="1"/>
  </r>
  <r>
    <s v="Singapore"/>
    <x v="4"/>
    <s v="SG3"/>
    <m/>
    <x v="5"/>
    <x v="1"/>
    <x v="0"/>
    <x v="5"/>
    <x v="0"/>
    <x v="0"/>
    <x v="0"/>
    <m/>
    <x v="0"/>
    <x v="0"/>
    <n v="-7.7895000000000004E-3"/>
    <m/>
    <x v="0"/>
    <x v="0"/>
    <x v="0"/>
    <x v="5"/>
    <x v="1"/>
  </r>
  <r>
    <s v="Singapore"/>
    <x v="3"/>
    <s v="SG2"/>
    <m/>
    <x v="4"/>
    <x v="1"/>
    <x v="4"/>
    <x v="5"/>
    <x v="0"/>
    <x v="0"/>
    <x v="0"/>
    <m/>
    <x v="0"/>
    <x v="0"/>
    <n v="-2.0252700000000002E-2"/>
    <m/>
    <x v="2"/>
    <x v="1"/>
    <x v="0"/>
    <x v="3"/>
    <x v="1"/>
  </r>
  <r>
    <s v="Singapore"/>
    <x v="1"/>
    <s v="SG4"/>
    <m/>
    <x v="5"/>
    <x v="1"/>
    <x v="4"/>
    <x v="1"/>
    <x v="0"/>
    <x v="0"/>
    <x v="0"/>
    <m/>
    <x v="0"/>
    <x v="0"/>
    <n v="-5.6084399999999999"/>
    <m/>
    <x v="1"/>
    <x v="1"/>
    <x v="0"/>
    <x v="3"/>
    <x v="1"/>
  </r>
  <r>
    <s v="Singapore"/>
    <x v="4"/>
    <s v="SG1"/>
    <m/>
    <x v="1"/>
    <x v="2"/>
    <x v="1"/>
    <x v="3"/>
    <x v="0"/>
    <x v="0"/>
    <x v="0"/>
    <m/>
    <x v="0"/>
    <x v="0"/>
    <n v="-0.20252700000000001"/>
    <m/>
    <x v="0"/>
    <x v="1"/>
    <x v="0"/>
    <x v="2"/>
    <x v="1"/>
  </r>
  <r>
    <s v="Singapore"/>
    <x v="2"/>
    <s v="SG4"/>
    <m/>
    <x v="3"/>
    <x v="2"/>
    <x v="0"/>
    <x v="0"/>
    <x v="0"/>
    <x v="0"/>
    <x v="0"/>
    <m/>
    <x v="0"/>
    <x v="0"/>
    <n v="2.3228289000000003E-2"/>
    <m/>
    <x v="8"/>
    <x v="2"/>
    <x v="0"/>
    <x v="2"/>
    <x v="0"/>
  </r>
  <r>
    <s v="Singapore"/>
    <x v="4"/>
    <s v="SG2"/>
    <m/>
    <x v="4"/>
    <x v="0"/>
    <x v="4"/>
    <x v="0"/>
    <x v="0"/>
    <x v="0"/>
    <x v="0"/>
    <m/>
    <x v="0"/>
    <x v="0"/>
    <n v="-8.4329127000000004E-2"/>
    <m/>
    <x v="3"/>
    <x v="0"/>
    <x v="0"/>
    <x v="1"/>
    <x v="1"/>
  </r>
  <r>
    <s v="Singapore"/>
    <x v="0"/>
    <s v="SG4"/>
    <m/>
    <x v="5"/>
    <x v="1"/>
    <x v="2"/>
    <x v="5"/>
    <x v="0"/>
    <x v="0"/>
    <x v="0"/>
    <m/>
    <x v="0"/>
    <x v="0"/>
    <n v="1.5579000000000001E-2"/>
    <m/>
    <x v="0"/>
    <x v="1"/>
    <x v="0"/>
    <x v="5"/>
    <x v="2"/>
  </r>
  <r>
    <s v="Singapore"/>
    <x v="2"/>
    <s v="SG4"/>
    <m/>
    <x v="2"/>
    <x v="0"/>
    <x v="3"/>
    <x v="1"/>
    <x v="0"/>
    <x v="0"/>
    <x v="0"/>
    <m/>
    <x v="0"/>
    <x v="0"/>
    <n v="-2.570535"/>
    <m/>
    <x v="1"/>
    <x v="0"/>
    <x v="0"/>
    <x v="1"/>
    <x v="2"/>
  </r>
  <r>
    <s v="Singapore"/>
    <x v="3"/>
    <s v="SG3"/>
    <m/>
    <x v="0"/>
    <x v="0"/>
    <x v="2"/>
    <x v="2"/>
    <x v="0"/>
    <x v="0"/>
    <x v="0"/>
    <m/>
    <x v="0"/>
    <x v="0"/>
    <n v="-0.233685"/>
    <m/>
    <x v="0"/>
    <x v="1"/>
    <x v="0"/>
    <x v="1"/>
    <x v="0"/>
  </r>
  <r>
    <s v="Singapore"/>
    <x v="5"/>
    <s v="SG4"/>
    <m/>
    <x v="1"/>
    <x v="4"/>
    <x v="3"/>
    <x v="0"/>
    <x v="0"/>
    <x v="0"/>
    <x v="0"/>
    <m/>
    <x v="0"/>
    <x v="0"/>
    <n v="-4.6737000000000001E-2"/>
    <m/>
    <x v="0"/>
    <x v="3"/>
    <x v="0"/>
    <x v="4"/>
    <x v="2"/>
  </r>
  <r>
    <s v="Singapore"/>
    <x v="1"/>
    <s v="SG3"/>
    <m/>
    <x v="0"/>
    <x v="3"/>
    <x v="4"/>
    <x v="0"/>
    <x v="0"/>
    <x v="0"/>
    <x v="0"/>
    <m/>
    <x v="0"/>
    <x v="0"/>
    <n v="-0.15579000000000001"/>
    <m/>
    <x v="0"/>
    <x v="3"/>
    <x v="0"/>
    <x v="2"/>
    <x v="1"/>
  </r>
  <r>
    <s v="Singapore"/>
    <x v="5"/>
    <s v="SG3"/>
    <m/>
    <x v="1"/>
    <x v="0"/>
    <x v="4"/>
    <x v="2"/>
    <x v="0"/>
    <x v="0"/>
    <x v="0"/>
    <m/>
    <x v="0"/>
    <x v="0"/>
    <n v="-0.15579000000000001"/>
    <m/>
    <x v="4"/>
    <x v="3"/>
    <x v="0"/>
    <x v="0"/>
    <x v="1"/>
  </r>
  <r>
    <s v="Singapore"/>
    <x v="1"/>
    <s v="SG2"/>
    <m/>
    <x v="4"/>
    <x v="2"/>
    <x v="1"/>
    <x v="0"/>
    <x v="0"/>
    <x v="0"/>
    <x v="0"/>
    <m/>
    <x v="0"/>
    <x v="0"/>
    <n v="5.2360551629999996"/>
    <m/>
    <x v="8"/>
    <x v="3"/>
    <x v="0"/>
    <x v="4"/>
    <x v="1"/>
  </r>
  <r>
    <s v="Singapore"/>
    <x v="1"/>
    <s v="SG2"/>
    <m/>
    <x v="1"/>
    <x v="0"/>
    <x v="4"/>
    <x v="0"/>
    <x v="0"/>
    <x v="0"/>
    <x v="0"/>
    <m/>
    <x v="0"/>
    <x v="0"/>
    <n v="-0.21810600000000002"/>
    <m/>
    <x v="4"/>
    <x v="3"/>
    <x v="0"/>
    <x v="5"/>
    <x v="1"/>
  </r>
  <r>
    <s v="Singapore"/>
    <x v="5"/>
    <s v="SG2"/>
    <m/>
    <x v="3"/>
    <x v="1"/>
    <x v="2"/>
    <x v="3"/>
    <x v="0"/>
    <x v="0"/>
    <x v="0"/>
    <m/>
    <x v="0"/>
    <x v="0"/>
    <n v="0.94003685999999997"/>
    <m/>
    <x v="1"/>
    <x v="2"/>
    <x v="0"/>
    <x v="1"/>
    <x v="2"/>
  </r>
  <r>
    <s v="Singapore"/>
    <x v="1"/>
    <s v="SG4"/>
    <m/>
    <x v="2"/>
    <x v="3"/>
    <x v="4"/>
    <x v="0"/>
    <x v="0"/>
    <x v="0"/>
    <x v="0"/>
    <m/>
    <x v="0"/>
    <x v="0"/>
    <n v="-0.17136900000000002"/>
    <m/>
    <x v="0"/>
    <x v="2"/>
    <x v="0"/>
    <x v="2"/>
    <x v="2"/>
  </r>
  <r>
    <s v="Singapore"/>
    <x v="2"/>
    <s v="SG4"/>
    <m/>
    <x v="1"/>
    <x v="1"/>
    <x v="2"/>
    <x v="4"/>
    <x v="0"/>
    <x v="0"/>
    <x v="0"/>
    <m/>
    <x v="0"/>
    <x v="0"/>
    <n v="-0.12463200000000001"/>
    <m/>
    <x v="2"/>
    <x v="0"/>
    <x v="0"/>
    <x v="0"/>
    <x v="2"/>
  </r>
  <r>
    <s v="Singapore"/>
    <x v="0"/>
    <s v="SG2"/>
    <m/>
    <x v="2"/>
    <x v="1"/>
    <x v="1"/>
    <x v="0"/>
    <x v="0"/>
    <x v="0"/>
    <x v="0"/>
    <m/>
    <x v="0"/>
    <x v="0"/>
    <n v="-137.437938"/>
    <m/>
    <x v="2"/>
    <x v="0"/>
    <x v="0"/>
    <x v="2"/>
    <x v="2"/>
  </r>
  <r>
    <s v="Singapore"/>
    <x v="0"/>
    <s v="SG3"/>
    <m/>
    <x v="4"/>
    <x v="0"/>
    <x v="1"/>
    <x v="3"/>
    <x v="0"/>
    <x v="0"/>
    <x v="0"/>
    <m/>
    <x v="0"/>
    <x v="0"/>
    <n v="-0.55710504000000005"/>
    <m/>
    <x v="0"/>
    <x v="0"/>
    <x v="0"/>
    <x v="2"/>
    <x v="1"/>
  </r>
  <r>
    <s v="Singapore"/>
    <x v="1"/>
    <s v="SG2"/>
    <m/>
    <x v="4"/>
    <x v="3"/>
    <x v="1"/>
    <x v="4"/>
    <x v="0"/>
    <x v="0"/>
    <x v="0"/>
    <m/>
    <x v="0"/>
    <x v="0"/>
    <n v="-0.12626779500000002"/>
    <m/>
    <x v="4"/>
    <x v="2"/>
    <x v="0"/>
    <x v="4"/>
    <x v="1"/>
  </r>
  <r>
    <s v="Singapore"/>
    <x v="4"/>
    <s v="SG2"/>
    <m/>
    <x v="0"/>
    <x v="2"/>
    <x v="1"/>
    <x v="5"/>
    <x v="0"/>
    <x v="0"/>
    <x v="0"/>
    <m/>
    <x v="0"/>
    <x v="0"/>
    <n v="-0.140211"/>
    <m/>
    <x v="0"/>
    <x v="1"/>
    <x v="0"/>
    <x v="3"/>
    <x v="0"/>
  </r>
  <r>
    <s v="Singapore"/>
    <x v="4"/>
    <s v="SG4"/>
    <m/>
    <x v="1"/>
    <x v="2"/>
    <x v="0"/>
    <x v="2"/>
    <x v="0"/>
    <x v="0"/>
    <x v="0"/>
    <m/>
    <x v="0"/>
    <x v="0"/>
    <n v="-4.6737000000000001E-2"/>
    <m/>
    <x v="0"/>
    <x v="0"/>
    <x v="0"/>
    <x v="1"/>
    <x v="2"/>
  </r>
  <r>
    <s v="Singapore"/>
    <x v="4"/>
    <s v="SG1"/>
    <m/>
    <x v="1"/>
    <x v="0"/>
    <x v="2"/>
    <x v="5"/>
    <x v="0"/>
    <x v="0"/>
    <x v="0"/>
    <m/>
    <x v="0"/>
    <x v="0"/>
    <n v="0.33242470200000002"/>
    <m/>
    <x v="7"/>
    <x v="1"/>
    <x v="0"/>
    <x v="0"/>
    <x v="1"/>
  </r>
  <r>
    <s v="Singapore"/>
    <x v="5"/>
    <s v="SG3"/>
    <m/>
    <x v="0"/>
    <x v="3"/>
    <x v="2"/>
    <x v="0"/>
    <x v="0"/>
    <x v="0"/>
    <x v="0"/>
    <m/>
    <x v="0"/>
    <x v="0"/>
    <n v="-56.863350000000004"/>
    <m/>
    <x v="7"/>
    <x v="0"/>
    <x v="0"/>
    <x v="3"/>
    <x v="0"/>
  </r>
  <r>
    <s v="Singapore"/>
    <x v="5"/>
    <s v="SG4"/>
    <m/>
    <x v="4"/>
    <x v="2"/>
    <x v="3"/>
    <x v="1"/>
    <x v="0"/>
    <x v="0"/>
    <x v="0"/>
    <m/>
    <x v="0"/>
    <x v="0"/>
    <n v="1.2208483350000001"/>
    <m/>
    <x v="1"/>
    <x v="0"/>
    <x v="0"/>
    <x v="5"/>
    <x v="2"/>
  </r>
  <r>
    <s v="Singapore"/>
    <x v="4"/>
    <s v="SG4"/>
    <m/>
    <x v="2"/>
    <x v="2"/>
    <x v="4"/>
    <x v="4"/>
    <x v="0"/>
    <x v="0"/>
    <x v="0"/>
    <m/>
    <x v="0"/>
    <x v="0"/>
    <n v="1.9027255860000001"/>
    <m/>
    <x v="1"/>
    <x v="0"/>
    <x v="0"/>
    <x v="4"/>
    <x v="2"/>
  </r>
  <r>
    <s v="Singapore"/>
    <x v="4"/>
    <s v="SG2"/>
    <m/>
    <x v="0"/>
    <x v="0"/>
    <x v="2"/>
    <x v="0"/>
    <x v="0"/>
    <x v="0"/>
    <x v="0"/>
    <m/>
    <x v="0"/>
    <x v="0"/>
    <n v="-7.7895000000000006E-2"/>
    <m/>
    <x v="0"/>
    <x v="1"/>
    <x v="0"/>
    <x v="3"/>
    <x v="0"/>
  </r>
  <r>
    <s v="Singapore"/>
    <x v="1"/>
    <s v="SG1"/>
    <m/>
    <x v="2"/>
    <x v="4"/>
    <x v="0"/>
    <x v="3"/>
    <x v="0"/>
    <x v="0"/>
    <x v="0"/>
    <m/>
    <x v="0"/>
    <x v="0"/>
    <n v="-7.4779200000000004E-2"/>
    <m/>
    <x v="3"/>
    <x v="3"/>
    <x v="0"/>
    <x v="1"/>
    <x v="1"/>
  </r>
  <r>
    <s v="Singapore"/>
    <x v="3"/>
    <s v="SG1"/>
    <m/>
    <x v="2"/>
    <x v="3"/>
    <x v="4"/>
    <x v="2"/>
    <x v="0"/>
    <x v="0"/>
    <x v="0"/>
    <m/>
    <x v="0"/>
    <x v="0"/>
    <n v="-7.7895000000000006E-2"/>
    <m/>
    <x v="0"/>
    <x v="1"/>
    <x v="0"/>
    <x v="0"/>
    <x v="1"/>
  </r>
  <r>
    <s v="Singapore"/>
    <x v="0"/>
    <s v="SG3"/>
    <m/>
    <x v="4"/>
    <x v="2"/>
    <x v="4"/>
    <x v="1"/>
    <x v="0"/>
    <x v="0"/>
    <x v="0"/>
    <m/>
    <x v="0"/>
    <x v="0"/>
    <n v="0.12463200000000001"/>
    <m/>
    <x v="0"/>
    <x v="1"/>
    <x v="0"/>
    <x v="1"/>
    <x v="1"/>
  </r>
  <r>
    <s v="Singapore"/>
    <x v="3"/>
    <s v="SG4"/>
    <m/>
    <x v="0"/>
    <x v="2"/>
    <x v="1"/>
    <x v="3"/>
    <x v="0"/>
    <x v="0"/>
    <x v="0"/>
    <m/>
    <x v="0"/>
    <x v="0"/>
    <n v="0.62316000000000005"/>
    <m/>
    <x v="1"/>
    <x v="2"/>
    <x v="0"/>
    <x v="2"/>
    <x v="0"/>
  </r>
  <r>
    <s v="Singapore"/>
    <x v="1"/>
    <s v="SG3"/>
    <m/>
    <x v="2"/>
    <x v="1"/>
    <x v="4"/>
    <x v="1"/>
    <x v="0"/>
    <x v="0"/>
    <x v="0"/>
    <m/>
    <x v="0"/>
    <x v="0"/>
    <n v="-3.5052750000000004E-3"/>
    <m/>
    <x v="6"/>
    <x v="2"/>
    <x v="0"/>
    <x v="3"/>
    <x v="0"/>
  </r>
  <r>
    <s v="Singapore"/>
    <x v="3"/>
    <s v="SG3"/>
    <m/>
    <x v="5"/>
    <x v="4"/>
    <x v="1"/>
    <x v="3"/>
    <x v="0"/>
    <x v="0"/>
    <x v="0"/>
    <m/>
    <x v="0"/>
    <x v="0"/>
    <n v="-4.6737000000000001E-2"/>
    <m/>
    <x v="0"/>
    <x v="3"/>
    <x v="0"/>
    <x v="2"/>
    <x v="2"/>
  </r>
  <r>
    <s v="Singapore"/>
    <x v="5"/>
    <s v="SG3"/>
    <m/>
    <x v="1"/>
    <x v="4"/>
    <x v="3"/>
    <x v="2"/>
    <x v="0"/>
    <x v="0"/>
    <x v="0"/>
    <m/>
    <x v="0"/>
    <x v="0"/>
    <n v="2.7341145"/>
    <m/>
    <x v="8"/>
    <x v="0"/>
    <x v="0"/>
    <x v="5"/>
    <x v="2"/>
  </r>
  <r>
    <s v="Singapore"/>
    <x v="3"/>
    <s v="SG2"/>
    <m/>
    <x v="4"/>
    <x v="0"/>
    <x v="4"/>
    <x v="1"/>
    <x v="0"/>
    <x v="0"/>
    <x v="0"/>
    <m/>
    <x v="0"/>
    <x v="0"/>
    <n v="12.634569000000001"/>
    <m/>
    <x v="1"/>
    <x v="2"/>
    <x v="0"/>
    <x v="0"/>
    <x v="0"/>
  </r>
  <r>
    <s v="Singapore"/>
    <x v="2"/>
    <s v="SG4"/>
    <m/>
    <x v="2"/>
    <x v="3"/>
    <x v="2"/>
    <x v="4"/>
    <x v="0"/>
    <x v="0"/>
    <x v="0"/>
    <m/>
    <x v="0"/>
    <x v="0"/>
    <n v="-33.026436207000003"/>
    <m/>
    <x v="4"/>
    <x v="0"/>
    <x v="0"/>
    <x v="5"/>
    <x v="0"/>
  </r>
  <r>
    <s v="Singapore"/>
    <x v="0"/>
    <s v="SG2"/>
    <m/>
    <x v="0"/>
    <x v="3"/>
    <x v="3"/>
    <x v="3"/>
    <x v="0"/>
    <x v="0"/>
    <x v="0"/>
    <m/>
    <x v="0"/>
    <x v="0"/>
    <n v="-3.1158000000000002E-2"/>
    <m/>
    <x v="0"/>
    <x v="2"/>
    <x v="0"/>
    <x v="5"/>
    <x v="1"/>
  </r>
  <r>
    <s v="Singapore"/>
    <x v="2"/>
    <s v="SG4"/>
    <m/>
    <x v="5"/>
    <x v="2"/>
    <x v="2"/>
    <x v="4"/>
    <x v="0"/>
    <x v="0"/>
    <x v="0"/>
    <m/>
    <x v="0"/>
    <x v="0"/>
    <n v="-0.93474000000000002"/>
    <m/>
    <x v="4"/>
    <x v="1"/>
    <x v="0"/>
    <x v="3"/>
    <x v="1"/>
  </r>
  <r>
    <s v="Singapore"/>
    <x v="1"/>
    <s v="SG2"/>
    <m/>
    <x v="4"/>
    <x v="4"/>
    <x v="4"/>
    <x v="2"/>
    <x v="0"/>
    <x v="0"/>
    <x v="0"/>
    <m/>
    <x v="0"/>
    <x v="0"/>
    <n v="-4.6737000000000001E-2"/>
    <m/>
    <x v="0"/>
    <x v="0"/>
    <x v="0"/>
    <x v="5"/>
    <x v="1"/>
  </r>
  <r>
    <s v="Singapore"/>
    <x v="0"/>
    <s v="SG3"/>
    <m/>
    <x v="5"/>
    <x v="1"/>
    <x v="3"/>
    <x v="1"/>
    <x v="0"/>
    <x v="0"/>
    <x v="0"/>
    <m/>
    <x v="0"/>
    <x v="0"/>
    <n v="1.09053"/>
    <m/>
    <x v="1"/>
    <x v="1"/>
    <x v="0"/>
    <x v="2"/>
    <x v="0"/>
  </r>
  <r>
    <s v="Singapore"/>
    <x v="5"/>
    <s v="SG2"/>
    <m/>
    <x v="5"/>
    <x v="2"/>
    <x v="4"/>
    <x v="1"/>
    <x v="0"/>
    <x v="0"/>
    <x v="0"/>
    <m/>
    <x v="0"/>
    <x v="0"/>
    <n v="0.1838322"/>
    <m/>
    <x v="4"/>
    <x v="2"/>
    <x v="0"/>
    <x v="5"/>
    <x v="2"/>
  </r>
  <r>
    <s v="Singapore"/>
    <x v="1"/>
    <s v="SG4"/>
    <m/>
    <x v="1"/>
    <x v="4"/>
    <x v="2"/>
    <x v="3"/>
    <x v="0"/>
    <x v="0"/>
    <x v="0"/>
    <m/>
    <x v="0"/>
    <x v="0"/>
    <n v="1.0801232280000002"/>
    <m/>
    <x v="1"/>
    <x v="3"/>
    <x v="0"/>
    <x v="5"/>
    <x v="0"/>
  </r>
  <r>
    <s v="Singapore"/>
    <x v="5"/>
    <s v="SG1"/>
    <m/>
    <x v="1"/>
    <x v="1"/>
    <x v="2"/>
    <x v="2"/>
    <x v="0"/>
    <x v="0"/>
    <x v="0"/>
    <m/>
    <x v="0"/>
    <x v="0"/>
    <n v="-1.137267"/>
    <m/>
    <x v="4"/>
    <x v="3"/>
    <x v="0"/>
    <x v="4"/>
    <x v="2"/>
  </r>
  <r>
    <s v="Singapore"/>
    <x v="3"/>
    <s v="SG1"/>
    <m/>
    <x v="0"/>
    <x v="0"/>
    <x v="4"/>
    <x v="4"/>
    <x v="0"/>
    <x v="0"/>
    <x v="0"/>
    <m/>
    <x v="0"/>
    <x v="0"/>
    <n v="-9.3474000000000002E-2"/>
    <m/>
    <x v="0"/>
    <x v="3"/>
    <x v="0"/>
    <x v="0"/>
    <x v="2"/>
  </r>
  <r>
    <s v="Singapore"/>
    <x v="2"/>
    <s v="SG4"/>
    <m/>
    <x v="0"/>
    <x v="0"/>
    <x v="2"/>
    <x v="3"/>
    <x v="0"/>
    <x v="0"/>
    <x v="0"/>
    <m/>
    <x v="0"/>
    <x v="0"/>
    <n v="-11.532837699000002"/>
    <m/>
    <x v="2"/>
    <x v="0"/>
    <x v="0"/>
    <x v="0"/>
    <x v="0"/>
  </r>
  <r>
    <s v="Singapore"/>
    <x v="4"/>
    <s v="SG1"/>
    <m/>
    <x v="2"/>
    <x v="4"/>
    <x v="3"/>
    <x v="3"/>
    <x v="0"/>
    <x v="0"/>
    <x v="0"/>
    <m/>
    <x v="0"/>
    <x v="0"/>
    <n v="63.639560682000003"/>
    <m/>
    <x v="7"/>
    <x v="0"/>
    <x v="0"/>
    <x v="2"/>
    <x v="1"/>
  </r>
  <r>
    <s v="Singapore"/>
    <x v="1"/>
    <s v="SG1"/>
    <m/>
    <x v="5"/>
    <x v="1"/>
    <x v="3"/>
    <x v="1"/>
    <x v="0"/>
    <x v="0"/>
    <x v="0"/>
    <m/>
    <x v="0"/>
    <x v="0"/>
    <n v="0.17496774900000001"/>
    <m/>
    <x v="9"/>
    <x v="2"/>
    <x v="0"/>
    <x v="5"/>
    <x v="0"/>
  </r>
  <r>
    <s v="Singapore"/>
    <x v="5"/>
    <s v="SG3"/>
    <m/>
    <x v="2"/>
    <x v="1"/>
    <x v="1"/>
    <x v="2"/>
    <x v="0"/>
    <x v="0"/>
    <x v="0"/>
    <m/>
    <x v="0"/>
    <x v="0"/>
    <n v="-4.6737000000000001E-2"/>
    <m/>
    <x v="6"/>
    <x v="3"/>
    <x v="0"/>
    <x v="1"/>
    <x v="1"/>
  </r>
  <r>
    <s v="Singapore"/>
    <x v="3"/>
    <s v="SG2"/>
    <m/>
    <x v="2"/>
    <x v="4"/>
    <x v="3"/>
    <x v="1"/>
    <x v="0"/>
    <x v="0"/>
    <x v="0"/>
    <m/>
    <x v="0"/>
    <x v="0"/>
    <n v="-0.233685"/>
    <m/>
    <x v="0"/>
    <x v="1"/>
    <x v="0"/>
    <x v="2"/>
    <x v="0"/>
  </r>
  <r>
    <s v="Singapore"/>
    <x v="4"/>
    <s v="SG2"/>
    <m/>
    <x v="4"/>
    <x v="4"/>
    <x v="2"/>
    <x v="5"/>
    <x v="0"/>
    <x v="0"/>
    <x v="0"/>
    <m/>
    <x v="0"/>
    <x v="0"/>
    <n v="-0.12463200000000001"/>
    <m/>
    <x v="0"/>
    <x v="0"/>
    <x v="0"/>
    <x v="2"/>
    <x v="0"/>
  </r>
  <r>
    <s v="Singapore"/>
    <x v="0"/>
    <s v="SG2"/>
    <m/>
    <x v="5"/>
    <x v="1"/>
    <x v="0"/>
    <x v="4"/>
    <x v="0"/>
    <x v="0"/>
    <x v="0"/>
    <m/>
    <x v="0"/>
    <x v="0"/>
    <n v="-0.1838322"/>
    <m/>
    <x v="4"/>
    <x v="0"/>
    <x v="0"/>
    <x v="4"/>
    <x v="1"/>
  </r>
  <r>
    <s v="Singapore"/>
    <x v="3"/>
    <s v="SG4"/>
    <m/>
    <x v="5"/>
    <x v="4"/>
    <x v="4"/>
    <x v="1"/>
    <x v="0"/>
    <x v="0"/>
    <x v="0"/>
    <m/>
    <x v="0"/>
    <x v="0"/>
    <n v="-0.12463200000000001"/>
    <m/>
    <x v="0"/>
    <x v="2"/>
    <x v="0"/>
    <x v="5"/>
    <x v="1"/>
  </r>
  <r>
    <s v="Singapore"/>
    <x v="4"/>
    <s v="SG2"/>
    <m/>
    <x v="2"/>
    <x v="0"/>
    <x v="1"/>
    <x v="0"/>
    <x v="0"/>
    <x v="0"/>
    <x v="0"/>
    <m/>
    <x v="0"/>
    <x v="0"/>
    <n v="-4.0505400000000004E-2"/>
    <m/>
    <x v="2"/>
    <x v="0"/>
    <x v="0"/>
    <x v="0"/>
    <x v="2"/>
  </r>
  <r>
    <s v="Singapore"/>
    <x v="1"/>
    <s v="SG3"/>
    <m/>
    <x v="4"/>
    <x v="1"/>
    <x v="1"/>
    <x v="3"/>
    <x v="0"/>
    <x v="0"/>
    <x v="0"/>
    <m/>
    <x v="0"/>
    <x v="0"/>
    <n v="-0.12226399200000002"/>
    <m/>
    <x v="2"/>
    <x v="2"/>
    <x v="0"/>
    <x v="4"/>
    <x v="2"/>
  </r>
  <r>
    <s v="Singapore"/>
    <x v="4"/>
    <s v="SG4"/>
    <m/>
    <x v="3"/>
    <x v="4"/>
    <x v="3"/>
    <x v="4"/>
    <x v="0"/>
    <x v="0"/>
    <x v="0"/>
    <m/>
    <x v="0"/>
    <x v="0"/>
    <n v="-1.5579000000000001E-2"/>
    <m/>
    <x v="0"/>
    <x v="1"/>
    <x v="0"/>
    <x v="2"/>
    <x v="1"/>
  </r>
  <r>
    <s v="Singapore"/>
    <x v="3"/>
    <s v="SG4"/>
    <m/>
    <x v="4"/>
    <x v="3"/>
    <x v="2"/>
    <x v="1"/>
    <x v="0"/>
    <x v="0"/>
    <x v="0"/>
    <m/>
    <x v="0"/>
    <x v="0"/>
    <n v="-0.42063300000000003"/>
    <m/>
    <x v="4"/>
    <x v="2"/>
    <x v="0"/>
    <x v="3"/>
    <x v="1"/>
  </r>
  <r>
    <s v="Singapore"/>
    <x v="5"/>
    <s v="SG3"/>
    <m/>
    <x v="0"/>
    <x v="0"/>
    <x v="1"/>
    <x v="0"/>
    <x v="0"/>
    <x v="0"/>
    <x v="0"/>
    <m/>
    <x v="0"/>
    <x v="0"/>
    <n v="0.903582"/>
    <m/>
    <x v="1"/>
    <x v="2"/>
    <x v="0"/>
    <x v="1"/>
    <x v="1"/>
  </r>
  <r>
    <s v="Singapore"/>
    <x v="4"/>
    <s v="SG3"/>
    <m/>
    <x v="5"/>
    <x v="2"/>
    <x v="3"/>
    <x v="4"/>
    <x v="0"/>
    <x v="0"/>
    <x v="0"/>
    <m/>
    <x v="0"/>
    <x v="0"/>
    <n v="-1.5579000000000001E-2"/>
    <m/>
    <x v="0"/>
    <x v="2"/>
    <x v="0"/>
    <x v="3"/>
    <x v="0"/>
  </r>
  <r>
    <s v="Singapore"/>
    <x v="2"/>
    <s v="SG2"/>
    <m/>
    <x v="1"/>
    <x v="3"/>
    <x v="0"/>
    <x v="4"/>
    <x v="0"/>
    <x v="0"/>
    <x v="0"/>
    <m/>
    <x v="0"/>
    <x v="0"/>
    <n v="-0.14800050000000001"/>
    <m/>
    <x v="4"/>
    <x v="1"/>
    <x v="0"/>
    <x v="1"/>
    <x v="1"/>
  </r>
  <r>
    <s v="Singapore"/>
    <x v="4"/>
    <s v="SG2"/>
    <m/>
    <x v="0"/>
    <x v="1"/>
    <x v="3"/>
    <x v="3"/>
    <x v="0"/>
    <x v="0"/>
    <x v="0"/>
    <m/>
    <x v="0"/>
    <x v="0"/>
    <n v="-0.24926400000000001"/>
    <m/>
    <x v="0"/>
    <x v="0"/>
    <x v="0"/>
    <x v="5"/>
    <x v="1"/>
  </r>
  <r>
    <s v="Singapore"/>
    <x v="5"/>
    <s v="SG2"/>
    <m/>
    <x v="1"/>
    <x v="4"/>
    <x v="2"/>
    <x v="1"/>
    <x v="0"/>
    <x v="0"/>
    <x v="0"/>
    <m/>
    <x v="0"/>
    <x v="0"/>
    <n v="-7.1024349419999995"/>
    <m/>
    <x v="3"/>
    <x v="3"/>
    <x v="0"/>
    <x v="2"/>
    <x v="2"/>
  </r>
  <r>
    <s v="Singapore"/>
    <x v="1"/>
    <s v="SG1"/>
    <m/>
    <x v="3"/>
    <x v="1"/>
    <x v="4"/>
    <x v="5"/>
    <x v="0"/>
    <x v="0"/>
    <x v="0"/>
    <m/>
    <x v="0"/>
    <x v="0"/>
    <n v="-0.253361277"/>
    <m/>
    <x v="1"/>
    <x v="1"/>
    <x v="0"/>
    <x v="0"/>
    <x v="1"/>
  </r>
  <r>
    <s v="Singapore"/>
    <x v="2"/>
    <s v="SG3"/>
    <m/>
    <x v="1"/>
    <x v="0"/>
    <x v="4"/>
    <x v="3"/>
    <x v="0"/>
    <x v="0"/>
    <x v="0"/>
    <m/>
    <x v="0"/>
    <x v="0"/>
    <n v="1.0801232280000002"/>
    <m/>
    <x v="1"/>
    <x v="2"/>
    <x v="0"/>
    <x v="1"/>
    <x v="2"/>
  </r>
  <r>
    <s v="Singapore"/>
    <x v="4"/>
    <s v="SG2"/>
    <m/>
    <x v="2"/>
    <x v="0"/>
    <x v="4"/>
    <x v="0"/>
    <x v="0"/>
    <x v="0"/>
    <x v="0"/>
    <m/>
    <x v="0"/>
    <x v="0"/>
    <n v="-0.46737000000000001"/>
    <m/>
    <x v="7"/>
    <x v="0"/>
    <x v="0"/>
    <x v="1"/>
    <x v="1"/>
  </r>
  <r>
    <s v="Singapore"/>
    <x v="3"/>
    <s v="SG1"/>
    <m/>
    <x v="0"/>
    <x v="0"/>
    <x v="2"/>
    <x v="0"/>
    <x v="0"/>
    <x v="0"/>
    <x v="0"/>
    <m/>
    <x v="0"/>
    <x v="0"/>
    <n v="-1.3550146830000001"/>
    <m/>
    <x v="1"/>
    <x v="1"/>
    <x v="0"/>
    <x v="3"/>
    <x v="2"/>
  </r>
  <r>
    <s v="Singapore"/>
    <x v="4"/>
    <s v="SG2"/>
    <m/>
    <x v="2"/>
    <x v="3"/>
    <x v="0"/>
    <x v="0"/>
    <x v="0"/>
    <x v="0"/>
    <x v="0"/>
    <m/>
    <x v="0"/>
    <x v="0"/>
    <n v="-2.2901130000000003"/>
    <m/>
    <x v="1"/>
    <x v="2"/>
    <x v="0"/>
    <x v="2"/>
    <x v="2"/>
  </r>
  <r>
    <s v="Singapore"/>
    <x v="4"/>
    <s v="SG1"/>
    <m/>
    <x v="3"/>
    <x v="1"/>
    <x v="1"/>
    <x v="0"/>
    <x v="0"/>
    <x v="0"/>
    <x v="0"/>
    <m/>
    <x v="0"/>
    <x v="0"/>
    <n v="12.463200000000001"/>
    <m/>
    <x v="7"/>
    <x v="0"/>
    <x v="0"/>
    <x v="1"/>
    <x v="1"/>
  </r>
  <r>
    <s v="Singapore"/>
    <x v="1"/>
    <s v="SG3"/>
    <m/>
    <x v="3"/>
    <x v="0"/>
    <x v="4"/>
    <x v="5"/>
    <x v="0"/>
    <x v="0"/>
    <x v="0"/>
    <m/>
    <x v="0"/>
    <x v="0"/>
    <n v="0.13210991999999999"/>
    <m/>
    <x v="1"/>
    <x v="0"/>
    <x v="0"/>
    <x v="1"/>
    <x v="0"/>
  </r>
  <r>
    <s v="Singapore"/>
    <x v="1"/>
    <s v="SG2"/>
    <m/>
    <x v="4"/>
    <x v="4"/>
    <x v="0"/>
    <x v="0"/>
    <x v="0"/>
    <x v="0"/>
    <x v="0"/>
    <m/>
    <x v="0"/>
    <x v="0"/>
    <n v="0.34273800000000004"/>
    <m/>
    <x v="8"/>
    <x v="2"/>
    <x v="0"/>
    <x v="1"/>
    <x v="0"/>
  </r>
  <r>
    <s v="Singapore"/>
    <x v="1"/>
    <s v="SG4"/>
    <m/>
    <x v="3"/>
    <x v="2"/>
    <x v="3"/>
    <x v="4"/>
    <x v="0"/>
    <x v="0"/>
    <x v="0"/>
    <m/>
    <x v="0"/>
    <x v="0"/>
    <n v="-0.233685"/>
    <m/>
    <x v="0"/>
    <x v="3"/>
    <x v="0"/>
    <x v="4"/>
    <x v="1"/>
  </r>
  <r>
    <s v="Singapore"/>
    <x v="0"/>
    <s v="SG4"/>
    <m/>
    <x v="2"/>
    <x v="1"/>
    <x v="2"/>
    <x v="2"/>
    <x v="0"/>
    <x v="0"/>
    <x v="0"/>
    <m/>
    <x v="0"/>
    <x v="0"/>
    <n v="-0.12463200000000001"/>
    <m/>
    <x v="0"/>
    <x v="3"/>
    <x v="0"/>
    <x v="1"/>
    <x v="1"/>
  </r>
  <r>
    <s v="Singapore"/>
    <x v="0"/>
    <s v="SG1"/>
    <m/>
    <x v="3"/>
    <x v="2"/>
    <x v="0"/>
    <x v="3"/>
    <x v="0"/>
    <x v="0"/>
    <x v="0"/>
    <m/>
    <x v="0"/>
    <x v="0"/>
    <n v="-3.1789884239999999"/>
    <m/>
    <x v="0"/>
    <x v="1"/>
    <x v="0"/>
    <x v="0"/>
    <x v="0"/>
  </r>
  <r>
    <s v="Singapore"/>
    <x v="2"/>
    <s v="SG1"/>
    <m/>
    <x v="3"/>
    <x v="0"/>
    <x v="2"/>
    <x v="2"/>
    <x v="0"/>
    <x v="0"/>
    <x v="0"/>
    <m/>
    <x v="0"/>
    <x v="0"/>
    <n v="-9.3474000000000002E-2"/>
    <m/>
    <x v="0"/>
    <x v="1"/>
    <x v="0"/>
    <x v="2"/>
    <x v="1"/>
  </r>
  <r>
    <s v="Singapore"/>
    <x v="4"/>
    <s v="SG2"/>
    <m/>
    <x v="2"/>
    <x v="0"/>
    <x v="2"/>
    <x v="2"/>
    <x v="0"/>
    <x v="0"/>
    <x v="0"/>
    <m/>
    <x v="0"/>
    <x v="0"/>
    <n v="-0.233685"/>
    <m/>
    <x v="0"/>
    <x v="0"/>
    <x v="0"/>
    <x v="0"/>
    <x v="0"/>
  </r>
  <r>
    <s v="Singapore"/>
    <x v="0"/>
    <s v="SG4"/>
    <m/>
    <x v="2"/>
    <x v="4"/>
    <x v="4"/>
    <x v="1"/>
    <x v="0"/>
    <x v="0"/>
    <x v="0"/>
    <m/>
    <x v="0"/>
    <x v="0"/>
    <n v="-0.12463200000000001"/>
    <m/>
    <x v="0"/>
    <x v="0"/>
    <x v="0"/>
    <x v="5"/>
    <x v="1"/>
  </r>
  <r>
    <s v="Singapore"/>
    <x v="2"/>
    <s v="SG1"/>
    <m/>
    <x v="2"/>
    <x v="2"/>
    <x v="2"/>
    <x v="4"/>
    <x v="0"/>
    <x v="0"/>
    <x v="0"/>
    <m/>
    <x v="0"/>
    <x v="0"/>
    <n v="7.6695417000000002E-2"/>
    <m/>
    <x v="1"/>
    <x v="0"/>
    <x v="0"/>
    <x v="4"/>
    <x v="1"/>
  </r>
  <r>
    <s v="Singapore"/>
    <x v="5"/>
    <s v="SG1"/>
    <m/>
    <x v="4"/>
    <x v="3"/>
    <x v="0"/>
    <x v="1"/>
    <x v="0"/>
    <x v="0"/>
    <x v="0"/>
    <m/>
    <x v="0"/>
    <x v="0"/>
    <n v="208.16064682199999"/>
    <m/>
    <x v="3"/>
    <x v="2"/>
    <x v="0"/>
    <x v="5"/>
    <x v="0"/>
  </r>
  <r>
    <s v="Singapore"/>
    <x v="4"/>
    <s v="SG1"/>
    <m/>
    <x v="0"/>
    <x v="2"/>
    <x v="4"/>
    <x v="5"/>
    <x v="0"/>
    <x v="0"/>
    <x v="0"/>
    <m/>
    <x v="0"/>
    <x v="0"/>
    <n v="-2.1031650000000002"/>
    <m/>
    <x v="4"/>
    <x v="2"/>
    <x v="0"/>
    <x v="3"/>
    <x v="0"/>
  </r>
  <r>
    <s v="Singapore"/>
    <x v="4"/>
    <s v="SG1"/>
    <m/>
    <x v="3"/>
    <x v="0"/>
    <x v="4"/>
    <x v="4"/>
    <x v="0"/>
    <x v="0"/>
    <x v="0"/>
    <m/>
    <x v="0"/>
    <x v="0"/>
    <n v="-5.5889818290000006"/>
    <m/>
    <x v="4"/>
    <x v="0"/>
    <x v="0"/>
    <x v="3"/>
    <x v="1"/>
  </r>
  <r>
    <s v="Singapore"/>
    <x v="2"/>
    <s v="SG4"/>
    <m/>
    <x v="3"/>
    <x v="4"/>
    <x v="0"/>
    <x v="2"/>
    <x v="0"/>
    <x v="0"/>
    <x v="0"/>
    <m/>
    <x v="0"/>
    <x v="0"/>
    <n v="-3.1158000000000002E-2"/>
    <m/>
    <x v="0"/>
    <x v="2"/>
    <x v="0"/>
    <x v="5"/>
    <x v="0"/>
  </r>
  <r>
    <s v="Singapore"/>
    <x v="2"/>
    <s v="SG2"/>
    <m/>
    <x v="5"/>
    <x v="4"/>
    <x v="0"/>
    <x v="2"/>
    <x v="0"/>
    <x v="0"/>
    <x v="0"/>
    <m/>
    <x v="0"/>
    <x v="0"/>
    <n v="-7.0105500000000001E-2"/>
    <m/>
    <x v="4"/>
    <x v="1"/>
    <x v="0"/>
    <x v="2"/>
    <x v="1"/>
  </r>
  <r>
    <s v="Singapore"/>
    <x v="4"/>
    <s v="SG4"/>
    <m/>
    <x v="3"/>
    <x v="3"/>
    <x v="0"/>
    <x v="4"/>
    <x v="0"/>
    <x v="0"/>
    <x v="0"/>
    <m/>
    <x v="0"/>
    <x v="0"/>
    <n v="-3.4323808590000002"/>
    <m/>
    <x v="2"/>
    <x v="0"/>
    <x v="0"/>
    <x v="3"/>
    <x v="0"/>
  </r>
  <r>
    <s v="Singapore"/>
    <x v="2"/>
    <s v="SG4"/>
    <m/>
    <x v="3"/>
    <x v="3"/>
    <x v="3"/>
    <x v="0"/>
    <x v="0"/>
    <x v="0"/>
    <x v="0"/>
    <m/>
    <x v="0"/>
    <x v="0"/>
    <n v="-0.70105499999999998"/>
    <m/>
    <x v="4"/>
    <x v="0"/>
    <x v="0"/>
    <x v="1"/>
    <x v="1"/>
  </r>
  <r>
    <s v="Singapore"/>
    <x v="0"/>
    <s v="SG1"/>
    <m/>
    <x v="4"/>
    <x v="2"/>
    <x v="4"/>
    <x v="0"/>
    <x v="0"/>
    <x v="0"/>
    <x v="0"/>
    <m/>
    <x v="0"/>
    <x v="0"/>
    <n v="-0.140211"/>
    <m/>
    <x v="0"/>
    <x v="3"/>
    <x v="0"/>
    <x v="2"/>
    <x v="0"/>
  </r>
  <r>
    <s v="Singapore"/>
    <x v="0"/>
    <s v="SG1"/>
    <m/>
    <x v="2"/>
    <x v="3"/>
    <x v="1"/>
    <x v="5"/>
    <x v="0"/>
    <x v="0"/>
    <x v="0"/>
    <m/>
    <x v="0"/>
    <x v="0"/>
    <n v="0.70105499999999998"/>
    <m/>
    <x v="1"/>
    <x v="1"/>
    <x v="0"/>
    <x v="3"/>
    <x v="0"/>
  </r>
  <r>
    <s v="Singapore"/>
    <x v="0"/>
    <s v="SG1"/>
    <m/>
    <x v="4"/>
    <x v="1"/>
    <x v="0"/>
    <x v="1"/>
    <x v="0"/>
    <x v="0"/>
    <x v="0"/>
    <m/>
    <x v="0"/>
    <x v="0"/>
    <n v="-4.6737000000000001E-2"/>
    <m/>
    <x v="0"/>
    <x v="2"/>
    <x v="0"/>
    <x v="5"/>
    <x v="2"/>
  </r>
  <r>
    <s v="Singapore"/>
    <x v="1"/>
    <s v="SG1"/>
    <m/>
    <x v="5"/>
    <x v="1"/>
    <x v="2"/>
    <x v="2"/>
    <x v="0"/>
    <x v="0"/>
    <x v="0"/>
    <m/>
    <x v="0"/>
    <x v="0"/>
    <n v="-1.5579000000000001E-2"/>
    <m/>
    <x v="0"/>
    <x v="2"/>
    <x v="0"/>
    <x v="4"/>
    <x v="1"/>
  </r>
  <r>
    <s v="Singapore"/>
    <x v="5"/>
    <s v="SG3"/>
    <m/>
    <x v="3"/>
    <x v="2"/>
    <x v="0"/>
    <x v="4"/>
    <x v="0"/>
    <x v="0"/>
    <x v="0"/>
    <m/>
    <x v="0"/>
    <x v="0"/>
    <n v="-0.37389600000000001"/>
    <m/>
    <x v="4"/>
    <x v="0"/>
    <x v="0"/>
    <x v="4"/>
    <x v="0"/>
  </r>
  <r>
    <s v="Singapore"/>
    <x v="3"/>
    <s v="SG3"/>
    <m/>
    <x v="4"/>
    <x v="0"/>
    <x v="3"/>
    <x v="2"/>
    <x v="0"/>
    <x v="0"/>
    <x v="0"/>
    <m/>
    <x v="0"/>
    <x v="0"/>
    <n v="-4.3901622000000001E-2"/>
    <m/>
    <x v="1"/>
    <x v="1"/>
    <x v="0"/>
    <x v="4"/>
    <x v="0"/>
  </r>
  <r>
    <s v="Singapore"/>
    <x v="5"/>
    <s v="SG4"/>
    <m/>
    <x v="1"/>
    <x v="3"/>
    <x v="2"/>
    <x v="2"/>
    <x v="0"/>
    <x v="0"/>
    <x v="0"/>
    <m/>
    <x v="0"/>
    <x v="0"/>
    <n v="0.24926400000000001"/>
    <m/>
    <x v="0"/>
    <x v="1"/>
    <x v="0"/>
    <x v="3"/>
    <x v="0"/>
  </r>
  <r>
    <s v="Singapore"/>
    <x v="5"/>
    <s v="SG2"/>
    <m/>
    <x v="2"/>
    <x v="3"/>
    <x v="0"/>
    <x v="1"/>
    <x v="0"/>
    <x v="0"/>
    <x v="0"/>
    <m/>
    <x v="0"/>
    <x v="0"/>
    <n v="-0.20252700000000001"/>
    <m/>
    <x v="1"/>
    <x v="2"/>
    <x v="0"/>
    <x v="2"/>
    <x v="0"/>
  </r>
  <r>
    <s v="Singapore"/>
    <x v="5"/>
    <s v="SG1"/>
    <m/>
    <x v="1"/>
    <x v="3"/>
    <x v="2"/>
    <x v="5"/>
    <x v="0"/>
    <x v="0"/>
    <x v="0"/>
    <m/>
    <x v="0"/>
    <x v="0"/>
    <n v="1.385829945"/>
    <m/>
    <x v="1"/>
    <x v="2"/>
    <x v="0"/>
    <x v="1"/>
    <x v="0"/>
  </r>
  <r>
    <s v="Singapore"/>
    <x v="4"/>
    <s v="SG1"/>
    <m/>
    <x v="4"/>
    <x v="2"/>
    <x v="0"/>
    <x v="2"/>
    <x v="0"/>
    <x v="0"/>
    <x v="0"/>
    <m/>
    <x v="0"/>
    <x v="0"/>
    <n v="-0.56084400000000001"/>
    <m/>
    <x v="0"/>
    <x v="2"/>
    <x v="0"/>
    <x v="3"/>
    <x v="2"/>
  </r>
  <r>
    <s v="Singapore"/>
    <x v="2"/>
    <s v="SG1"/>
    <m/>
    <x v="1"/>
    <x v="3"/>
    <x v="2"/>
    <x v="1"/>
    <x v="0"/>
    <x v="0"/>
    <x v="0"/>
    <m/>
    <x v="0"/>
    <x v="0"/>
    <n v="-0.77895000000000003"/>
    <m/>
    <x v="4"/>
    <x v="3"/>
    <x v="0"/>
    <x v="0"/>
    <x v="1"/>
  </r>
  <r>
    <s v="Singapore"/>
    <x v="3"/>
    <s v="SG3"/>
    <m/>
    <x v="4"/>
    <x v="0"/>
    <x v="0"/>
    <x v="4"/>
    <x v="0"/>
    <x v="0"/>
    <x v="0"/>
    <m/>
    <x v="0"/>
    <x v="0"/>
    <n v="-2.7263250000000001"/>
    <m/>
    <x v="1"/>
    <x v="2"/>
    <x v="0"/>
    <x v="4"/>
    <x v="2"/>
  </r>
  <r>
    <s v="Singapore"/>
    <x v="5"/>
    <s v="SG3"/>
    <m/>
    <x v="5"/>
    <x v="0"/>
    <x v="1"/>
    <x v="1"/>
    <x v="0"/>
    <x v="0"/>
    <x v="0"/>
    <m/>
    <x v="0"/>
    <x v="0"/>
    <n v="-1.0422351000000001"/>
    <m/>
    <x v="4"/>
    <x v="3"/>
    <x v="0"/>
    <x v="4"/>
    <x v="2"/>
  </r>
  <r>
    <s v="Singapore"/>
    <x v="2"/>
    <s v="SG3"/>
    <m/>
    <x v="0"/>
    <x v="3"/>
    <x v="3"/>
    <x v="0"/>
    <x v="0"/>
    <x v="0"/>
    <x v="0"/>
    <m/>
    <x v="0"/>
    <x v="0"/>
    <n v="-0.25705349999999999"/>
    <m/>
    <x v="0"/>
    <x v="0"/>
    <x v="0"/>
    <x v="2"/>
    <x v="2"/>
  </r>
  <r>
    <s v="Singapore"/>
    <x v="2"/>
    <s v="SG2"/>
    <m/>
    <x v="0"/>
    <x v="2"/>
    <x v="2"/>
    <x v="2"/>
    <x v="0"/>
    <x v="0"/>
    <x v="0"/>
    <m/>
    <x v="0"/>
    <x v="0"/>
    <n v="71.614793520000006"/>
    <m/>
    <x v="8"/>
    <x v="0"/>
    <x v="0"/>
    <x v="4"/>
    <x v="2"/>
  </r>
  <r>
    <s v="Singapore"/>
    <x v="5"/>
    <s v="SG1"/>
    <m/>
    <x v="5"/>
    <x v="2"/>
    <x v="2"/>
    <x v="1"/>
    <x v="0"/>
    <x v="0"/>
    <x v="0"/>
    <m/>
    <x v="0"/>
    <x v="0"/>
    <n v="-3.1158000000000002E-2"/>
    <m/>
    <x v="0"/>
    <x v="1"/>
    <x v="0"/>
    <x v="1"/>
    <x v="0"/>
  </r>
  <r>
    <s v="Singapore"/>
    <x v="3"/>
    <s v="SG1"/>
    <m/>
    <x v="2"/>
    <x v="4"/>
    <x v="3"/>
    <x v="5"/>
    <x v="0"/>
    <x v="0"/>
    <x v="0"/>
    <m/>
    <x v="0"/>
    <x v="0"/>
    <n v="-0.46737000000000001"/>
    <m/>
    <x v="4"/>
    <x v="2"/>
    <x v="0"/>
    <x v="5"/>
    <x v="2"/>
  </r>
  <r>
    <s v="Singapore"/>
    <x v="1"/>
    <s v="SG1"/>
    <m/>
    <x v="5"/>
    <x v="3"/>
    <x v="4"/>
    <x v="5"/>
    <x v="0"/>
    <x v="0"/>
    <x v="0"/>
    <m/>
    <x v="0"/>
    <x v="0"/>
    <n v="-0.15579000000000001"/>
    <m/>
    <x v="0"/>
    <x v="2"/>
    <x v="0"/>
    <x v="0"/>
    <x v="1"/>
  </r>
  <r>
    <s v="Singapore"/>
    <x v="0"/>
    <s v="SG3"/>
    <m/>
    <x v="1"/>
    <x v="3"/>
    <x v="0"/>
    <x v="2"/>
    <x v="0"/>
    <x v="0"/>
    <x v="0"/>
    <m/>
    <x v="0"/>
    <x v="0"/>
    <n v="0.16513740000000002"/>
    <m/>
    <x v="8"/>
    <x v="0"/>
    <x v="0"/>
    <x v="2"/>
    <x v="2"/>
  </r>
  <r>
    <s v="Singapore"/>
    <x v="4"/>
    <s v="SG1"/>
    <m/>
    <x v="4"/>
    <x v="0"/>
    <x v="3"/>
    <x v="5"/>
    <x v="0"/>
    <x v="0"/>
    <x v="0"/>
    <m/>
    <x v="0"/>
    <x v="0"/>
    <n v="-4.6737000000000001E-2"/>
    <m/>
    <x v="0"/>
    <x v="1"/>
    <x v="0"/>
    <x v="4"/>
    <x v="2"/>
  </r>
  <r>
    <s v="Singapore"/>
    <x v="5"/>
    <s v="SG1"/>
    <m/>
    <x v="2"/>
    <x v="4"/>
    <x v="1"/>
    <x v="3"/>
    <x v="0"/>
    <x v="0"/>
    <x v="0"/>
    <m/>
    <x v="0"/>
    <x v="0"/>
    <n v="0.903582"/>
    <m/>
    <x v="1"/>
    <x v="0"/>
    <x v="0"/>
    <x v="5"/>
    <x v="0"/>
  </r>
  <r>
    <s v="Singapore"/>
    <x v="5"/>
    <s v="SG3"/>
    <m/>
    <x v="2"/>
    <x v="2"/>
    <x v="0"/>
    <x v="4"/>
    <x v="0"/>
    <x v="0"/>
    <x v="0"/>
    <m/>
    <x v="0"/>
    <x v="0"/>
    <n v="22.636287000000003"/>
    <m/>
    <x v="4"/>
    <x v="3"/>
    <x v="0"/>
    <x v="4"/>
    <x v="0"/>
  </r>
  <r>
    <s v="Singapore"/>
    <x v="3"/>
    <s v="SG4"/>
    <m/>
    <x v="4"/>
    <x v="1"/>
    <x v="4"/>
    <x v="3"/>
    <x v="0"/>
    <x v="0"/>
    <x v="0"/>
    <m/>
    <x v="0"/>
    <x v="0"/>
    <n v="-0.7290972"/>
    <m/>
    <x v="3"/>
    <x v="1"/>
    <x v="0"/>
    <x v="3"/>
    <x v="0"/>
  </r>
  <r>
    <s v="Singapore"/>
    <x v="1"/>
    <s v="SG3"/>
    <m/>
    <x v="3"/>
    <x v="2"/>
    <x v="2"/>
    <x v="1"/>
    <x v="0"/>
    <x v="0"/>
    <x v="0"/>
    <m/>
    <x v="0"/>
    <x v="0"/>
    <n v="-2.0984913000000001E-2"/>
    <m/>
    <x v="1"/>
    <x v="1"/>
    <x v="0"/>
    <x v="0"/>
    <x v="1"/>
  </r>
  <r>
    <s v="Singapore"/>
    <x v="5"/>
    <s v="SG2"/>
    <m/>
    <x v="0"/>
    <x v="1"/>
    <x v="2"/>
    <x v="0"/>
    <x v="0"/>
    <x v="0"/>
    <x v="0"/>
    <m/>
    <x v="0"/>
    <x v="0"/>
    <n v="17.29269"/>
    <m/>
    <x v="7"/>
    <x v="0"/>
    <x v="0"/>
    <x v="1"/>
    <x v="0"/>
  </r>
  <r>
    <s v="Singapore"/>
    <x v="2"/>
    <s v="SG4"/>
    <m/>
    <x v="2"/>
    <x v="1"/>
    <x v="1"/>
    <x v="4"/>
    <x v="0"/>
    <x v="0"/>
    <x v="0"/>
    <m/>
    <x v="0"/>
    <x v="0"/>
    <n v="1.5423210000000001"/>
    <m/>
    <x v="1"/>
    <x v="0"/>
    <x v="0"/>
    <x v="3"/>
    <x v="0"/>
  </r>
  <r>
    <s v="Singapore"/>
    <x v="2"/>
    <s v="SG1"/>
    <m/>
    <x v="3"/>
    <x v="4"/>
    <x v="0"/>
    <x v="2"/>
    <x v="0"/>
    <x v="0"/>
    <x v="0"/>
    <m/>
    <x v="0"/>
    <x v="0"/>
    <n v="-2.1031650000000002"/>
    <m/>
    <x v="4"/>
    <x v="0"/>
    <x v="0"/>
    <x v="0"/>
    <x v="2"/>
  </r>
  <r>
    <s v="Singapore"/>
    <x v="2"/>
    <s v="SG3"/>
    <m/>
    <x v="5"/>
    <x v="4"/>
    <x v="0"/>
    <x v="0"/>
    <x v="0"/>
    <x v="0"/>
    <x v="0"/>
    <m/>
    <x v="0"/>
    <x v="0"/>
    <n v="0.280422"/>
    <m/>
    <x v="0"/>
    <x v="3"/>
    <x v="0"/>
    <x v="3"/>
    <x v="2"/>
  </r>
  <r>
    <s v="Singapore"/>
    <x v="0"/>
    <s v="SG4"/>
    <m/>
    <x v="0"/>
    <x v="2"/>
    <x v="4"/>
    <x v="2"/>
    <x v="0"/>
    <x v="0"/>
    <x v="0"/>
    <m/>
    <x v="0"/>
    <x v="0"/>
    <n v="-1.1310354"/>
    <m/>
    <x v="3"/>
    <x v="0"/>
    <x v="0"/>
    <x v="5"/>
    <x v="0"/>
  </r>
  <r>
    <s v="Singapore"/>
    <x v="4"/>
    <s v="SG1"/>
    <m/>
    <x v="4"/>
    <x v="0"/>
    <x v="2"/>
    <x v="0"/>
    <x v="0"/>
    <x v="0"/>
    <x v="0"/>
    <m/>
    <x v="0"/>
    <x v="0"/>
    <n v="-1.09053"/>
    <m/>
    <x v="4"/>
    <x v="2"/>
    <x v="0"/>
    <x v="1"/>
    <x v="0"/>
  </r>
  <r>
    <s v="Singapore"/>
    <x v="2"/>
    <s v="SG4"/>
    <m/>
    <x v="1"/>
    <x v="2"/>
    <x v="0"/>
    <x v="3"/>
    <x v="0"/>
    <x v="0"/>
    <x v="0"/>
    <m/>
    <x v="0"/>
    <x v="0"/>
    <n v="-0.37389600000000001"/>
    <m/>
    <x v="1"/>
    <x v="0"/>
    <x v="0"/>
    <x v="5"/>
    <x v="2"/>
  </r>
  <r>
    <s v="Singapore"/>
    <x v="1"/>
    <s v="SG2"/>
    <m/>
    <x v="4"/>
    <x v="3"/>
    <x v="3"/>
    <x v="2"/>
    <x v="0"/>
    <x v="0"/>
    <x v="0"/>
    <m/>
    <x v="0"/>
    <x v="0"/>
    <n v="1.3008465"/>
    <m/>
    <x v="1"/>
    <x v="3"/>
    <x v="0"/>
    <x v="3"/>
    <x v="0"/>
  </r>
  <r>
    <s v="Singapore"/>
    <x v="4"/>
    <s v="SG3"/>
    <m/>
    <x v="2"/>
    <x v="4"/>
    <x v="2"/>
    <x v="5"/>
    <x v="0"/>
    <x v="0"/>
    <x v="0"/>
    <m/>
    <x v="0"/>
    <x v="0"/>
    <n v="-10.43793"/>
    <m/>
    <x v="3"/>
    <x v="3"/>
    <x v="0"/>
    <x v="3"/>
    <x v="2"/>
  </r>
  <r>
    <s v="Singapore"/>
    <x v="0"/>
    <s v="SG1"/>
    <m/>
    <x v="3"/>
    <x v="1"/>
    <x v="1"/>
    <x v="1"/>
    <x v="0"/>
    <x v="0"/>
    <x v="0"/>
    <m/>
    <x v="0"/>
    <x v="0"/>
    <n v="28.117586781"/>
    <m/>
    <x v="7"/>
    <x v="2"/>
    <x v="0"/>
    <x v="5"/>
    <x v="1"/>
  </r>
  <r>
    <s v="Singapore"/>
    <x v="4"/>
    <s v="SG4"/>
    <m/>
    <x v="5"/>
    <x v="2"/>
    <x v="0"/>
    <x v="3"/>
    <x v="0"/>
    <x v="0"/>
    <x v="0"/>
    <m/>
    <x v="0"/>
    <x v="0"/>
    <n v="-0.140211"/>
    <m/>
    <x v="0"/>
    <x v="0"/>
    <x v="0"/>
    <x v="3"/>
    <x v="2"/>
  </r>
  <r>
    <s v="Singapore"/>
    <x v="4"/>
    <s v="SG4"/>
    <m/>
    <x v="4"/>
    <x v="1"/>
    <x v="1"/>
    <x v="2"/>
    <x v="0"/>
    <x v="0"/>
    <x v="0"/>
    <m/>
    <x v="0"/>
    <x v="0"/>
    <n v="-0.15579000000000001"/>
    <m/>
    <x v="0"/>
    <x v="1"/>
    <x v="0"/>
    <x v="2"/>
    <x v="0"/>
  </r>
  <r>
    <s v="Singapore"/>
    <x v="2"/>
    <s v="SG4"/>
    <m/>
    <x v="0"/>
    <x v="4"/>
    <x v="0"/>
    <x v="0"/>
    <x v="0"/>
    <x v="0"/>
    <x v="0"/>
    <m/>
    <x v="0"/>
    <x v="0"/>
    <n v="-37.925517599999999"/>
    <m/>
    <x v="1"/>
    <x v="1"/>
    <x v="0"/>
    <x v="4"/>
    <x v="0"/>
  </r>
  <r>
    <s v="Singapore"/>
    <x v="3"/>
    <s v="SG1"/>
    <m/>
    <x v="2"/>
    <x v="4"/>
    <x v="1"/>
    <x v="5"/>
    <x v="0"/>
    <x v="0"/>
    <x v="0"/>
    <m/>
    <x v="0"/>
    <x v="0"/>
    <n v="0.12463200000000001"/>
    <m/>
    <x v="0"/>
    <x v="1"/>
    <x v="0"/>
    <x v="5"/>
    <x v="0"/>
  </r>
  <r>
    <s v="Singapore"/>
    <x v="5"/>
    <s v="SG1"/>
    <m/>
    <x v="3"/>
    <x v="2"/>
    <x v="1"/>
    <x v="0"/>
    <x v="0"/>
    <x v="0"/>
    <x v="0"/>
    <m/>
    <x v="0"/>
    <x v="0"/>
    <n v="-0.12463200000000001"/>
    <m/>
    <x v="0"/>
    <x v="1"/>
    <x v="0"/>
    <x v="3"/>
    <x v="1"/>
  </r>
  <r>
    <s v="Singapore"/>
    <x v="3"/>
    <s v="SG2"/>
    <m/>
    <x v="0"/>
    <x v="1"/>
    <x v="3"/>
    <x v="0"/>
    <x v="0"/>
    <x v="0"/>
    <x v="0"/>
    <m/>
    <x v="0"/>
    <x v="0"/>
    <n v="0.77895000000000003"/>
    <m/>
    <x v="4"/>
    <x v="2"/>
    <x v="0"/>
    <x v="4"/>
    <x v="1"/>
  </r>
  <r>
    <s v="Singapore"/>
    <x v="0"/>
    <s v="SG4"/>
    <m/>
    <x v="0"/>
    <x v="2"/>
    <x v="1"/>
    <x v="5"/>
    <x v="0"/>
    <x v="0"/>
    <x v="0"/>
    <m/>
    <x v="0"/>
    <x v="0"/>
    <n v="112.978908"/>
    <m/>
    <x v="5"/>
    <x v="3"/>
    <x v="0"/>
    <x v="5"/>
    <x v="2"/>
  </r>
  <r>
    <s v="Singapore"/>
    <x v="4"/>
    <s v="SG1"/>
    <m/>
    <x v="0"/>
    <x v="4"/>
    <x v="3"/>
    <x v="1"/>
    <x v="0"/>
    <x v="0"/>
    <x v="0"/>
    <m/>
    <x v="0"/>
    <x v="0"/>
    <n v="77.472559836000002"/>
    <m/>
    <x v="2"/>
    <x v="1"/>
    <x v="0"/>
    <x v="1"/>
    <x v="2"/>
  </r>
  <r>
    <s v="Singapore"/>
    <x v="5"/>
    <s v="SG1"/>
    <m/>
    <x v="3"/>
    <x v="1"/>
    <x v="1"/>
    <x v="1"/>
    <x v="0"/>
    <x v="0"/>
    <x v="0"/>
    <m/>
    <x v="0"/>
    <x v="0"/>
    <n v="-1.9920088350000003"/>
    <m/>
    <x v="3"/>
    <x v="0"/>
    <x v="0"/>
    <x v="2"/>
    <x v="2"/>
  </r>
  <r>
    <s v="Singapore"/>
    <x v="3"/>
    <s v="SG2"/>
    <m/>
    <x v="5"/>
    <x v="2"/>
    <x v="1"/>
    <x v="1"/>
    <x v="0"/>
    <x v="0"/>
    <x v="0"/>
    <m/>
    <x v="0"/>
    <x v="0"/>
    <n v="0.1324215"/>
    <m/>
    <x v="1"/>
    <x v="3"/>
    <x v="0"/>
    <x v="5"/>
    <x v="2"/>
  </r>
  <r>
    <s v="Singapore"/>
    <x v="3"/>
    <s v="SG3"/>
    <m/>
    <x v="1"/>
    <x v="0"/>
    <x v="4"/>
    <x v="4"/>
    <x v="0"/>
    <x v="0"/>
    <x v="0"/>
    <m/>
    <x v="0"/>
    <x v="0"/>
    <n v="0.35071444800000001"/>
    <m/>
    <x v="1"/>
    <x v="0"/>
    <x v="0"/>
    <x v="2"/>
    <x v="2"/>
  </r>
  <r>
    <s v="Singapore"/>
    <x v="3"/>
    <s v="SG2"/>
    <m/>
    <x v="2"/>
    <x v="4"/>
    <x v="3"/>
    <x v="3"/>
    <x v="0"/>
    <x v="0"/>
    <x v="0"/>
    <m/>
    <x v="0"/>
    <x v="0"/>
    <n v="-0.29600100000000001"/>
    <m/>
    <x v="8"/>
    <x v="2"/>
    <x v="0"/>
    <x v="3"/>
    <x v="2"/>
  </r>
  <r>
    <s v="Singapore"/>
    <x v="0"/>
    <s v="SG1"/>
    <m/>
    <x v="1"/>
    <x v="2"/>
    <x v="2"/>
    <x v="3"/>
    <x v="0"/>
    <x v="0"/>
    <x v="0"/>
    <m/>
    <x v="0"/>
    <x v="0"/>
    <n v="-1.09053"/>
    <m/>
    <x v="4"/>
    <x v="0"/>
    <x v="0"/>
    <x v="4"/>
    <x v="1"/>
  </r>
  <r>
    <s v="Singapore"/>
    <x v="1"/>
    <s v="SG1"/>
    <m/>
    <x v="4"/>
    <x v="3"/>
    <x v="1"/>
    <x v="4"/>
    <x v="0"/>
    <x v="0"/>
    <x v="0"/>
    <m/>
    <x v="0"/>
    <x v="0"/>
    <n v="-1.137267"/>
    <m/>
    <x v="4"/>
    <x v="1"/>
    <x v="0"/>
    <x v="5"/>
    <x v="2"/>
  </r>
  <r>
    <s v="Singapore"/>
    <x v="5"/>
    <s v="SG4"/>
    <m/>
    <x v="3"/>
    <x v="0"/>
    <x v="4"/>
    <x v="0"/>
    <x v="0"/>
    <x v="0"/>
    <x v="0"/>
    <m/>
    <x v="0"/>
    <x v="0"/>
    <n v="0.84763781100000013"/>
    <m/>
    <x v="8"/>
    <x v="3"/>
    <x v="0"/>
    <x v="0"/>
    <x v="0"/>
  </r>
  <r>
    <s v="Singapore"/>
    <x v="2"/>
    <s v="SG2"/>
    <m/>
    <x v="5"/>
    <x v="3"/>
    <x v="4"/>
    <x v="2"/>
    <x v="0"/>
    <x v="0"/>
    <x v="0"/>
    <m/>
    <x v="0"/>
    <x v="0"/>
    <n v="0.68547600000000009"/>
    <m/>
    <x v="8"/>
    <x v="3"/>
    <x v="0"/>
    <x v="1"/>
    <x v="2"/>
  </r>
  <r>
    <s v="Singapore"/>
    <x v="1"/>
    <s v="SG1"/>
    <m/>
    <x v="0"/>
    <x v="4"/>
    <x v="0"/>
    <x v="5"/>
    <x v="0"/>
    <x v="0"/>
    <x v="0"/>
    <m/>
    <x v="0"/>
    <x v="0"/>
    <n v="6.2316000000000003E-3"/>
    <m/>
    <x v="6"/>
    <x v="0"/>
    <x v="0"/>
    <x v="2"/>
    <x v="2"/>
  </r>
  <r>
    <s v="Singapore"/>
    <x v="1"/>
    <s v="SG1"/>
    <m/>
    <x v="4"/>
    <x v="0"/>
    <x v="4"/>
    <x v="1"/>
    <x v="0"/>
    <x v="0"/>
    <x v="0"/>
    <m/>
    <x v="0"/>
    <x v="0"/>
    <n v="-6.2316000000000003E-2"/>
    <m/>
    <x v="0"/>
    <x v="2"/>
    <x v="0"/>
    <x v="2"/>
    <x v="0"/>
  </r>
  <r>
    <s v="Singapore"/>
    <x v="0"/>
    <s v="SG4"/>
    <m/>
    <x v="0"/>
    <x v="1"/>
    <x v="0"/>
    <x v="1"/>
    <x v="0"/>
    <x v="0"/>
    <x v="0"/>
    <m/>
    <x v="0"/>
    <x v="0"/>
    <n v="-2.897694"/>
    <m/>
    <x v="4"/>
    <x v="3"/>
    <x v="0"/>
    <x v="2"/>
    <x v="1"/>
  </r>
  <r>
    <s v="Singapore"/>
    <x v="4"/>
    <s v="SG1"/>
    <m/>
    <x v="3"/>
    <x v="4"/>
    <x v="1"/>
    <x v="5"/>
    <x v="0"/>
    <x v="0"/>
    <x v="0"/>
    <m/>
    <x v="0"/>
    <x v="0"/>
    <n v="-12.837096000000001"/>
    <m/>
    <x v="3"/>
    <x v="1"/>
    <x v="0"/>
    <x v="4"/>
    <x v="2"/>
  </r>
  <r>
    <s v="Singapore"/>
    <x v="5"/>
    <s v="SG3"/>
    <m/>
    <x v="4"/>
    <x v="1"/>
    <x v="4"/>
    <x v="4"/>
    <x v="0"/>
    <x v="0"/>
    <x v="0"/>
    <m/>
    <x v="0"/>
    <x v="0"/>
    <n v="0.15579000000000001"/>
    <m/>
    <x v="1"/>
    <x v="2"/>
    <x v="0"/>
    <x v="2"/>
    <x v="2"/>
  </r>
  <r>
    <s v="Singapore"/>
    <x v="2"/>
    <s v="SG4"/>
    <m/>
    <x v="1"/>
    <x v="4"/>
    <x v="1"/>
    <x v="2"/>
    <x v="0"/>
    <x v="0"/>
    <x v="0"/>
    <m/>
    <x v="0"/>
    <x v="0"/>
    <n v="1.7837955000000001"/>
    <m/>
    <x v="1"/>
    <x v="2"/>
    <x v="0"/>
    <x v="0"/>
    <x v="0"/>
  </r>
  <r>
    <s v="Singapore"/>
    <x v="2"/>
    <s v="SG2"/>
    <m/>
    <x v="3"/>
    <x v="1"/>
    <x v="3"/>
    <x v="0"/>
    <x v="0"/>
    <x v="0"/>
    <x v="0"/>
    <m/>
    <x v="0"/>
    <x v="0"/>
    <n v="0.74467620000000001"/>
    <m/>
    <x v="1"/>
    <x v="2"/>
    <x v="0"/>
    <x v="0"/>
    <x v="0"/>
  </r>
  <r>
    <s v="Singapore"/>
    <x v="3"/>
    <s v="SG1"/>
    <m/>
    <x v="1"/>
    <x v="4"/>
    <x v="2"/>
    <x v="2"/>
    <x v="0"/>
    <x v="0"/>
    <x v="0"/>
    <m/>
    <x v="0"/>
    <x v="0"/>
    <n v="0.15579000000000001"/>
    <m/>
    <x v="1"/>
    <x v="1"/>
    <x v="0"/>
    <x v="2"/>
    <x v="2"/>
  </r>
  <r>
    <s v="Singapore"/>
    <x v="2"/>
    <s v="SG2"/>
    <m/>
    <x v="1"/>
    <x v="4"/>
    <x v="2"/>
    <x v="4"/>
    <x v="0"/>
    <x v="0"/>
    <x v="0"/>
    <m/>
    <x v="0"/>
    <x v="0"/>
    <n v="-0.903582"/>
    <m/>
    <x v="1"/>
    <x v="3"/>
    <x v="0"/>
    <x v="5"/>
    <x v="1"/>
  </r>
  <r>
    <s v="Singapore"/>
    <x v="5"/>
    <s v="SG4"/>
    <m/>
    <x v="4"/>
    <x v="3"/>
    <x v="4"/>
    <x v="4"/>
    <x v="0"/>
    <x v="0"/>
    <x v="0"/>
    <m/>
    <x v="0"/>
    <x v="0"/>
    <n v="-1.2058146000000001"/>
    <m/>
    <x v="2"/>
    <x v="1"/>
    <x v="0"/>
    <x v="4"/>
    <x v="2"/>
  </r>
  <r>
    <s v="Singapore"/>
    <x v="4"/>
    <s v="SG1"/>
    <m/>
    <x v="5"/>
    <x v="2"/>
    <x v="4"/>
    <x v="5"/>
    <x v="0"/>
    <x v="0"/>
    <x v="0"/>
    <m/>
    <x v="0"/>
    <x v="0"/>
    <n v="-5.611555800000001E-2"/>
    <m/>
    <x v="6"/>
    <x v="1"/>
    <x v="0"/>
    <x v="3"/>
    <x v="0"/>
  </r>
  <r>
    <s v="Singapore"/>
    <x v="5"/>
    <s v="SG1"/>
    <m/>
    <x v="4"/>
    <x v="1"/>
    <x v="1"/>
    <x v="0"/>
    <x v="0"/>
    <x v="0"/>
    <x v="0"/>
    <m/>
    <x v="0"/>
    <x v="0"/>
    <n v="-2.8556307000000003"/>
    <m/>
    <x v="1"/>
    <x v="1"/>
    <x v="0"/>
    <x v="5"/>
    <x v="0"/>
  </r>
  <r>
    <s v="Singapore"/>
    <x v="5"/>
    <s v="SG3"/>
    <m/>
    <x v="2"/>
    <x v="3"/>
    <x v="0"/>
    <x v="2"/>
    <x v="0"/>
    <x v="0"/>
    <x v="0"/>
    <m/>
    <x v="0"/>
    <x v="0"/>
    <n v="-0.280422"/>
    <m/>
    <x v="3"/>
    <x v="1"/>
    <x v="0"/>
    <x v="1"/>
    <x v="2"/>
  </r>
  <r>
    <s v="Singapore"/>
    <x v="4"/>
    <s v="SG3"/>
    <m/>
    <x v="3"/>
    <x v="0"/>
    <x v="2"/>
    <x v="1"/>
    <x v="0"/>
    <x v="0"/>
    <x v="0"/>
    <m/>
    <x v="0"/>
    <x v="0"/>
    <n v="-0.126283374"/>
    <m/>
    <x v="4"/>
    <x v="3"/>
    <x v="0"/>
    <x v="3"/>
    <x v="0"/>
  </r>
  <r>
    <s v="Singapore"/>
    <x v="4"/>
    <s v="SG2"/>
    <m/>
    <x v="3"/>
    <x v="4"/>
    <x v="1"/>
    <x v="3"/>
    <x v="0"/>
    <x v="0"/>
    <x v="0"/>
    <m/>
    <x v="0"/>
    <x v="0"/>
    <n v="0.2258955"/>
    <m/>
    <x v="1"/>
    <x v="1"/>
    <x v="0"/>
    <x v="1"/>
    <x v="1"/>
  </r>
  <r>
    <s v="Singapore"/>
    <x v="4"/>
    <s v="SG1"/>
    <m/>
    <x v="1"/>
    <x v="4"/>
    <x v="4"/>
    <x v="2"/>
    <x v="0"/>
    <x v="0"/>
    <x v="0"/>
    <m/>
    <x v="0"/>
    <x v="0"/>
    <n v="-0.62316000000000005"/>
    <m/>
    <x v="4"/>
    <x v="2"/>
    <x v="0"/>
    <x v="0"/>
    <x v="2"/>
  </r>
  <r>
    <s v="Singapore"/>
    <x v="5"/>
    <s v="SG2"/>
    <m/>
    <x v="2"/>
    <x v="2"/>
    <x v="0"/>
    <x v="2"/>
    <x v="0"/>
    <x v="0"/>
    <x v="0"/>
    <m/>
    <x v="0"/>
    <x v="0"/>
    <n v="1.3008465"/>
    <m/>
    <x v="1"/>
    <x v="3"/>
    <x v="0"/>
    <x v="2"/>
    <x v="2"/>
  </r>
  <r>
    <s v="Singapore"/>
    <x v="1"/>
    <s v="SG2"/>
    <m/>
    <x v="4"/>
    <x v="4"/>
    <x v="2"/>
    <x v="0"/>
    <x v="0"/>
    <x v="0"/>
    <x v="0"/>
    <m/>
    <x v="0"/>
    <x v="0"/>
    <n v="-0.49541220000000002"/>
    <m/>
    <x v="0"/>
    <x v="2"/>
    <x v="0"/>
    <x v="4"/>
    <x v="1"/>
  </r>
  <r>
    <s v="Singapore"/>
    <x v="2"/>
    <s v="SG3"/>
    <m/>
    <x v="2"/>
    <x v="1"/>
    <x v="4"/>
    <x v="5"/>
    <x v="0"/>
    <x v="0"/>
    <x v="0"/>
    <m/>
    <x v="0"/>
    <x v="0"/>
    <n v="6.906139542"/>
    <m/>
    <x v="1"/>
    <x v="3"/>
    <x v="0"/>
    <x v="0"/>
    <x v="2"/>
  </r>
  <r>
    <s v="Singapore"/>
    <x v="5"/>
    <s v="SG4"/>
    <m/>
    <x v="0"/>
    <x v="0"/>
    <x v="0"/>
    <x v="3"/>
    <x v="0"/>
    <x v="0"/>
    <x v="0"/>
    <m/>
    <x v="0"/>
    <x v="0"/>
    <n v="-0.1838322"/>
    <m/>
    <x v="4"/>
    <x v="1"/>
    <x v="0"/>
    <x v="3"/>
    <x v="1"/>
  </r>
  <r>
    <s v="Singapore"/>
    <x v="2"/>
    <s v="SG2"/>
    <m/>
    <x v="3"/>
    <x v="1"/>
    <x v="1"/>
    <x v="2"/>
    <x v="0"/>
    <x v="0"/>
    <x v="0"/>
    <m/>
    <x v="0"/>
    <x v="0"/>
    <n v="-7.7895000000000004E-3"/>
    <m/>
    <x v="0"/>
    <x v="3"/>
    <x v="0"/>
    <x v="2"/>
    <x v="0"/>
  </r>
  <r>
    <s v="Singapore"/>
    <x v="1"/>
    <s v="SG3"/>
    <m/>
    <x v="2"/>
    <x v="4"/>
    <x v="0"/>
    <x v="3"/>
    <x v="0"/>
    <x v="0"/>
    <x v="0"/>
    <m/>
    <x v="0"/>
    <x v="0"/>
    <n v="-72.084033000000005"/>
    <m/>
    <x v="3"/>
    <x v="1"/>
    <x v="0"/>
    <x v="4"/>
    <x v="1"/>
  </r>
  <r>
    <s v="Singapore"/>
    <x v="0"/>
    <s v="SG1"/>
    <m/>
    <x v="4"/>
    <x v="1"/>
    <x v="1"/>
    <x v="4"/>
    <x v="0"/>
    <x v="0"/>
    <x v="0"/>
    <m/>
    <x v="0"/>
    <x v="0"/>
    <n v="-15.9902856"/>
    <m/>
    <x v="8"/>
    <x v="0"/>
    <x v="0"/>
    <x v="5"/>
    <x v="0"/>
  </r>
  <r>
    <s v="Singapore"/>
    <x v="0"/>
    <s v="SG4"/>
    <m/>
    <x v="3"/>
    <x v="1"/>
    <x v="0"/>
    <x v="2"/>
    <x v="0"/>
    <x v="0"/>
    <x v="0"/>
    <m/>
    <x v="0"/>
    <x v="0"/>
    <n v="-4.4867520000000001"/>
    <m/>
    <x v="0"/>
    <x v="0"/>
    <x v="0"/>
    <x v="4"/>
    <x v="0"/>
  </r>
  <r>
    <s v="Singapore"/>
    <x v="2"/>
    <s v="SG4"/>
    <m/>
    <x v="5"/>
    <x v="2"/>
    <x v="0"/>
    <x v="1"/>
    <x v="0"/>
    <x v="0"/>
    <x v="0"/>
    <m/>
    <x v="0"/>
    <x v="0"/>
    <n v="-0.10749510000000001"/>
    <m/>
    <x v="3"/>
    <x v="0"/>
    <x v="0"/>
    <x v="1"/>
    <x v="2"/>
  </r>
  <r>
    <s v="Singapore"/>
    <x v="2"/>
    <s v="SG4"/>
    <m/>
    <x v="1"/>
    <x v="3"/>
    <x v="2"/>
    <x v="0"/>
    <x v="0"/>
    <x v="0"/>
    <x v="0"/>
    <m/>
    <x v="0"/>
    <x v="0"/>
    <n v="3.2715899999999999E-2"/>
    <m/>
    <x v="8"/>
    <x v="2"/>
    <x v="0"/>
    <x v="3"/>
    <x v="1"/>
  </r>
  <r>
    <s v="Singapore"/>
    <x v="2"/>
    <s v="SG1"/>
    <m/>
    <x v="1"/>
    <x v="2"/>
    <x v="3"/>
    <x v="2"/>
    <x v="0"/>
    <x v="0"/>
    <x v="0"/>
    <m/>
    <x v="0"/>
    <x v="0"/>
    <n v="1.7918654220000001"/>
    <m/>
    <x v="1"/>
    <x v="2"/>
    <x v="0"/>
    <x v="0"/>
    <x v="0"/>
  </r>
  <r>
    <s v="Singapore"/>
    <x v="3"/>
    <s v="SG4"/>
    <m/>
    <x v="0"/>
    <x v="0"/>
    <x v="3"/>
    <x v="0"/>
    <x v="0"/>
    <x v="0"/>
    <x v="0"/>
    <m/>
    <x v="0"/>
    <x v="0"/>
    <n v="-3.1158000000000002E-2"/>
    <m/>
    <x v="0"/>
    <x v="0"/>
    <x v="0"/>
    <x v="2"/>
    <x v="2"/>
  </r>
  <r>
    <s v="Singapore"/>
    <x v="1"/>
    <s v="SG1"/>
    <m/>
    <x v="4"/>
    <x v="1"/>
    <x v="2"/>
    <x v="0"/>
    <x v="0"/>
    <x v="0"/>
    <x v="0"/>
    <m/>
    <x v="0"/>
    <x v="0"/>
    <n v="0.70105499999999998"/>
    <m/>
    <x v="1"/>
    <x v="0"/>
    <x v="0"/>
    <x v="0"/>
    <x v="0"/>
  </r>
  <r>
    <s v="Singapore"/>
    <x v="4"/>
    <s v="SG1"/>
    <m/>
    <x v="5"/>
    <x v="3"/>
    <x v="2"/>
    <x v="4"/>
    <x v="0"/>
    <x v="0"/>
    <x v="0"/>
    <m/>
    <x v="0"/>
    <x v="0"/>
    <n v="-9.8147700000000004E-2"/>
    <m/>
    <x v="3"/>
    <x v="2"/>
    <x v="0"/>
    <x v="0"/>
    <x v="0"/>
  </r>
  <r>
    <s v="Singapore"/>
    <x v="3"/>
    <s v="SG3"/>
    <m/>
    <x v="3"/>
    <x v="3"/>
    <x v="0"/>
    <x v="0"/>
    <x v="0"/>
    <x v="0"/>
    <x v="0"/>
    <m/>
    <x v="0"/>
    <x v="0"/>
    <n v="2.6484300000000003"/>
    <m/>
    <x v="1"/>
    <x v="3"/>
    <x v="0"/>
    <x v="0"/>
    <x v="0"/>
  </r>
  <r>
    <s v="Singapore"/>
    <x v="1"/>
    <s v="SG3"/>
    <m/>
    <x v="0"/>
    <x v="4"/>
    <x v="4"/>
    <x v="0"/>
    <x v="0"/>
    <x v="0"/>
    <x v="0"/>
    <m/>
    <x v="0"/>
    <x v="0"/>
    <n v="-7.7895000000000006E-2"/>
    <m/>
    <x v="0"/>
    <x v="2"/>
    <x v="0"/>
    <x v="2"/>
    <x v="2"/>
  </r>
  <r>
    <s v="Singapore"/>
    <x v="2"/>
    <s v="SG3"/>
    <m/>
    <x v="4"/>
    <x v="2"/>
    <x v="2"/>
    <x v="2"/>
    <x v="0"/>
    <x v="0"/>
    <x v="0"/>
    <m/>
    <x v="0"/>
    <x v="0"/>
    <n v="0.11216880000000001"/>
    <m/>
    <x v="6"/>
    <x v="3"/>
    <x v="0"/>
    <x v="1"/>
    <x v="2"/>
  </r>
  <r>
    <s v="Singapore"/>
    <x v="0"/>
    <s v="SG3"/>
    <m/>
    <x v="3"/>
    <x v="0"/>
    <x v="4"/>
    <x v="1"/>
    <x v="0"/>
    <x v="0"/>
    <x v="0"/>
    <m/>
    <x v="0"/>
    <x v="0"/>
    <n v="-0.1838322"/>
    <m/>
    <x v="4"/>
    <x v="3"/>
    <x v="0"/>
    <x v="2"/>
    <x v="0"/>
  </r>
  <r>
    <s v="Singapore"/>
    <x v="1"/>
    <s v="SG3"/>
    <m/>
    <x v="2"/>
    <x v="1"/>
    <x v="3"/>
    <x v="3"/>
    <x v="0"/>
    <x v="0"/>
    <x v="0"/>
    <m/>
    <x v="0"/>
    <x v="0"/>
    <n v="-0.77895000000000003"/>
    <m/>
    <x v="4"/>
    <x v="3"/>
    <x v="0"/>
    <x v="1"/>
    <x v="2"/>
  </r>
  <r>
    <s v="Singapore"/>
    <x v="2"/>
    <s v="SG1"/>
    <m/>
    <x v="5"/>
    <x v="1"/>
    <x v="3"/>
    <x v="2"/>
    <x v="0"/>
    <x v="0"/>
    <x v="0"/>
    <m/>
    <x v="0"/>
    <x v="0"/>
    <n v="-5.8421250000000001E-2"/>
    <m/>
    <x v="0"/>
    <x v="3"/>
    <x v="0"/>
    <x v="4"/>
    <x v="0"/>
  </r>
  <r>
    <s v="Singapore"/>
    <x v="0"/>
    <s v="SG1"/>
    <m/>
    <x v="1"/>
    <x v="2"/>
    <x v="2"/>
    <x v="5"/>
    <x v="0"/>
    <x v="0"/>
    <x v="0"/>
    <m/>
    <x v="0"/>
    <x v="0"/>
    <n v="-20.700705302999999"/>
    <m/>
    <x v="3"/>
    <x v="3"/>
    <x v="0"/>
    <x v="5"/>
    <x v="2"/>
  </r>
  <r>
    <s v="Singapore"/>
    <x v="3"/>
    <s v="SG2"/>
    <m/>
    <x v="3"/>
    <x v="1"/>
    <x v="2"/>
    <x v="0"/>
    <x v="0"/>
    <x v="0"/>
    <x v="0"/>
    <m/>
    <x v="0"/>
    <x v="0"/>
    <n v="-0.280422"/>
    <m/>
    <x v="0"/>
    <x v="2"/>
    <x v="0"/>
    <x v="0"/>
    <x v="1"/>
  </r>
  <r>
    <s v="Singapore"/>
    <x v="0"/>
    <s v="SG1"/>
    <m/>
    <x v="3"/>
    <x v="1"/>
    <x v="4"/>
    <x v="0"/>
    <x v="0"/>
    <x v="0"/>
    <x v="0"/>
    <m/>
    <x v="0"/>
    <x v="0"/>
    <n v="1.1871198000000001"/>
    <m/>
    <x v="3"/>
    <x v="2"/>
    <x v="0"/>
    <x v="5"/>
    <x v="2"/>
  </r>
  <r>
    <s v="Singapore"/>
    <x v="5"/>
    <s v="SG3"/>
    <m/>
    <x v="5"/>
    <x v="4"/>
    <x v="0"/>
    <x v="5"/>
    <x v="0"/>
    <x v="0"/>
    <x v="0"/>
    <m/>
    <x v="0"/>
    <x v="0"/>
    <n v="-0.280422"/>
    <m/>
    <x v="4"/>
    <x v="2"/>
    <x v="0"/>
    <x v="4"/>
    <x v="2"/>
  </r>
  <r>
    <s v="Singapore"/>
    <x v="4"/>
    <s v="SG1"/>
    <m/>
    <x v="4"/>
    <x v="0"/>
    <x v="2"/>
    <x v="0"/>
    <x v="0"/>
    <x v="0"/>
    <x v="0"/>
    <m/>
    <x v="0"/>
    <x v="0"/>
    <n v="31.490954388000002"/>
    <m/>
    <x v="7"/>
    <x v="0"/>
    <x v="0"/>
    <x v="2"/>
    <x v="0"/>
  </r>
  <r>
    <s v="Singapore"/>
    <x v="5"/>
    <s v="SG1"/>
    <m/>
    <x v="5"/>
    <x v="1"/>
    <x v="2"/>
    <x v="1"/>
    <x v="0"/>
    <x v="0"/>
    <x v="0"/>
    <m/>
    <x v="0"/>
    <x v="0"/>
    <n v="0.38947500000000002"/>
    <m/>
    <x v="1"/>
    <x v="1"/>
    <x v="0"/>
    <x v="5"/>
    <x v="1"/>
  </r>
  <r>
    <s v="Singapore"/>
    <x v="3"/>
    <s v="SG1"/>
    <m/>
    <x v="4"/>
    <x v="2"/>
    <x v="3"/>
    <x v="4"/>
    <x v="0"/>
    <x v="0"/>
    <x v="0"/>
    <m/>
    <x v="0"/>
    <x v="0"/>
    <n v="-4.6737000000000001E-2"/>
    <m/>
    <x v="0"/>
    <x v="2"/>
    <x v="0"/>
    <x v="5"/>
    <x v="2"/>
  </r>
  <r>
    <s v="Singapore"/>
    <x v="5"/>
    <s v="SG3"/>
    <m/>
    <x v="3"/>
    <x v="3"/>
    <x v="1"/>
    <x v="3"/>
    <x v="0"/>
    <x v="0"/>
    <x v="0"/>
    <m/>
    <x v="0"/>
    <x v="0"/>
    <n v="-0.22022474400000003"/>
    <m/>
    <x v="7"/>
    <x v="0"/>
    <x v="0"/>
    <x v="2"/>
    <x v="1"/>
  </r>
  <r>
    <s v="Singapore"/>
    <x v="5"/>
    <s v="SG4"/>
    <m/>
    <x v="4"/>
    <x v="1"/>
    <x v="4"/>
    <x v="5"/>
    <x v="0"/>
    <x v="0"/>
    <x v="0"/>
    <m/>
    <x v="0"/>
    <x v="0"/>
    <n v="-2.775180744"/>
    <m/>
    <x v="4"/>
    <x v="3"/>
    <x v="0"/>
    <x v="1"/>
    <x v="1"/>
  </r>
  <r>
    <s v="Singapore"/>
    <x v="4"/>
    <s v="SG3"/>
    <m/>
    <x v="2"/>
    <x v="1"/>
    <x v="1"/>
    <x v="2"/>
    <x v="0"/>
    <x v="0"/>
    <x v="0"/>
    <m/>
    <x v="0"/>
    <x v="0"/>
    <n v="0.98147700000000004"/>
    <m/>
    <x v="1"/>
    <x v="0"/>
    <x v="0"/>
    <x v="0"/>
    <x v="0"/>
  </r>
  <r>
    <s v="Singapore"/>
    <x v="3"/>
    <s v="SG3"/>
    <m/>
    <x v="2"/>
    <x v="2"/>
    <x v="2"/>
    <x v="4"/>
    <x v="0"/>
    <x v="0"/>
    <x v="0"/>
    <m/>
    <x v="0"/>
    <x v="0"/>
    <n v="-0.31158000000000002"/>
    <m/>
    <x v="4"/>
    <x v="1"/>
    <x v="0"/>
    <x v="3"/>
    <x v="1"/>
  </r>
  <r>
    <s v="Singapore"/>
    <x v="0"/>
    <s v="SG3"/>
    <m/>
    <x v="4"/>
    <x v="1"/>
    <x v="4"/>
    <x v="5"/>
    <x v="0"/>
    <x v="0"/>
    <x v="0"/>
    <m/>
    <x v="0"/>
    <x v="0"/>
    <n v="0.37389600000000001"/>
    <m/>
    <x v="1"/>
    <x v="2"/>
    <x v="0"/>
    <x v="5"/>
    <x v="2"/>
  </r>
  <r>
    <s v="Singapore"/>
    <x v="3"/>
    <s v="SG3"/>
    <m/>
    <x v="0"/>
    <x v="4"/>
    <x v="0"/>
    <x v="0"/>
    <x v="0"/>
    <x v="0"/>
    <x v="0"/>
    <m/>
    <x v="0"/>
    <x v="0"/>
    <n v="0.15968475000000001"/>
    <m/>
    <x v="7"/>
    <x v="1"/>
    <x v="0"/>
    <x v="2"/>
    <x v="2"/>
  </r>
  <r>
    <s v="Singapore"/>
    <x v="5"/>
    <s v="SG3"/>
    <m/>
    <x v="4"/>
    <x v="0"/>
    <x v="1"/>
    <x v="3"/>
    <x v="0"/>
    <x v="0"/>
    <x v="0"/>
    <m/>
    <x v="0"/>
    <x v="0"/>
    <n v="-0.15579000000000001"/>
    <m/>
    <x v="4"/>
    <x v="3"/>
    <x v="0"/>
    <x v="4"/>
    <x v="1"/>
  </r>
  <r>
    <s v="Singapore"/>
    <x v="5"/>
    <s v="SG2"/>
    <m/>
    <x v="1"/>
    <x v="0"/>
    <x v="2"/>
    <x v="2"/>
    <x v="0"/>
    <x v="0"/>
    <x v="0"/>
    <m/>
    <x v="0"/>
    <x v="0"/>
    <n v="-4.6737000000000001E-2"/>
    <m/>
    <x v="0"/>
    <x v="0"/>
    <x v="0"/>
    <x v="0"/>
    <x v="0"/>
  </r>
  <r>
    <s v="Singapore"/>
    <x v="3"/>
    <s v="SG1"/>
    <m/>
    <x v="4"/>
    <x v="0"/>
    <x v="3"/>
    <x v="3"/>
    <x v="0"/>
    <x v="0"/>
    <x v="0"/>
    <m/>
    <x v="0"/>
    <x v="0"/>
    <n v="-0.31158000000000002"/>
    <m/>
    <x v="4"/>
    <x v="1"/>
    <x v="0"/>
    <x v="5"/>
    <x v="0"/>
  </r>
  <r>
    <s v="Singapore"/>
    <x v="2"/>
    <s v="SG4"/>
    <m/>
    <x v="4"/>
    <x v="0"/>
    <x v="4"/>
    <x v="0"/>
    <x v="0"/>
    <x v="0"/>
    <x v="0"/>
    <m/>
    <x v="0"/>
    <x v="0"/>
    <n v="-3.1158000000000002E-2"/>
    <m/>
    <x v="4"/>
    <x v="3"/>
    <x v="0"/>
    <x v="3"/>
    <x v="1"/>
  </r>
  <r>
    <s v="Singapore"/>
    <x v="3"/>
    <s v="SG3"/>
    <m/>
    <x v="3"/>
    <x v="0"/>
    <x v="0"/>
    <x v="4"/>
    <x v="0"/>
    <x v="0"/>
    <x v="0"/>
    <m/>
    <x v="0"/>
    <x v="0"/>
    <n v="-0.62316000000000005"/>
    <m/>
    <x v="4"/>
    <x v="2"/>
    <x v="0"/>
    <x v="1"/>
    <x v="2"/>
  </r>
  <r>
    <s v="Singapore"/>
    <x v="3"/>
    <s v="SG3"/>
    <m/>
    <x v="3"/>
    <x v="1"/>
    <x v="0"/>
    <x v="4"/>
    <x v="0"/>
    <x v="0"/>
    <x v="0"/>
    <m/>
    <x v="0"/>
    <x v="0"/>
    <n v="-40.060806497999998"/>
    <m/>
    <x v="2"/>
    <x v="3"/>
    <x v="0"/>
    <x v="0"/>
    <x v="2"/>
  </r>
  <r>
    <s v="Singapore"/>
    <x v="5"/>
    <s v="SG2"/>
    <m/>
    <x v="5"/>
    <x v="3"/>
    <x v="3"/>
    <x v="3"/>
    <x v="0"/>
    <x v="0"/>
    <x v="0"/>
    <m/>
    <x v="0"/>
    <x v="0"/>
    <n v="43.150885569000003"/>
    <m/>
    <x v="0"/>
    <x v="0"/>
    <x v="0"/>
    <x v="1"/>
    <x v="1"/>
  </r>
  <r>
    <s v="Singapore"/>
    <x v="1"/>
    <s v="SG2"/>
    <m/>
    <x v="1"/>
    <x v="1"/>
    <x v="1"/>
    <x v="2"/>
    <x v="0"/>
    <x v="0"/>
    <x v="0"/>
    <m/>
    <x v="0"/>
    <x v="0"/>
    <n v="-2.7263250000000001"/>
    <m/>
    <x v="1"/>
    <x v="0"/>
    <x v="0"/>
    <x v="2"/>
    <x v="0"/>
  </r>
  <r>
    <s v="Singapore"/>
    <x v="4"/>
    <s v="SG4"/>
    <m/>
    <x v="4"/>
    <x v="2"/>
    <x v="1"/>
    <x v="4"/>
    <x v="0"/>
    <x v="0"/>
    <x v="0"/>
    <m/>
    <x v="0"/>
    <x v="0"/>
    <n v="-1.3680075690000002"/>
    <m/>
    <x v="4"/>
    <x v="3"/>
    <x v="0"/>
    <x v="5"/>
    <x v="0"/>
  </r>
  <r>
    <s v="Singapore"/>
    <x v="3"/>
    <s v="SG3"/>
    <m/>
    <x v="2"/>
    <x v="2"/>
    <x v="2"/>
    <x v="5"/>
    <x v="0"/>
    <x v="0"/>
    <x v="0"/>
    <m/>
    <x v="0"/>
    <x v="0"/>
    <n v="-91.137150000000005"/>
    <m/>
    <x v="2"/>
    <x v="1"/>
    <x v="0"/>
    <x v="1"/>
    <x v="0"/>
  </r>
  <r>
    <s v="Singapore"/>
    <x v="5"/>
    <s v="SG2"/>
    <m/>
    <x v="0"/>
    <x v="3"/>
    <x v="0"/>
    <x v="2"/>
    <x v="0"/>
    <x v="0"/>
    <x v="0"/>
    <m/>
    <x v="0"/>
    <x v="0"/>
    <n v="-0.30804356700000002"/>
    <m/>
    <x v="0"/>
    <x v="3"/>
    <x v="0"/>
    <x v="4"/>
    <x v="2"/>
  </r>
  <r>
    <s v="Singapore"/>
    <x v="0"/>
    <s v="SG1"/>
    <m/>
    <x v="2"/>
    <x v="1"/>
    <x v="3"/>
    <x v="2"/>
    <x v="0"/>
    <x v="0"/>
    <x v="0"/>
    <m/>
    <x v="0"/>
    <x v="0"/>
    <n v="-183.52062000000001"/>
    <m/>
    <x v="4"/>
    <x v="2"/>
    <x v="0"/>
    <x v="2"/>
    <x v="0"/>
  </r>
  <r>
    <s v="Singapore"/>
    <x v="0"/>
    <s v="SG4"/>
    <m/>
    <x v="2"/>
    <x v="1"/>
    <x v="2"/>
    <x v="5"/>
    <x v="0"/>
    <x v="0"/>
    <x v="0"/>
    <m/>
    <x v="0"/>
    <x v="0"/>
    <n v="2.3680080000000001"/>
    <m/>
    <x v="1"/>
    <x v="3"/>
    <x v="0"/>
    <x v="0"/>
    <x v="0"/>
  </r>
  <r>
    <s v="Singapore"/>
    <x v="1"/>
    <s v="SG2"/>
    <m/>
    <x v="4"/>
    <x v="3"/>
    <x v="2"/>
    <x v="5"/>
    <x v="0"/>
    <x v="0"/>
    <x v="0"/>
    <m/>
    <x v="0"/>
    <x v="0"/>
    <n v="0.7244235"/>
    <m/>
    <x v="1"/>
    <x v="1"/>
    <x v="0"/>
    <x v="1"/>
    <x v="0"/>
  </r>
  <r>
    <s v="Singapore"/>
    <x v="5"/>
    <s v="SG3"/>
    <m/>
    <x v="0"/>
    <x v="3"/>
    <x v="2"/>
    <x v="2"/>
    <x v="0"/>
    <x v="0"/>
    <x v="0"/>
    <m/>
    <x v="0"/>
    <x v="0"/>
    <n v="0.20096910000000001"/>
    <m/>
    <x v="3"/>
    <x v="3"/>
    <x v="0"/>
    <x v="5"/>
    <x v="2"/>
  </r>
  <r>
    <s v="Singapore"/>
    <x v="3"/>
    <s v="SG1"/>
    <m/>
    <x v="0"/>
    <x v="1"/>
    <x v="0"/>
    <x v="0"/>
    <x v="0"/>
    <x v="0"/>
    <x v="0"/>
    <m/>
    <x v="0"/>
    <x v="0"/>
    <n v="8.4733557840000007"/>
    <m/>
    <x v="3"/>
    <x v="0"/>
    <x v="0"/>
    <x v="2"/>
    <x v="1"/>
  </r>
  <r>
    <s v="Singapore"/>
    <x v="5"/>
    <s v="SG4"/>
    <m/>
    <x v="2"/>
    <x v="0"/>
    <x v="1"/>
    <x v="0"/>
    <x v="0"/>
    <x v="0"/>
    <x v="0"/>
    <m/>
    <x v="0"/>
    <x v="0"/>
    <n v="-0.52946789400000005"/>
    <m/>
    <x v="2"/>
    <x v="0"/>
    <x v="0"/>
    <x v="5"/>
    <x v="2"/>
  </r>
  <r>
    <s v="Singapore"/>
    <x v="0"/>
    <s v="SG3"/>
    <m/>
    <x v="0"/>
    <x v="0"/>
    <x v="1"/>
    <x v="4"/>
    <x v="0"/>
    <x v="0"/>
    <x v="0"/>
    <m/>
    <x v="0"/>
    <x v="0"/>
    <n v="1.86948"/>
    <m/>
    <x v="5"/>
    <x v="1"/>
    <x v="0"/>
    <x v="4"/>
    <x v="1"/>
  </r>
  <r>
    <s v="Singapore"/>
    <x v="5"/>
    <s v="SG2"/>
    <m/>
    <x v="0"/>
    <x v="0"/>
    <x v="2"/>
    <x v="4"/>
    <x v="0"/>
    <x v="0"/>
    <x v="0"/>
    <m/>
    <x v="0"/>
    <x v="0"/>
    <n v="-0.51410699999999998"/>
    <m/>
    <x v="0"/>
    <x v="3"/>
    <x v="0"/>
    <x v="2"/>
    <x v="1"/>
  </r>
  <r>
    <s v="Singapore"/>
    <x v="1"/>
    <s v="SG2"/>
    <m/>
    <x v="1"/>
    <x v="3"/>
    <x v="3"/>
    <x v="4"/>
    <x v="0"/>
    <x v="0"/>
    <x v="0"/>
    <m/>
    <x v="0"/>
    <x v="0"/>
    <n v="-0.3661065"/>
    <m/>
    <x v="0"/>
    <x v="1"/>
    <x v="0"/>
    <x v="2"/>
    <x v="1"/>
  </r>
  <r>
    <s v="Singapore"/>
    <x v="5"/>
    <s v="SG1"/>
    <m/>
    <x v="2"/>
    <x v="1"/>
    <x v="2"/>
    <x v="3"/>
    <x v="0"/>
    <x v="0"/>
    <x v="0"/>
    <m/>
    <x v="0"/>
    <x v="0"/>
    <n v="0.1838322"/>
    <m/>
    <x v="4"/>
    <x v="0"/>
    <x v="0"/>
    <x v="0"/>
    <x v="2"/>
  </r>
  <r>
    <s v="Singapore"/>
    <x v="5"/>
    <s v="SG2"/>
    <m/>
    <x v="1"/>
    <x v="3"/>
    <x v="0"/>
    <x v="5"/>
    <x v="0"/>
    <x v="0"/>
    <x v="0"/>
    <m/>
    <x v="0"/>
    <x v="0"/>
    <n v="-2.1810444210000002"/>
    <m/>
    <x v="0"/>
    <x v="0"/>
    <x v="0"/>
    <x v="4"/>
    <x v="0"/>
  </r>
  <r>
    <s v="Singapore"/>
    <x v="2"/>
    <s v="SG2"/>
    <m/>
    <x v="2"/>
    <x v="2"/>
    <x v="0"/>
    <x v="3"/>
    <x v="0"/>
    <x v="0"/>
    <x v="0"/>
    <m/>
    <x v="0"/>
    <x v="0"/>
    <n v="-20.741397651000003"/>
    <m/>
    <x v="7"/>
    <x v="1"/>
    <x v="0"/>
    <x v="0"/>
    <x v="2"/>
  </r>
  <r>
    <s v="Singapore"/>
    <x v="5"/>
    <s v="SG3"/>
    <m/>
    <x v="4"/>
    <x v="2"/>
    <x v="3"/>
    <x v="2"/>
    <x v="0"/>
    <x v="0"/>
    <x v="0"/>
    <m/>
    <x v="0"/>
    <x v="0"/>
    <n v="0.14055373800000001"/>
    <m/>
    <x v="3"/>
    <x v="1"/>
    <x v="0"/>
    <x v="3"/>
    <x v="1"/>
  </r>
  <r>
    <s v="Singapore"/>
    <x v="3"/>
    <s v="SG3"/>
    <m/>
    <x v="0"/>
    <x v="0"/>
    <x v="0"/>
    <x v="0"/>
    <x v="0"/>
    <x v="0"/>
    <x v="0"/>
    <m/>
    <x v="0"/>
    <x v="0"/>
    <n v="0.15579000000000001"/>
    <m/>
    <x v="1"/>
    <x v="3"/>
    <x v="0"/>
    <x v="5"/>
    <x v="0"/>
  </r>
  <r>
    <s v="Singapore"/>
    <x v="1"/>
    <s v="SG3"/>
    <m/>
    <x v="0"/>
    <x v="1"/>
    <x v="0"/>
    <x v="5"/>
    <x v="0"/>
    <x v="0"/>
    <x v="0"/>
    <m/>
    <x v="0"/>
    <x v="0"/>
    <n v="20.186473671000002"/>
    <m/>
    <x v="7"/>
    <x v="3"/>
    <x v="0"/>
    <x v="4"/>
    <x v="1"/>
  </r>
  <r>
    <s v="Singapore"/>
    <x v="1"/>
    <s v="SG1"/>
    <m/>
    <x v="2"/>
    <x v="0"/>
    <x v="1"/>
    <x v="1"/>
    <x v="0"/>
    <x v="0"/>
    <x v="0"/>
    <m/>
    <x v="0"/>
    <x v="0"/>
    <n v="1.0671615000000001"/>
    <m/>
    <x v="1"/>
    <x v="3"/>
    <x v="0"/>
    <x v="4"/>
    <x v="0"/>
  </r>
  <r>
    <s v="Singapore"/>
    <x v="2"/>
    <s v="SG3"/>
    <m/>
    <x v="0"/>
    <x v="3"/>
    <x v="4"/>
    <x v="2"/>
    <x v="0"/>
    <x v="0"/>
    <x v="0"/>
    <m/>
    <x v="0"/>
    <x v="0"/>
    <n v="0.17961029100000003"/>
    <m/>
    <x v="1"/>
    <x v="2"/>
    <x v="0"/>
    <x v="4"/>
    <x v="1"/>
  </r>
  <r>
    <s v="Singapore"/>
    <x v="5"/>
    <s v="SG3"/>
    <m/>
    <x v="3"/>
    <x v="1"/>
    <x v="3"/>
    <x v="1"/>
    <x v="0"/>
    <x v="0"/>
    <x v="0"/>
    <m/>
    <x v="0"/>
    <x v="0"/>
    <n v="0.14055373800000001"/>
    <m/>
    <x v="3"/>
    <x v="3"/>
    <x v="0"/>
    <x v="2"/>
    <x v="2"/>
  </r>
  <r>
    <s v="Singapore"/>
    <x v="0"/>
    <s v="SG3"/>
    <m/>
    <x v="0"/>
    <x v="2"/>
    <x v="0"/>
    <x v="2"/>
    <x v="0"/>
    <x v="0"/>
    <x v="0"/>
    <m/>
    <x v="0"/>
    <x v="0"/>
    <n v="1.3008465"/>
    <m/>
    <x v="1"/>
    <x v="1"/>
    <x v="0"/>
    <x v="2"/>
    <x v="0"/>
  </r>
  <r>
    <s v="Singapore"/>
    <x v="2"/>
    <s v="SG3"/>
    <m/>
    <x v="1"/>
    <x v="1"/>
    <x v="2"/>
    <x v="5"/>
    <x v="0"/>
    <x v="0"/>
    <x v="0"/>
    <m/>
    <x v="0"/>
    <x v="0"/>
    <n v="0.38947500000000002"/>
    <m/>
    <x v="5"/>
    <x v="3"/>
    <x v="0"/>
    <x v="4"/>
    <x v="0"/>
  </r>
  <r>
    <s v="Singapore"/>
    <x v="0"/>
    <s v="SG4"/>
    <m/>
    <x v="3"/>
    <x v="1"/>
    <x v="2"/>
    <x v="5"/>
    <x v="0"/>
    <x v="0"/>
    <x v="0"/>
    <m/>
    <x v="0"/>
    <x v="0"/>
    <n v="4.9852800000000004"/>
    <m/>
    <x v="8"/>
    <x v="2"/>
    <x v="0"/>
    <x v="2"/>
    <x v="1"/>
  </r>
  <r>
    <s v="Singapore"/>
    <x v="3"/>
    <s v="SG3"/>
    <m/>
    <x v="1"/>
    <x v="4"/>
    <x v="2"/>
    <x v="4"/>
    <x v="0"/>
    <x v="0"/>
    <x v="0"/>
    <m/>
    <x v="0"/>
    <x v="0"/>
    <n v="-1.168425"/>
    <m/>
    <x v="0"/>
    <x v="1"/>
    <x v="0"/>
    <x v="5"/>
    <x v="1"/>
  </r>
  <r>
    <s v="Singapore"/>
    <x v="5"/>
    <s v="SG4"/>
    <m/>
    <x v="3"/>
    <x v="4"/>
    <x v="0"/>
    <x v="1"/>
    <x v="0"/>
    <x v="0"/>
    <x v="0"/>
    <m/>
    <x v="0"/>
    <x v="0"/>
    <n v="-2.4303240000000002"/>
    <m/>
    <x v="1"/>
    <x v="2"/>
    <x v="0"/>
    <x v="5"/>
    <x v="0"/>
  </r>
  <r>
    <s v="Singapore"/>
    <x v="1"/>
    <s v="SG4"/>
    <m/>
    <x v="0"/>
    <x v="0"/>
    <x v="2"/>
    <x v="1"/>
    <x v="0"/>
    <x v="0"/>
    <x v="0"/>
    <m/>
    <x v="0"/>
    <x v="0"/>
    <n v="-0.140211"/>
    <m/>
    <x v="0"/>
    <x v="2"/>
    <x v="0"/>
    <x v="1"/>
    <x v="1"/>
  </r>
  <r>
    <s v="Singapore"/>
    <x v="3"/>
    <s v="SG1"/>
    <m/>
    <x v="4"/>
    <x v="2"/>
    <x v="4"/>
    <x v="4"/>
    <x v="0"/>
    <x v="0"/>
    <x v="0"/>
    <m/>
    <x v="0"/>
    <x v="0"/>
    <n v="-0.24926400000000001"/>
    <m/>
    <x v="0"/>
    <x v="0"/>
    <x v="0"/>
    <x v="5"/>
    <x v="2"/>
  </r>
  <r>
    <s v="Singapore"/>
    <x v="4"/>
    <s v="SG1"/>
    <m/>
    <x v="5"/>
    <x v="2"/>
    <x v="3"/>
    <x v="0"/>
    <x v="0"/>
    <x v="0"/>
    <x v="0"/>
    <m/>
    <x v="0"/>
    <x v="0"/>
    <n v="-24.141062610000002"/>
    <m/>
    <x v="3"/>
    <x v="3"/>
    <x v="0"/>
    <x v="4"/>
    <x v="2"/>
  </r>
  <r>
    <s v="Singapore"/>
    <x v="0"/>
    <s v="SG1"/>
    <m/>
    <x v="2"/>
    <x v="3"/>
    <x v="1"/>
    <x v="1"/>
    <x v="0"/>
    <x v="0"/>
    <x v="0"/>
    <m/>
    <x v="0"/>
    <x v="0"/>
    <n v="-1.5579000000000001E-2"/>
    <m/>
    <x v="0"/>
    <x v="3"/>
    <x v="0"/>
    <x v="5"/>
    <x v="2"/>
  </r>
  <r>
    <s v="Singapore"/>
    <x v="3"/>
    <s v="SG2"/>
    <m/>
    <x v="1"/>
    <x v="3"/>
    <x v="3"/>
    <x v="5"/>
    <x v="0"/>
    <x v="0"/>
    <x v="0"/>
    <m/>
    <x v="0"/>
    <x v="0"/>
    <n v="-1.5579000000000001E-2"/>
    <m/>
    <x v="0"/>
    <x v="3"/>
    <x v="0"/>
    <x v="0"/>
    <x v="1"/>
  </r>
  <r>
    <s v="Singapore"/>
    <x v="5"/>
    <s v="SG3"/>
    <m/>
    <x v="5"/>
    <x v="0"/>
    <x v="1"/>
    <x v="2"/>
    <x v="0"/>
    <x v="0"/>
    <x v="0"/>
    <m/>
    <x v="0"/>
    <x v="0"/>
    <n v="-4.6737000000000001E-2"/>
    <m/>
    <x v="0"/>
    <x v="2"/>
    <x v="0"/>
    <x v="2"/>
    <x v="2"/>
  </r>
  <r>
    <s v="Singapore"/>
    <x v="4"/>
    <s v="SG1"/>
    <m/>
    <x v="2"/>
    <x v="4"/>
    <x v="0"/>
    <x v="2"/>
    <x v="0"/>
    <x v="0"/>
    <x v="0"/>
    <m/>
    <x v="0"/>
    <x v="0"/>
    <n v="-0.12463200000000001"/>
    <m/>
    <x v="0"/>
    <x v="2"/>
    <x v="0"/>
    <x v="2"/>
    <x v="2"/>
  </r>
  <r>
    <s v="Singapore"/>
    <x v="2"/>
    <s v="SG2"/>
    <m/>
    <x v="3"/>
    <x v="1"/>
    <x v="1"/>
    <x v="0"/>
    <x v="0"/>
    <x v="0"/>
    <x v="0"/>
    <m/>
    <x v="0"/>
    <x v="0"/>
    <n v="-0.77895000000000003"/>
    <m/>
    <x v="4"/>
    <x v="0"/>
    <x v="0"/>
    <x v="3"/>
    <x v="2"/>
  </r>
  <r>
    <s v="Singapore"/>
    <x v="3"/>
    <s v="SG3"/>
    <m/>
    <x v="3"/>
    <x v="1"/>
    <x v="1"/>
    <x v="3"/>
    <x v="0"/>
    <x v="0"/>
    <x v="0"/>
    <m/>
    <x v="0"/>
    <x v="0"/>
    <n v="43.364972186999999"/>
    <m/>
    <x v="1"/>
    <x v="3"/>
    <x v="0"/>
    <x v="3"/>
    <x v="0"/>
  </r>
  <r>
    <s v="Singapore"/>
    <x v="4"/>
    <s v="SG2"/>
    <m/>
    <x v="1"/>
    <x v="4"/>
    <x v="1"/>
    <x v="5"/>
    <x v="0"/>
    <x v="0"/>
    <x v="0"/>
    <m/>
    <x v="0"/>
    <x v="0"/>
    <n v="0.94252950000000002"/>
    <m/>
    <x v="1"/>
    <x v="1"/>
    <x v="0"/>
    <x v="4"/>
    <x v="1"/>
  </r>
  <r>
    <s v="Singapore"/>
    <x v="4"/>
    <s v="SG1"/>
    <m/>
    <x v="3"/>
    <x v="3"/>
    <x v="1"/>
    <x v="2"/>
    <x v="0"/>
    <x v="0"/>
    <x v="0"/>
    <m/>
    <x v="0"/>
    <x v="0"/>
    <n v="-0.31158000000000002"/>
    <m/>
    <x v="1"/>
    <x v="0"/>
    <x v="0"/>
    <x v="2"/>
    <x v="0"/>
  </r>
  <r>
    <s v="Singapore"/>
    <x v="2"/>
    <s v="SG3"/>
    <m/>
    <x v="5"/>
    <x v="1"/>
    <x v="2"/>
    <x v="4"/>
    <x v="0"/>
    <x v="0"/>
    <x v="0"/>
    <m/>
    <x v="0"/>
    <x v="0"/>
    <n v="-0.29100014099999999"/>
    <m/>
    <x v="0"/>
    <x v="1"/>
    <x v="0"/>
    <x v="3"/>
    <x v="1"/>
  </r>
  <r>
    <s v="Singapore"/>
    <x v="3"/>
    <s v="SG1"/>
    <m/>
    <x v="1"/>
    <x v="3"/>
    <x v="2"/>
    <x v="5"/>
    <x v="0"/>
    <x v="0"/>
    <x v="0"/>
    <m/>
    <x v="0"/>
    <x v="0"/>
    <n v="-8.6073975000000011"/>
    <m/>
    <x v="3"/>
    <x v="3"/>
    <x v="0"/>
    <x v="2"/>
    <x v="2"/>
  </r>
  <r>
    <s v="Singapore"/>
    <x v="2"/>
    <s v="SG2"/>
    <m/>
    <x v="5"/>
    <x v="0"/>
    <x v="0"/>
    <x v="3"/>
    <x v="0"/>
    <x v="0"/>
    <x v="0"/>
    <m/>
    <x v="0"/>
    <x v="0"/>
    <n v="-0.3661065"/>
    <m/>
    <x v="3"/>
    <x v="0"/>
    <x v="0"/>
    <x v="1"/>
    <x v="0"/>
  </r>
  <r>
    <s v="Singapore"/>
    <x v="0"/>
    <s v="SG1"/>
    <m/>
    <x v="0"/>
    <x v="2"/>
    <x v="2"/>
    <x v="2"/>
    <x v="0"/>
    <x v="0"/>
    <x v="0"/>
    <m/>
    <x v="0"/>
    <x v="0"/>
    <n v="11.920941747000001"/>
    <m/>
    <x v="7"/>
    <x v="2"/>
    <x v="0"/>
    <x v="1"/>
    <x v="1"/>
  </r>
  <r>
    <s v="Singapore"/>
    <x v="5"/>
    <s v="SG1"/>
    <m/>
    <x v="4"/>
    <x v="3"/>
    <x v="0"/>
    <x v="0"/>
    <x v="0"/>
    <x v="0"/>
    <x v="0"/>
    <m/>
    <x v="0"/>
    <x v="0"/>
    <n v="2.1872916"/>
    <m/>
    <x v="6"/>
    <x v="1"/>
    <x v="0"/>
    <x v="3"/>
    <x v="0"/>
  </r>
  <r>
    <s v="Singapore"/>
    <x v="5"/>
    <s v="SG1"/>
    <m/>
    <x v="1"/>
    <x v="1"/>
    <x v="2"/>
    <x v="5"/>
    <x v="0"/>
    <x v="0"/>
    <x v="0"/>
    <m/>
    <x v="0"/>
    <x v="0"/>
    <n v="-0.62316000000000005"/>
    <m/>
    <x v="4"/>
    <x v="2"/>
    <x v="0"/>
    <x v="0"/>
    <x v="2"/>
  </r>
  <r>
    <s v="Singapore"/>
    <x v="2"/>
    <s v="SG2"/>
    <m/>
    <x v="0"/>
    <x v="1"/>
    <x v="3"/>
    <x v="2"/>
    <x v="0"/>
    <x v="0"/>
    <x v="0"/>
    <m/>
    <x v="0"/>
    <x v="0"/>
    <n v="-0.62316000000000005"/>
    <m/>
    <x v="0"/>
    <x v="1"/>
    <x v="0"/>
    <x v="3"/>
    <x v="2"/>
  </r>
  <r>
    <s v="Singapore"/>
    <x v="3"/>
    <s v="SG1"/>
    <m/>
    <x v="4"/>
    <x v="0"/>
    <x v="2"/>
    <x v="4"/>
    <x v="0"/>
    <x v="0"/>
    <x v="0"/>
    <m/>
    <x v="0"/>
    <x v="0"/>
    <n v="-0.1838322"/>
    <m/>
    <x v="4"/>
    <x v="1"/>
    <x v="0"/>
    <x v="3"/>
    <x v="1"/>
  </r>
  <r>
    <s v="Singapore"/>
    <x v="2"/>
    <s v="SG1"/>
    <m/>
    <x v="5"/>
    <x v="3"/>
    <x v="1"/>
    <x v="2"/>
    <x v="0"/>
    <x v="0"/>
    <x v="0"/>
    <m/>
    <x v="0"/>
    <x v="0"/>
    <n v="-7.7895000000000004E-3"/>
    <m/>
    <x v="0"/>
    <x v="3"/>
    <x v="0"/>
    <x v="0"/>
    <x v="1"/>
  </r>
  <r>
    <s v="Singapore"/>
    <x v="0"/>
    <s v="SG2"/>
    <m/>
    <x v="5"/>
    <x v="0"/>
    <x v="2"/>
    <x v="3"/>
    <x v="0"/>
    <x v="0"/>
    <x v="0"/>
    <m/>
    <x v="0"/>
    <x v="0"/>
    <n v="-7.0105500000000001E-2"/>
    <m/>
    <x v="4"/>
    <x v="3"/>
    <x v="0"/>
    <x v="3"/>
    <x v="2"/>
  </r>
  <r>
    <s v="Singapore"/>
    <x v="3"/>
    <s v="SG1"/>
    <m/>
    <x v="5"/>
    <x v="1"/>
    <x v="4"/>
    <x v="1"/>
    <x v="0"/>
    <x v="0"/>
    <x v="0"/>
    <m/>
    <x v="0"/>
    <x v="0"/>
    <n v="2.570535"/>
    <m/>
    <x v="1"/>
    <x v="3"/>
    <x v="0"/>
    <x v="3"/>
    <x v="2"/>
  </r>
  <r>
    <s v="Singapore"/>
    <x v="4"/>
    <s v="SG2"/>
    <m/>
    <x v="1"/>
    <x v="2"/>
    <x v="0"/>
    <x v="3"/>
    <x v="0"/>
    <x v="0"/>
    <x v="0"/>
    <m/>
    <x v="0"/>
    <x v="0"/>
    <n v="-0.1838322"/>
    <m/>
    <x v="4"/>
    <x v="2"/>
    <x v="0"/>
    <x v="0"/>
    <x v="0"/>
  </r>
  <r>
    <s v="Singapore"/>
    <x v="2"/>
    <s v="SG4"/>
    <m/>
    <x v="4"/>
    <x v="3"/>
    <x v="0"/>
    <x v="5"/>
    <x v="0"/>
    <x v="0"/>
    <x v="0"/>
    <m/>
    <x v="0"/>
    <x v="0"/>
    <n v="-3.5270856000000004"/>
    <m/>
    <x v="3"/>
    <x v="3"/>
    <x v="0"/>
    <x v="2"/>
    <x v="1"/>
  </r>
  <r>
    <s v="Singapore"/>
    <x v="3"/>
    <s v="SG3"/>
    <m/>
    <x v="4"/>
    <x v="0"/>
    <x v="3"/>
    <x v="2"/>
    <x v="0"/>
    <x v="0"/>
    <x v="0"/>
    <m/>
    <x v="0"/>
    <x v="0"/>
    <n v="-4.6737000000000001E-2"/>
    <m/>
    <x v="0"/>
    <x v="2"/>
    <x v="0"/>
    <x v="2"/>
    <x v="0"/>
  </r>
  <r>
    <s v="Singapore"/>
    <x v="3"/>
    <s v="SG3"/>
    <m/>
    <x v="4"/>
    <x v="4"/>
    <x v="4"/>
    <x v="0"/>
    <x v="0"/>
    <x v="0"/>
    <x v="0"/>
    <m/>
    <x v="0"/>
    <x v="0"/>
    <n v="-0.14800050000000001"/>
    <m/>
    <x v="4"/>
    <x v="1"/>
    <x v="0"/>
    <x v="0"/>
    <x v="2"/>
  </r>
  <r>
    <s v="Singapore"/>
    <x v="5"/>
    <s v="SG4"/>
    <m/>
    <x v="5"/>
    <x v="1"/>
    <x v="3"/>
    <x v="1"/>
    <x v="0"/>
    <x v="0"/>
    <x v="0"/>
    <m/>
    <x v="0"/>
    <x v="0"/>
    <n v="0.73738522800000006"/>
    <m/>
    <x v="1"/>
    <x v="1"/>
    <x v="0"/>
    <x v="5"/>
    <x v="0"/>
  </r>
  <r>
    <s v="Singapore"/>
    <x v="0"/>
    <s v="SG3"/>
    <m/>
    <x v="5"/>
    <x v="0"/>
    <x v="1"/>
    <x v="3"/>
    <x v="0"/>
    <x v="0"/>
    <x v="0"/>
    <m/>
    <x v="0"/>
    <x v="0"/>
    <n v="-6.0758100000000002E-2"/>
    <m/>
    <x v="2"/>
    <x v="2"/>
    <x v="0"/>
    <x v="5"/>
    <x v="2"/>
  </r>
  <r>
    <s v="Singapore"/>
    <x v="5"/>
    <s v="SG2"/>
    <m/>
    <x v="2"/>
    <x v="2"/>
    <x v="2"/>
    <x v="4"/>
    <x v="0"/>
    <x v="0"/>
    <x v="0"/>
    <m/>
    <x v="0"/>
    <x v="0"/>
    <n v="1.9027255860000001"/>
    <m/>
    <x v="1"/>
    <x v="2"/>
    <x v="0"/>
    <x v="0"/>
    <x v="2"/>
  </r>
  <r>
    <s v="Singapore"/>
    <x v="3"/>
    <s v="SG1"/>
    <m/>
    <x v="0"/>
    <x v="2"/>
    <x v="3"/>
    <x v="0"/>
    <x v="0"/>
    <x v="0"/>
    <x v="0"/>
    <m/>
    <x v="0"/>
    <x v="0"/>
    <n v="2.8698075900000002"/>
    <m/>
    <x v="8"/>
    <x v="2"/>
    <x v="0"/>
    <x v="1"/>
    <x v="1"/>
  </r>
  <r>
    <s v="Singapore"/>
    <x v="3"/>
    <s v="SG3"/>
    <m/>
    <x v="2"/>
    <x v="2"/>
    <x v="3"/>
    <x v="5"/>
    <x v="0"/>
    <x v="0"/>
    <x v="0"/>
    <m/>
    <x v="0"/>
    <x v="0"/>
    <n v="-0.1838322"/>
    <m/>
    <x v="4"/>
    <x v="0"/>
    <x v="0"/>
    <x v="2"/>
    <x v="1"/>
  </r>
  <r>
    <s v="Singapore"/>
    <x v="2"/>
    <s v="SG1"/>
    <m/>
    <x v="2"/>
    <x v="2"/>
    <x v="1"/>
    <x v="5"/>
    <x v="0"/>
    <x v="0"/>
    <x v="0"/>
    <m/>
    <x v="0"/>
    <x v="0"/>
    <n v="-5.1410700000000004E-2"/>
    <m/>
    <x v="3"/>
    <x v="1"/>
    <x v="0"/>
    <x v="5"/>
    <x v="2"/>
  </r>
  <r>
    <s v="Singapore"/>
    <x v="2"/>
    <s v="SG2"/>
    <m/>
    <x v="5"/>
    <x v="2"/>
    <x v="4"/>
    <x v="3"/>
    <x v="0"/>
    <x v="0"/>
    <x v="0"/>
    <m/>
    <x v="0"/>
    <x v="0"/>
    <n v="0.92891345400000003"/>
    <m/>
    <x v="8"/>
    <x v="1"/>
    <x v="0"/>
    <x v="3"/>
    <x v="1"/>
  </r>
  <r>
    <s v="Singapore"/>
    <x v="3"/>
    <s v="SG1"/>
    <m/>
    <x v="4"/>
    <x v="4"/>
    <x v="4"/>
    <x v="3"/>
    <x v="0"/>
    <x v="0"/>
    <x v="0"/>
    <m/>
    <x v="0"/>
    <x v="0"/>
    <n v="-0.233685"/>
    <m/>
    <x v="0"/>
    <x v="3"/>
    <x v="0"/>
    <x v="5"/>
    <x v="2"/>
  </r>
  <r>
    <s v="Singapore"/>
    <x v="0"/>
    <s v="SG2"/>
    <m/>
    <x v="1"/>
    <x v="0"/>
    <x v="0"/>
    <x v="3"/>
    <x v="0"/>
    <x v="0"/>
    <x v="0"/>
    <m/>
    <x v="0"/>
    <x v="0"/>
    <n v="0.15579000000000001"/>
    <m/>
    <x v="1"/>
    <x v="2"/>
    <x v="0"/>
    <x v="1"/>
    <x v="2"/>
  </r>
  <r>
    <s v="Singapore"/>
    <x v="5"/>
    <s v="SG1"/>
    <m/>
    <x v="3"/>
    <x v="0"/>
    <x v="1"/>
    <x v="5"/>
    <x v="0"/>
    <x v="0"/>
    <x v="0"/>
    <m/>
    <x v="0"/>
    <x v="0"/>
    <n v="-0.140211"/>
    <m/>
    <x v="0"/>
    <x v="0"/>
    <x v="0"/>
    <x v="4"/>
    <x v="0"/>
  </r>
  <r>
    <s v="Singapore"/>
    <x v="3"/>
    <s v="SG1"/>
    <m/>
    <x v="1"/>
    <x v="1"/>
    <x v="3"/>
    <x v="3"/>
    <x v="0"/>
    <x v="0"/>
    <x v="0"/>
    <m/>
    <x v="0"/>
    <x v="0"/>
    <n v="-664.87588830000004"/>
    <m/>
    <x v="2"/>
    <x v="1"/>
    <x v="0"/>
    <x v="5"/>
    <x v="2"/>
  </r>
  <r>
    <s v="Singapore"/>
    <x v="2"/>
    <s v="SG3"/>
    <m/>
    <x v="0"/>
    <x v="2"/>
    <x v="1"/>
    <x v="4"/>
    <x v="0"/>
    <x v="0"/>
    <x v="0"/>
    <m/>
    <x v="0"/>
    <x v="0"/>
    <n v="-1.3709520000000002"/>
    <m/>
    <x v="0"/>
    <x v="2"/>
    <x v="0"/>
    <x v="2"/>
    <x v="0"/>
  </r>
  <r>
    <s v="Singapore"/>
    <x v="0"/>
    <s v="SG2"/>
    <m/>
    <x v="3"/>
    <x v="1"/>
    <x v="3"/>
    <x v="0"/>
    <x v="0"/>
    <x v="0"/>
    <x v="0"/>
    <m/>
    <x v="0"/>
    <x v="0"/>
    <n v="-3.2966098740000001"/>
    <m/>
    <x v="0"/>
    <x v="3"/>
    <x v="0"/>
    <x v="3"/>
    <x v="2"/>
  </r>
  <r>
    <s v="Singapore"/>
    <x v="1"/>
    <s v="SG4"/>
    <m/>
    <x v="3"/>
    <x v="4"/>
    <x v="0"/>
    <x v="1"/>
    <x v="0"/>
    <x v="0"/>
    <x v="0"/>
    <m/>
    <x v="0"/>
    <x v="0"/>
    <n v="-0.41284350000000003"/>
    <m/>
    <x v="4"/>
    <x v="1"/>
    <x v="0"/>
    <x v="4"/>
    <x v="1"/>
  </r>
  <r>
    <s v="Singapore"/>
    <x v="0"/>
    <s v="SG4"/>
    <m/>
    <x v="1"/>
    <x v="2"/>
    <x v="3"/>
    <x v="1"/>
    <x v="0"/>
    <x v="0"/>
    <x v="0"/>
    <m/>
    <x v="0"/>
    <x v="0"/>
    <n v="-0.60758100000000004"/>
    <m/>
    <x v="3"/>
    <x v="2"/>
    <x v="0"/>
    <x v="5"/>
    <x v="2"/>
  </r>
  <r>
    <s v="Singapore"/>
    <x v="4"/>
    <s v="SG4"/>
    <m/>
    <x v="1"/>
    <x v="1"/>
    <x v="4"/>
    <x v="1"/>
    <x v="0"/>
    <x v="0"/>
    <x v="0"/>
    <m/>
    <x v="0"/>
    <x v="0"/>
    <n v="-0.15579000000000001"/>
    <m/>
    <x v="4"/>
    <x v="3"/>
    <x v="0"/>
    <x v="0"/>
    <x v="1"/>
  </r>
  <r>
    <s v="Singapore"/>
    <x v="2"/>
    <s v="SG4"/>
    <m/>
    <x v="5"/>
    <x v="2"/>
    <x v="2"/>
    <x v="5"/>
    <x v="0"/>
    <x v="0"/>
    <x v="0"/>
    <m/>
    <x v="0"/>
    <x v="0"/>
    <n v="0.21031650000000002"/>
    <m/>
    <x v="1"/>
    <x v="1"/>
    <x v="0"/>
    <x v="3"/>
    <x v="2"/>
  </r>
  <r>
    <s v="Singapore"/>
    <x v="0"/>
    <s v="SG1"/>
    <m/>
    <x v="4"/>
    <x v="0"/>
    <x v="3"/>
    <x v="3"/>
    <x v="0"/>
    <x v="0"/>
    <x v="0"/>
    <m/>
    <x v="0"/>
    <x v="0"/>
    <n v="-0.280422"/>
    <m/>
    <x v="0"/>
    <x v="3"/>
    <x v="0"/>
    <x v="2"/>
    <x v="0"/>
  </r>
  <r>
    <s v="Singapore"/>
    <x v="4"/>
    <s v="SG4"/>
    <m/>
    <x v="5"/>
    <x v="3"/>
    <x v="4"/>
    <x v="4"/>
    <x v="0"/>
    <x v="0"/>
    <x v="0"/>
    <m/>
    <x v="0"/>
    <x v="0"/>
    <n v="-0.81010800000000005"/>
    <m/>
    <x v="4"/>
    <x v="0"/>
    <x v="0"/>
    <x v="0"/>
    <x v="1"/>
  </r>
  <r>
    <s v="Singapore"/>
    <x v="3"/>
    <s v="SG2"/>
    <m/>
    <x v="4"/>
    <x v="2"/>
    <x v="3"/>
    <x v="3"/>
    <x v="0"/>
    <x v="0"/>
    <x v="0"/>
    <m/>
    <x v="0"/>
    <x v="0"/>
    <n v="-0.280422"/>
    <m/>
    <x v="0"/>
    <x v="1"/>
    <x v="0"/>
    <x v="2"/>
    <x v="2"/>
  </r>
  <r>
    <s v="Singapore"/>
    <x v="0"/>
    <s v="SG4"/>
    <m/>
    <x v="1"/>
    <x v="3"/>
    <x v="0"/>
    <x v="2"/>
    <x v="0"/>
    <x v="0"/>
    <x v="0"/>
    <m/>
    <x v="0"/>
    <x v="0"/>
    <n v="-1.1450565000000001"/>
    <m/>
    <x v="1"/>
    <x v="1"/>
    <x v="0"/>
    <x v="0"/>
    <x v="0"/>
  </r>
  <r>
    <s v="Singapore"/>
    <x v="3"/>
    <s v="SG1"/>
    <m/>
    <x v="3"/>
    <x v="0"/>
    <x v="0"/>
    <x v="5"/>
    <x v="0"/>
    <x v="0"/>
    <x v="0"/>
    <m/>
    <x v="0"/>
    <x v="0"/>
    <n v="-0.29600100000000001"/>
    <m/>
    <x v="0"/>
    <x v="1"/>
    <x v="0"/>
    <x v="4"/>
    <x v="0"/>
  </r>
  <r>
    <s v="Singapore"/>
    <x v="2"/>
    <s v="SG3"/>
    <m/>
    <x v="5"/>
    <x v="4"/>
    <x v="3"/>
    <x v="5"/>
    <x v="0"/>
    <x v="0"/>
    <x v="0"/>
    <m/>
    <x v="0"/>
    <x v="0"/>
    <n v="-0.18928485"/>
    <m/>
    <x v="2"/>
    <x v="1"/>
    <x v="0"/>
    <x v="1"/>
    <x v="0"/>
  </r>
  <r>
    <s v="Singapore"/>
    <x v="4"/>
    <s v="SG3"/>
    <m/>
    <x v="0"/>
    <x v="1"/>
    <x v="4"/>
    <x v="0"/>
    <x v="0"/>
    <x v="0"/>
    <x v="0"/>
    <m/>
    <x v="0"/>
    <x v="0"/>
    <n v="-6.3817036650000007"/>
    <m/>
    <x v="4"/>
    <x v="3"/>
    <x v="0"/>
    <x v="5"/>
    <x v="1"/>
  </r>
  <r>
    <s v="Singapore"/>
    <x v="3"/>
    <s v="SG3"/>
    <m/>
    <x v="3"/>
    <x v="2"/>
    <x v="4"/>
    <x v="3"/>
    <x v="0"/>
    <x v="0"/>
    <x v="0"/>
    <m/>
    <x v="0"/>
    <x v="0"/>
    <n v="-7.7895000000000006E-2"/>
    <m/>
    <x v="0"/>
    <x v="2"/>
    <x v="0"/>
    <x v="0"/>
    <x v="1"/>
  </r>
  <r>
    <s v="Singapore"/>
    <x v="4"/>
    <s v="SG3"/>
    <m/>
    <x v="0"/>
    <x v="4"/>
    <x v="2"/>
    <x v="2"/>
    <x v="0"/>
    <x v="0"/>
    <x v="0"/>
    <m/>
    <x v="0"/>
    <x v="0"/>
    <n v="-0.14800050000000001"/>
    <m/>
    <x v="4"/>
    <x v="2"/>
    <x v="0"/>
    <x v="4"/>
    <x v="0"/>
  </r>
  <r>
    <s v="Singapore"/>
    <x v="3"/>
    <s v="SG2"/>
    <m/>
    <x v="3"/>
    <x v="0"/>
    <x v="4"/>
    <x v="1"/>
    <x v="0"/>
    <x v="0"/>
    <x v="0"/>
    <m/>
    <x v="0"/>
    <x v="0"/>
    <n v="-0.77895000000000003"/>
    <m/>
    <x v="4"/>
    <x v="2"/>
    <x v="0"/>
    <x v="5"/>
    <x v="2"/>
  </r>
  <r>
    <s v="Singapore"/>
    <x v="0"/>
    <s v="SG2"/>
    <m/>
    <x v="2"/>
    <x v="4"/>
    <x v="0"/>
    <x v="0"/>
    <x v="0"/>
    <x v="0"/>
    <x v="0"/>
    <m/>
    <x v="0"/>
    <x v="0"/>
    <n v="5.6084399999999999"/>
    <m/>
    <x v="7"/>
    <x v="1"/>
    <x v="0"/>
    <x v="4"/>
    <x v="0"/>
  </r>
  <r>
    <s v="Singapore"/>
    <x v="4"/>
    <s v="SG4"/>
    <m/>
    <x v="1"/>
    <x v="2"/>
    <x v="1"/>
    <x v="3"/>
    <x v="0"/>
    <x v="0"/>
    <x v="0"/>
    <m/>
    <x v="0"/>
    <x v="0"/>
    <n v="-0.280422"/>
    <m/>
    <x v="0"/>
    <x v="0"/>
    <x v="0"/>
    <x v="0"/>
    <x v="1"/>
  </r>
  <r>
    <s v="Singapore"/>
    <x v="4"/>
    <s v="SG2"/>
    <m/>
    <x v="1"/>
    <x v="2"/>
    <x v="1"/>
    <x v="0"/>
    <x v="0"/>
    <x v="0"/>
    <x v="0"/>
    <m/>
    <x v="0"/>
    <x v="0"/>
    <n v="1.2992886000000001"/>
    <m/>
    <x v="3"/>
    <x v="3"/>
    <x v="0"/>
    <x v="5"/>
    <x v="1"/>
  </r>
  <r>
    <s v="Singapore"/>
    <x v="4"/>
    <s v="SG4"/>
    <m/>
    <x v="4"/>
    <x v="1"/>
    <x v="3"/>
    <x v="2"/>
    <x v="0"/>
    <x v="0"/>
    <x v="0"/>
    <m/>
    <x v="0"/>
    <x v="0"/>
    <n v="-0.15579000000000001"/>
    <m/>
    <x v="0"/>
    <x v="3"/>
    <x v="0"/>
    <x v="4"/>
    <x v="0"/>
  </r>
  <r>
    <s v="Singapore"/>
    <x v="3"/>
    <s v="SG1"/>
    <m/>
    <x v="4"/>
    <x v="2"/>
    <x v="3"/>
    <x v="0"/>
    <x v="0"/>
    <x v="0"/>
    <x v="0"/>
    <m/>
    <x v="0"/>
    <x v="0"/>
    <n v="-0.233685"/>
    <m/>
    <x v="0"/>
    <x v="2"/>
    <x v="0"/>
    <x v="5"/>
    <x v="2"/>
  </r>
  <r>
    <s v="Singapore"/>
    <x v="2"/>
    <s v="SG2"/>
    <m/>
    <x v="2"/>
    <x v="4"/>
    <x v="1"/>
    <x v="5"/>
    <x v="0"/>
    <x v="0"/>
    <x v="0"/>
    <m/>
    <x v="0"/>
    <x v="0"/>
    <n v="-0.97368750000000004"/>
    <m/>
    <x v="3"/>
    <x v="0"/>
    <x v="0"/>
    <x v="2"/>
    <x v="0"/>
  </r>
  <r>
    <s v="Singapore"/>
    <x v="0"/>
    <s v="SG1"/>
    <m/>
    <x v="2"/>
    <x v="2"/>
    <x v="2"/>
    <x v="5"/>
    <x v="0"/>
    <x v="0"/>
    <x v="0"/>
    <m/>
    <x v="0"/>
    <x v="0"/>
    <n v="-3.1158000000000002E-2"/>
    <m/>
    <x v="0"/>
    <x v="3"/>
    <x v="0"/>
    <x v="0"/>
    <x v="1"/>
  </r>
  <r>
    <s v="Singapore"/>
    <x v="1"/>
    <s v="SG2"/>
    <m/>
    <x v="4"/>
    <x v="1"/>
    <x v="2"/>
    <x v="3"/>
    <x v="0"/>
    <x v="0"/>
    <x v="0"/>
    <m/>
    <x v="0"/>
    <x v="0"/>
    <n v="-1.2432042000000001"/>
    <m/>
    <x v="3"/>
    <x v="2"/>
    <x v="0"/>
    <x v="3"/>
    <x v="0"/>
  </r>
  <r>
    <s v="Singapore"/>
    <x v="1"/>
    <s v="SG4"/>
    <m/>
    <x v="3"/>
    <x v="4"/>
    <x v="1"/>
    <x v="1"/>
    <x v="0"/>
    <x v="0"/>
    <x v="0"/>
    <m/>
    <x v="0"/>
    <x v="0"/>
    <n v="-4.6737000000000001E-2"/>
    <m/>
    <x v="0"/>
    <x v="3"/>
    <x v="0"/>
    <x v="3"/>
    <x v="2"/>
  </r>
  <r>
    <s v="Singapore"/>
    <x v="4"/>
    <s v="SG4"/>
    <m/>
    <x v="5"/>
    <x v="0"/>
    <x v="4"/>
    <x v="0"/>
    <x v="0"/>
    <x v="0"/>
    <x v="0"/>
    <m/>
    <x v="0"/>
    <x v="0"/>
    <n v="-7.0105500000000001E-2"/>
    <m/>
    <x v="4"/>
    <x v="1"/>
    <x v="0"/>
    <x v="4"/>
    <x v="2"/>
  </r>
  <r>
    <s v="Singapore"/>
    <x v="3"/>
    <s v="SG1"/>
    <m/>
    <x v="5"/>
    <x v="4"/>
    <x v="3"/>
    <x v="1"/>
    <x v="0"/>
    <x v="0"/>
    <x v="0"/>
    <m/>
    <x v="0"/>
    <x v="0"/>
    <n v="-3.6595538370000007"/>
    <m/>
    <x v="0"/>
    <x v="2"/>
    <x v="0"/>
    <x v="4"/>
    <x v="0"/>
  </r>
  <r>
    <s v="Singapore"/>
    <x v="3"/>
    <s v="SG1"/>
    <m/>
    <x v="4"/>
    <x v="1"/>
    <x v="3"/>
    <x v="5"/>
    <x v="0"/>
    <x v="0"/>
    <x v="0"/>
    <m/>
    <x v="0"/>
    <x v="0"/>
    <n v="-0.60758100000000004"/>
    <m/>
    <x v="1"/>
    <x v="0"/>
    <x v="0"/>
    <x v="5"/>
    <x v="2"/>
  </r>
  <r>
    <s v="Singapore"/>
    <x v="2"/>
    <s v="SG4"/>
    <m/>
    <x v="2"/>
    <x v="0"/>
    <x v="4"/>
    <x v="3"/>
    <x v="0"/>
    <x v="0"/>
    <x v="0"/>
    <m/>
    <x v="0"/>
    <x v="0"/>
    <n v="0.77895000000000003"/>
    <m/>
    <x v="8"/>
    <x v="0"/>
    <x v="0"/>
    <x v="5"/>
    <x v="1"/>
  </r>
  <r>
    <s v="Singapore"/>
    <x v="4"/>
    <s v="SG1"/>
    <m/>
    <x v="0"/>
    <x v="1"/>
    <x v="2"/>
    <x v="3"/>
    <x v="0"/>
    <x v="0"/>
    <x v="0"/>
    <m/>
    <x v="0"/>
    <x v="0"/>
    <n v="-0.32715900000000003"/>
    <m/>
    <x v="0"/>
    <x v="2"/>
    <x v="0"/>
    <x v="1"/>
    <x v="2"/>
  </r>
  <r>
    <s v="Singapore"/>
    <x v="3"/>
    <s v="SG4"/>
    <m/>
    <x v="1"/>
    <x v="4"/>
    <x v="3"/>
    <x v="0"/>
    <x v="0"/>
    <x v="0"/>
    <x v="0"/>
    <m/>
    <x v="0"/>
    <x v="0"/>
    <n v="-0.42063300000000003"/>
    <m/>
    <x v="4"/>
    <x v="3"/>
    <x v="0"/>
    <x v="5"/>
    <x v="0"/>
  </r>
  <r>
    <s v="Singapore"/>
    <x v="1"/>
    <s v="SG4"/>
    <m/>
    <x v="1"/>
    <x v="1"/>
    <x v="0"/>
    <x v="0"/>
    <x v="0"/>
    <x v="0"/>
    <x v="0"/>
    <m/>
    <x v="0"/>
    <x v="0"/>
    <n v="-0.84126600000000007"/>
    <m/>
    <x v="0"/>
    <x v="2"/>
    <x v="0"/>
    <x v="3"/>
    <x v="0"/>
  </r>
  <r>
    <s v="Singapore"/>
    <x v="3"/>
    <s v="SG3"/>
    <m/>
    <x v="0"/>
    <x v="0"/>
    <x v="0"/>
    <x v="4"/>
    <x v="0"/>
    <x v="0"/>
    <x v="0"/>
    <m/>
    <x v="0"/>
    <x v="0"/>
    <n v="-3.7389600000000002E-2"/>
    <m/>
    <x v="0"/>
    <x v="2"/>
    <x v="0"/>
    <x v="3"/>
    <x v="1"/>
  </r>
  <r>
    <s v="Singapore"/>
    <x v="0"/>
    <s v="SG1"/>
    <m/>
    <x v="5"/>
    <x v="3"/>
    <x v="2"/>
    <x v="3"/>
    <x v="0"/>
    <x v="0"/>
    <x v="0"/>
    <m/>
    <x v="0"/>
    <x v="0"/>
    <n v="-0.186948"/>
    <m/>
    <x v="0"/>
    <x v="1"/>
    <x v="0"/>
    <x v="0"/>
    <x v="1"/>
  </r>
  <r>
    <s v="Singapore"/>
    <x v="4"/>
    <s v="SG4"/>
    <m/>
    <x v="3"/>
    <x v="1"/>
    <x v="4"/>
    <x v="1"/>
    <x v="0"/>
    <x v="0"/>
    <x v="0"/>
    <m/>
    <x v="0"/>
    <x v="0"/>
    <n v="1.9182266910000001"/>
    <m/>
    <x v="1"/>
    <x v="0"/>
    <x v="0"/>
    <x v="2"/>
    <x v="1"/>
  </r>
  <r>
    <s v="Singapore"/>
    <x v="0"/>
    <s v="SG1"/>
    <m/>
    <x v="1"/>
    <x v="0"/>
    <x v="2"/>
    <x v="5"/>
    <x v="0"/>
    <x v="0"/>
    <x v="0"/>
    <m/>
    <x v="0"/>
    <x v="0"/>
    <n v="-3.8947500000000003E-2"/>
    <m/>
    <x v="0"/>
    <x v="3"/>
    <x v="0"/>
    <x v="0"/>
    <x v="1"/>
  </r>
  <r>
    <s v="Singapore"/>
    <x v="5"/>
    <s v="SG4"/>
    <m/>
    <x v="1"/>
    <x v="2"/>
    <x v="0"/>
    <x v="0"/>
    <x v="0"/>
    <x v="0"/>
    <x v="0"/>
    <m/>
    <x v="0"/>
    <x v="0"/>
    <n v="-1.5579000000000001E-2"/>
    <m/>
    <x v="0"/>
    <x v="0"/>
    <x v="0"/>
    <x v="5"/>
    <x v="0"/>
  </r>
  <r>
    <s v="Singapore"/>
    <x v="1"/>
    <s v="SG2"/>
    <m/>
    <x v="5"/>
    <x v="4"/>
    <x v="2"/>
    <x v="0"/>
    <x v="0"/>
    <x v="0"/>
    <x v="0"/>
    <m/>
    <x v="0"/>
    <x v="0"/>
    <n v="-0.15579000000000001"/>
    <m/>
    <x v="4"/>
    <x v="1"/>
    <x v="0"/>
    <x v="5"/>
    <x v="1"/>
  </r>
  <r>
    <s v="Singapore"/>
    <x v="4"/>
    <s v="SG4"/>
    <m/>
    <x v="3"/>
    <x v="4"/>
    <x v="3"/>
    <x v="5"/>
    <x v="0"/>
    <x v="0"/>
    <x v="0"/>
    <m/>
    <x v="0"/>
    <x v="0"/>
    <n v="-1.5579000000000001E-2"/>
    <m/>
    <x v="0"/>
    <x v="2"/>
    <x v="0"/>
    <x v="3"/>
    <x v="1"/>
  </r>
  <r>
    <s v="Singapore"/>
    <x v="1"/>
    <s v="SG2"/>
    <m/>
    <x v="5"/>
    <x v="1"/>
    <x v="3"/>
    <x v="3"/>
    <x v="0"/>
    <x v="0"/>
    <x v="0"/>
    <m/>
    <x v="0"/>
    <x v="0"/>
    <n v="-0.37389600000000001"/>
    <m/>
    <x v="0"/>
    <x v="0"/>
    <x v="0"/>
    <x v="1"/>
    <x v="0"/>
  </r>
  <r>
    <s v="Singapore"/>
    <x v="2"/>
    <s v="SG2"/>
    <m/>
    <x v="1"/>
    <x v="1"/>
    <x v="3"/>
    <x v="4"/>
    <x v="0"/>
    <x v="0"/>
    <x v="0"/>
    <m/>
    <x v="0"/>
    <x v="0"/>
    <n v="-1.5579000000000001E-2"/>
    <m/>
    <x v="0"/>
    <x v="0"/>
    <x v="0"/>
    <x v="5"/>
    <x v="0"/>
  </r>
  <r>
    <s v="Singapore"/>
    <x v="0"/>
    <s v="SG4"/>
    <m/>
    <x v="5"/>
    <x v="2"/>
    <x v="0"/>
    <x v="3"/>
    <x v="0"/>
    <x v="0"/>
    <x v="0"/>
    <m/>
    <x v="0"/>
    <x v="0"/>
    <n v="-5.0631750000000003E-2"/>
    <m/>
    <x v="6"/>
    <x v="3"/>
    <x v="0"/>
    <x v="5"/>
    <x v="1"/>
  </r>
  <r>
    <s v="Singapore"/>
    <x v="3"/>
    <s v="SG2"/>
    <m/>
    <x v="1"/>
    <x v="2"/>
    <x v="2"/>
    <x v="1"/>
    <x v="0"/>
    <x v="0"/>
    <x v="0"/>
    <m/>
    <x v="0"/>
    <x v="0"/>
    <n v="-1.5579000000000001E-2"/>
    <m/>
    <x v="4"/>
    <x v="1"/>
    <x v="0"/>
    <x v="2"/>
    <x v="0"/>
  </r>
  <r>
    <s v="Singapore"/>
    <x v="1"/>
    <s v="SG1"/>
    <m/>
    <x v="5"/>
    <x v="3"/>
    <x v="0"/>
    <x v="1"/>
    <x v="0"/>
    <x v="0"/>
    <x v="0"/>
    <m/>
    <x v="0"/>
    <x v="0"/>
    <n v="13.646549682"/>
    <m/>
    <x v="9"/>
    <x v="0"/>
    <x v="0"/>
    <x v="2"/>
    <x v="2"/>
  </r>
  <r>
    <s v="Singapore"/>
    <x v="2"/>
    <s v="SG2"/>
    <m/>
    <x v="1"/>
    <x v="1"/>
    <x v="0"/>
    <x v="4"/>
    <x v="0"/>
    <x v="0"/>
    <x v="0"/>
    <m/>
    <x v="0"/>
    <x v="0"/>
    <n v="-1.059372"/>
    <m/>
    <x v="1"/>
    <x v="2"/>
    <x v="0"/>
    <x v="0"/>
    <x v="1"/>
  </r>
  <r>
    <s v="Singapore"/>
    <x v="3"/>
    <s v="SG4"/>
    <m/>
    <x v="4"/>
    <x v="2"/>
    <x v="3"/>
    <x v="1"/>
    <x v="0"/>
    <x v="0"/>
    <x v="0"/>
    <m/>
    <x v="0"/>
    <x v="0"/>
    <n v="-7.7895000000000004E-3"/>
    <m/>
    <x v="0"/>
    <x v="1"/>
    <x v="0"/>
    <x v="0"/>
    <x v="0"/>
  </r>
  <r>
    <s v="Singapore"/>
    <x v="2"/>
    <s v="SG2"/>
    <m/>
    <x v="4"/>
    <x v="2"/>
    <x v="2"/>
    <x v="2"/>
    <x v="0"/>
    <x v="0"/>
    <x v="0"/>
    <m/>
    <x v="0"/>
    <x v="0"/>
    <n v="-0.280422"/>
    <m/>
    <x v="0"/>
    <x v="1"/>
    <x v="0"/>
    <x v="2"/>
    <x v="0"/>
  </r>
  <r>
    <s v="Singapore"/>
    <x v="3"/>
    <s v="SG3"/>
    <m/>
    <x v="2"/>
    <x v="1"/>
    <x v="2"/>
    <x v="0"/>
    <x v="0"/>
    <x v="0"/>
    <x v="0"/>
    <m/>
    <x v="0"/>
    <x v="0"/>
    <n v="0.77895000000000003"/>
    <m/>
    <x v="4"/>
    <x v="3"/>
    <x v="0"/>
    <x v="2"/>
    <x v="1"/>
  </r>
  <r>
    <s v="Singapore"/>
    <x v="5"/>
    <s v="SG3"/>
    <m/>
    <x v="2"/>
    <x v="0"/>
    <x v="0"/>
    <x v="3"/>
    <x v="0"/>
    <x v="0"/>
    <x v="0"/>
    <m/>
    <x v="0"/>
    <x v="0"/>
    <n v="-0.10905300000000001"/>
    <m/>
    <x v="4"/>
    <x v="1"/>
    <x v="0"/>
    <x v="3"/>
    <x v="0"/>
  </r>
  <r>
    <s v="Singapore"/>
    <x v="2"/>
    <s v="SG1"/>
    <m/>
    <x v="0"/>
    <x v="1"/>
    <x v="4"/>
    <x v="1"/>
    <x v="0"/>
    <x v="0"/>
    <x v="0"/>
    <m/>
    <x v="0"/>
    <x v="0"/>
    <n v="-0.15579000000000001"/>
    <m/>
    <x v="0"/>
    <x v="0"/>
    <x v="0"/>
    <x v="2"/>
    <x v="2"/>
  </r>
  <r>
    <s v="Singapore"/>
    <x v="5"/>
    <s v="SG2"/>
    <m/>
    <x v="1"/>
    <x v="2"/>
    <x v="0"/>
    <x v="1"/>
    <x v="0"/>
    <x v="0"/>
    <x v="0"/>
    <m/>
    <x v="0"/>
    <x v="0"/>
    <n v="0.55116944100000009"/>
    <m/>
    <x v="1"/>
    <x v="3"/>
    <x v="0"/>
    <x v="0"/>
    <x v="2"/>
  </r>
  <r>
    <s v="Singapore"/>
    <x v="3"/>
    <s v="SG2"/>
    <m/>
    <x v="4"/>
    <x v="1"/>
    <x v="2"/>
    <x v="5"/>
    <x v="0"/>
    <x v="0"/>
    <x v="0"/>
    <m/>
    <x v="0"/>
    <x v="0"/>
    <n v="-0.1838322"/>
    <m/>
    <x v="4"/>
    <x v="1"/>
    <x v="0"/>
    <x v="2"/>
    <x v="0"/>
  </r>
  <r>
    <s v="Singapore"/>
    <x v="2"/>
    <s v="SG1"/>
    <m/>
    <x v="0"/>
    <x v="2"/>
    <x v="2"/>
    <x v="4"/>
    <x v="0"/>
    <x v="0"/>
    <x v="0"/>
    <m/>
    <x v="0"/>
    <x v="0"/>
    <n v="-0.21810600000000002"/>
    <m/>
    <x v="4"/>
    <x v="2"/>
    <x v="0"/>
    <x v="1"/>
    <x v="0"/>
  </r>
  <r>
    <s v="Singapore"/>
    <x v="1"/>
    <s v="SG1"/>
    <m/>
    <x v="0"/>
    <x v="0"/>
    <x v="3"/>
    <x v="3"/>
    <x v="0"/>
    <x v="0"/>
    <x v="0"/>
    <m/>
    <x v="0"/>
    <x v="0"/>
    <n v="-7.7895000000000006E-2"/>
    <m/>
    <x v="4"/>
    <x v="0"/>
    <x v="0"/>
    <x v="2"/>
    <x v="1"/>
  </r>
  <r>
    <s v="Singapore"/>
    <x v="0"/>
    <s v="SG3"/>
    <m/>
    <x v="4"/>
    <x v="4"/>
    <x v="4"/>
    <x v="4"/>
    <x v="0"/>
    <x v="0"/>
    <x v="0"/>
    <m/>
    <x v="0"/>
    <x v="0"/>
    <n v="-0.31158000000000002"/>
    <m/>
    <x v="0"/>
    <x v="0"/>
    <x v="0"/>
    <x v="2"/>
    <x v="0"/>
  </r>
  <r>
    <s v="Singapore"/>
    <x v="2"/>
    <s v="SG2"/>
    <m/>
    <x v="2"/>
    <x v="0"/>
    <x v="4"/>
    <x v="5"/>
    <x v="0"/>
    <x v="0"/>
    <x v="0"/>
    <m/>
    <x v="0"/>
    <x v="0"/>
    <n v="-0.42063300000000003"/>
    <m/>
    <x v="4"/>
    <x v="2"/>
    <x v="0"/>
    <x v="2"/>
    <x v="2"/>
  </r>
  <r>
    <s v="Singapore"/>
    <x v="0"/>
    <s v="SG2"/>
    <m/>
    <x v="0"/>
    <x v="2"/>
    <x v="3"/>
    <x v="3"/>
    <x v="0"/>
    <x v="0"/>
    <x v="0"/>
    <m/>
    <x v="0"/>
    <x v="0"/>
    <n v="0.42063300000000003"/>
    <m/>
    <x v="4"/>
    <x v="3"/>
    <x v="0"/>
    <x v="4"/>
    <x v="2"/>
  </r>
  <r>
    <s v="Singapore"/>
    <x v="3"/>
    <s v="SG1"/>
    <m/>
    <x v="5"/>
    <x v="3"/>
    <x v="1"/>
    <x v="5"/>
    <x v="0"/>
    <x v="0"/>
    <x v="0"/>
    <m/>
    <x v="0"/>
    <x v="0"/>
    <n v="-0.41042875499999998"/>
    <m/>
    <x v="0"/>
    <x v="2"/>
    <x v="0"/>
    <x v="1"/>
    <x v="2"/>
  </r>
  <r>
    <s v="Singapore"/>
    <x v="0"/>
    <s v="SG3"/>
    <m/>
    <x v="4"/>
    <x v="1"/>
    <x v="1"/>
    <x v="3"/>
    <x v="0"/>
    <x v="0"/>
    <x v="0"/>
    <m/>
    <x v="0"/>
    <x v="0"/>
    <n v="0.15579000000000001"/>
    <m/>
    <x v="0"/>
    <x v="3"/>
    <x v="0"/>
    <x v="1"/>
    <x v="0"/>
  </r>
  <r>
    <s v="Singapore"/>
    <x v="1"/>
    <s v="SG1"/>
    <m/>
    <x v="1"/>
    <x v="2"/>
    <x v="2"/>
    <x v="0"/>
    <x v="0"/>
    <x v="0"/>
    <x v="0"/>
    <m/>
    <x v="0"/>
    <x v="0"/>
    <n v="-0.81010800000000005"/>
    <m/>
    <x v="4"/>
    <x v="3"/>
    <x v="0"/>
    <x v="2"/>
    <x v="0"/>
  </r>
  <r>
    <s v="Singapore"/>
    <x v="5"/>
    <s v="SG3"/>
    <m/>
    <x v="0"/>
    <x v="4"/>
    <x v="3"/>
    <x v="5"/>
    <x v="0"/>
    <x v="0"/>
    <x v="0"/>
    <m/>
    <x v="0"/>
    <x v="0"/>
    <n v="5.9200200000000001"/>
    <m/>
    <x v="1"/>
    <x v="0"/>
    <x v="0"/>
    <x v="2"/>
    <x v="0"/>
  </r>
  <r>
    <s v="Singapore"/>
    <x v="1"/>
    <s v="SG3"/>
    <m/>
    <x v="3"/>
    <x v="3"/>
    <x v="0"/>
    <x v="4"/>
    <x v="0"/>
    <x v="0"/>
    <x v="0"/>
    <m/>
    <x v="0"/>
    <x v="0"/>
    <n v="4.6737000000000001E-2"/>
    <m/>
    <x v="0"/>
    <x v="2"/>
    <x v="0"/>
    <x v="2"/>
    <x v="0"/>
  </r>
  <r>
    <s v="Singapore"/>
    <x v="5"/>
    <s v="SG4"/>
    <m/>
    <x v="3"/>
    <x v="2"/>
    <x v="1"/>
    <x v="0"/>
    <x v="0"/>
    <x v="0"/>
    <x v="0"/>
    <m/>
    <x v="0"/>
    <x v="0"/>
    <n v="-0.12463200000000001"/>
    <m/>
    <x v="4"/>
    <x v="0"/>
    <x v="0"/>
    <x v="1"/>
    <x v="2"/>
  </r>
  <r>
    <s v="Singapore"/>
    <x v="0"/>
    <s v="SG2"/>
    <m/>
    <x v="5"/>
    <x v="2"/>
    <x v="1"/>
    <x v="5"/>
    <x v="0"/>
    <x v="0"/>
    <x v="0"/>
    <m/>
    <x v="0"/>
    <x v="0"/>
    <n v="3.7389600000000001"/>
    <m/>
    <x v="8"/>
    <x v="1"/>
    <x v="0"/>
    <x v="3"/>
    <x v="1"/>
  </r>
  <r>
    <s v="Singapore"/>
    <x v="5"/>
    <s v="SG2"/>
    <m/>
    <x v="0"/>
    <x v="2"/>
    <x v="2"/>
    <x v="1"/>
    <x v="0"/>
    <x v="0"/>
    <x v="0"/>
    <m/>
    <x v="0"/>
    <x v="0"/>
    <n v="-0.31158000000000002"/>
    <m/>
    <x v="4"/>
    <x v="0"/>
    <x v="0"/>
    <x v="3"/>
    <x v="0"/>
  </r>
  <r>
    <s v="Singapore"/>
    <x v="2"/>
    <s v="SG4"/>
    <m/>
    <x v="4"/>
    <x v="3"/>
    <x v="3"/>
    <x v="3"/>
    <x v="0"/>
    <x v="0"/>
    <x v="0"/>
    <m/>
    <x v="0"/>
    <x v="0"/>
    <n v="3.9891431610000003"/>
    <m/>
    <x v="9"/>
    <x v="0"/>
    <x v="0"/>
    <x v="4"/>
    <x v="0"/>
  </r>
  <r>
    <s v="Singapore"/>
    <x v="3"/>
    <s v="SG3"/>
    <m/>
    <x v="1"/>
    <x v="4"/>
    <x v="0"/>
    <x v="2"/>
    <x v="0"/>
    <x v="0"/>
    <x v="0"/>
    <m/>
    <x v="0"/>
    <x v="0"/>
    <n v="-0.12463200000000001"/>
    <m/>
    <x v="0"/>
    <x v="1"/>
    <x v="0"/>
    <x v="0"/>
    <x v="1"/>
  </r>
  <r>
    <s v="Singapore"/>
    <x v="3"/>
    <s v="SG3"/>
    <m/>
    <x v="0"/>
    <x v="1"/>
    <x v="0"/>
    <x v="2"/>
    <x v="0"/>
    <x v="0"/>
    <x v="0"/>
    <m/>
    <x v="0"/>
    <x v="0"/>
    <n v="15.579000000000001"/>
    <m/>
    <x v="5"/>
    <x v="1"/>
    <x v="0"/>
    <x v="3"/>
    <x v="2"/>
  </r>
  <r>
    <s v="Singapore"/>
    <x v="5"/>
    <s v="SG3"/>
    <m/>
    <x v="5"/>
    <x v="2"/>
    <x v="3"/>
    <x v="1"/>
    <x v="0"/>
    <x v="0"/>
    <x v="0"/>
    <m/>
    <x v="0"/>
    <x v="0"/>
    <n v="0.15579000000000001"/>
    <m/>
    <x v="1"/>
    <x v="1"/>
    <x v="0"/>
    <x v="4"/>
    <x v="1"/>
  </r>
  <r>
    <s v="Singapore"/>
    <x v="3"/>
    <s v="SG2"/>
    <m/>
    <x v="0"/>
    <x v="2"/>
    <x v="2"/>
    <x v="5"/>
    <x v="0"/>
    <x v="0"/>
    <x v="0"/>
    <m/>
    <x v="0"/>
    <x v="0"/>
    <n v="8.8565836050000009"/>
    <m/>
    <x v="8"/>
    <x v="2"/>
    <x v="0"/>
    <x v="5"/>
    <x v="2"/>
  </r>
  <r>
    <s v="Singapore"/>
    <x v="5"/>
    <s v="SG2"/>
    <m/>
    <x v="1"/>
    <x v="4"/>
    <x v="2"/>
    <x v="4"/>
    <x v="0"/>
    <x v="0"/>
    <x v="0"/>
    <m/>
    <x v="0"/>
    <x v="0"/>
    <n v="-3.5831700000000004"/>
    <m/>
    <x v="1"/>
    <x v="0"/>
    <x v="0"/>
    <x v="2"/>
    <x v="2"/>
  </r>
  <r>
    <s v="Singapore"/>
    <x v="3"/>
    <s v="SG4"/>
    <m/>
    <x v="4"/>
    <x v="0"/>
    <x v="4"/>
    <x v="1"/>
    <x v="0"/>
    <x v="0"/>
    <x v="0"/>
    <m/>
    <x v="0"/>
    <x v="0"/>
    <n v="-2.2979803950000002"/>
    <m/>
    <x v="0"/>
    <x v="2"/>
    <x v="0"/>
    <x v="5"/>
    <x v="2"/>
  </r>
  <r>
    <s v="Singapore"/>
    <x v="4"/>
    <s v="SG1"/>
    <m/>
    <x v="3"/>
    <x v="2"/>
    <x v="3"/>
    <x v="1"/>
    <x v="0"/>
    <x v="0"/>
    <x v="0"/>
    <m/>
    <x v="0"/>
    <x v="0"/>
    <n v="-0.12463200000000001"/>
    <m/>
    <x v="4"/>
    <x v="1"/>
    <x v="0"/>
    <x v="5"/>
    <x v="2"/>
  </r>
  <r>
    <s v="Singapore"/>
    <x v="0"/>
    <s v="SG4"/>
    <m/>
    <x v="4"/>
    <x v="0"/>
    <x v="2"/>
    <x v="1"/>
    <x v="0"/>
    <x v="0"/>
    <x v="0"/>
    <m/>
    <x v="0"/>
    <x v="0"/>
    <n v="-1.86948"/>
    <m/>
    <x v="4"/>
    <x v="2"/>
    <x v="0"/>
    <x v="1"/>
    <x v="2"/>
  </r>
  <r>
    <s v="Singapore"/>
    <x v="5"/>
    <s v="SG4"/>
    <m/>
    <x v="4"/>
    <x v="2"/>
    <x v="0"/>
    <x v="1"/>
    <x v="0"/>
    <x v="0"/>
    <x v="0"/>
    <m/>
    <x v="0"/>
    <x v="0"/>
    <n v="11.079862695000001"/>
    <m/>
    <x v="8"/>
    <x v="2"/>
    <x v="0"/>
    <x v="4"/>
    <x v="2"/>
  </r>
  <r>
    <s v="Singapore"/>
    <x v="0"/>
    <s v="SG2"/>
    <m/>
    <x v="5"/>
    <x v="4"/>
    <x v="1"/>
    <x v="3"/>
    <x v="0"/>
    <x v="0"/>
    <x v="0"/>
    <m/>
    <x v="0"/>
    <x v="0"/>
    <n v="-0.12463200000000001"/>
    <m/>
    <x v="0"/>
    <x v="1"/>
    <x v="0"/>
    <x v="5"/>
    <x v="0"/>
  </r>
  <r>
    <s v="Singapore"/>
    <x v="2"/>
    <s v="SG1"/>
    <m/>
    <x v="3"/>
    <x v="2"/>
    <x v="4"/>
    <x v="5"/>
    <x v="0"/>
    <x v="0"/>
    <x v="0"/>
    <m/>
    <x v="0"/>
    <x v="0"/>
    <n v="0.1838322"/>
    <m/>
    <x v="4"/>
    <x v="0"/>
    <x v="0"/>
    <x v="2"/>
    <x v="2"/>
  </r>
  <r>
    <s v="Singapore"/>
    <x v="0"/>
    <s v="SG1"/>
    <m/>
    <x v="4"/>
    <x v="3"/>
    <x v="3"/>
    <x v="5"/>
    <x v="0"/>
    <x v="0"/>
    <x v="0"/>
    <m/>
    <x v="0"/>
    <x v="0"/>
    <n v="0.85684500000000008"/>
    <m/>
    <x v="8"/>
    <x v="3"/>
    <x v="0"/>
    <x v="5"/>
    <x v="0"/>
  </r>
  <r>
    <s v="Singapore"/>
    <x v="1"/>
    <s v="SG4"/>
    <m/>
    <x v="5"/>
    <x v="2"/>
    <x v="3"/>
    <x v="4"/>
    <x v="0"/>
    <x v="0"/>
    <x v="0"/>
    <m/>
    <x v="0"/>
    <x v="0"/>
    <n v="-0.24926400000000001"/>
    <m/>
    <x v="0"/>
    <x v="2"/>
    <x v="0"/>
    <x v="1"/>
    <x v="2"/>
  </r>
  <r>
    <s v="Singapore"/>
    <x v="4"/>
    <s v="SG4"/>
    <m/>
    <x v="5"/>
    <x v="1"/>
    <x v="4"/>
    <x v="4"/>
    <x v="0"/>
    <x v="0"/>
    <x v="0"/>
    <m/>
    <x v="0"/>
    <x v="0"/>
    <n v="-7.7895000000000003"/>
    <m/>
    <x v="1"/>
    <x v="0"/>
    <x v="0"/>
    <x v="2"/>
    <x v="0"/>
  </r>
  <r>
    <s v="Singapore"/>
    <x v="1"/>
    <s v="SG3"/>
    <m/>
    <x v="5"/>
    <x v="3"/>
    <x v="2"/>
    <x v="5"/>
    <x v="0"/>
    <x v="0"/>
    <x v="0"/>
    <m/>
    <x v="0"/>
    <x v="0"/>
    <n v="4.2842250000000002"/>
    <m/>
    <x v="8"/>
    <x v="1"/>
    <x v="0"/>
    <x v="3"/>
    <x v="2"/>
  </r>
  <r>
    <s v="Singapore"/>
    <x v="4"/>
    <s v="SG3"/>
    <m/>
    <x v="1"/>
    <x v="2"/>
    <x v="0"/>
    <x v="0"/>
    <x v="0"/>
    <x v="0"/>
    <x v="0"/>
    <m/>
    <x v="0"/>
    <x v="0"/>
    <n v="-1.5579000000000001E-2"/>
    <m/>
    <x v="0"/>
    <x v="0"/>
    <x v="0"/>
    <x v="1"/>
    <x v="0"/>
  </r>
  <r>
    <s v="Singapore"/>
    <x v="2"/>
    <s v="SG2"/>
    <m/>
    <x v="5"/>
    <x v="1"/>
    <x v="0"/>
    <x v="3"/>
    <x v="0"/>
    <x v="0"/>
    <x v="0"/>
    <m/>
    <x v="0"/>
    <x v="0"/>
    <n v="0.6695854200000001"/>
    <m/>
    <x v="8"/>
    <x v="2"/>
    <x v="0"/>
    <x v="2"/>
    <x v="2"/>
  </r>
  <r>
    <s v="Singapore"/>
    <x v="2"/>
    <s v="SG1"/>
    <m/>
    <x v="2"/>
    <x v="2"/>
    <x v="2"/>
    <x v="0"/>
    <x v="0"/>
    <x v="0"/>
    <x v="0"/>
    <m/>
    <x v="0"/>
    <x v="0"/>
    <n v="-1.5579000000000001E-2"/>
    <m/>
    <x v="0"/>
    <x v="2"/>
    <x v="0"/>
    <x v="5"/>
    <x v="0"/>
  </r>
  <r>
    <s v="Singapore"/>
    <x v="0"/>
    <s v="SG3"/>
    <m/>
    <x v="2"/>
    <x v="2"/>
    <x v="3"/>
    <x v="4"/>
    <x v="0"/>
    <x v="0"/>
    <x v="0"/>
    <m/>
    <x v="0"/>
    <x v="0"/>
    <n v="-0.56087515799999998"/>
    <m/>
    <x v="3"/>
    <x v="1"/>
    <x v="0"/>
    <x v="3"/>
    <x v="2"/>
  </r>
  <r>
    <s v="Singapore"/>
    <x v="4"/>
    <s v="SG3"/>
    <m/>
    <x v="1"/>
    <x v="4"/>
    <x v="0"/>
    <x v="4"/>
    <x v="0"/>
    <x v="0"/>
    <x v="0"/>
    <m/>
    <x v="0"/>
    <x v="0"/>
    <n v="-0.15579000000000001"/>
    <m/>
    <x v="0"/>
    <x v="0"/>
    <x v="0"/>
    <x v="1"/>
    <x v="0"/>
  </r>
  <r>
    <s v="Singapore"/>
    <x v="4"/>
    <s v="SG2"/>
    <m/>
    <x v="5"/>
    <x v="2"/>
    <x v="1"/>
    <x v="0"/>
    <x v="0"/>
    <x v="0"/>
    <x v="0"/>
    <m/>
    <x v="0"/>
    <x v="0"/>
    <n v="1.5423210000000001"/>
    <m/>
    <x v="1"/>
    <x v="1"/>
    <x v="0"/>
    <x v="1"/>
    <x v="2"/>
  </r>
  <r>
    <s v="Singapore"/>
    <x v="0"/>
    <s v="SG1"/>
    <m/>
    <x v="3"/>
    <x v="0"/>
    <x v="1"/>
    <x v="1"/>
    <x v="0"/>
    <x v="0"/>
    <x v="0"/>
    <m/>
    <x v="0"/>
    <x v="0"/>
    <n v="-7.7895000000000004E-3"/>
    <m/>
    <x v="0"/>
    <x v="2"/>
    <x v="0"/>
    <x v="3"/>
    <x v="2"/>
  </r>
  <r>
    <s v="Singapore"/>
    <x v="4"/>
    <s v="SG4"/>
    <m/>
    <x v="1"/>
    <x v="1"/>
    <x v="2"/>
    <x v="3"/>
    <x v="0"/>
    <x v="0"/>
    <x v="0"/>
    <m/>
    <x v="0"/>
    <x v="0"/>
    <n v="-0.31158000000000002"/>
    <m/>
    <x v="4"/>
    <x v="2"/>
    <x v="0"/>
    <x v="1"/>
    <x v="2"/>
  </r>
  <r>
    <s v="Singapore"/>
    <x v="0"/>
    <s v="SG3"/>
    <m/>
    <x v="0"/>
    <x v="3"/>
    <x v="1"/>
    <x v="2"/>
    <x v="0"/>
    <x v="0"/>
    <x v="0"/>
    <m/>
    <x v="0"/>
    <x v="0"/>
    <n v="-2.33685E-2"/>
    <m/>
    <x v="0"/>
    <x v="1"/>
    <x v="0"/>
    <x v="4"/>
    <x v="2"/>
  </r>
  <r>
    <s v="Singapore"/>
    <x v="1"/>
    <s v="SG2"/>
    <m/>
    <x v="0"/>
    <x v="4"/>
    <x v="4"/>
    <x v="1"/>
    <x v="0"/>
    <x v="0"/>
    <x v="0"/>
    <m/>
    <x v="0"/>
    <x v="0"/>
    <n v="-0.46737000000000001"/>
    <m/>
    <x v="0"/>
    <x v="0"/>
    <x v="0"/>
    <x v="3"/>
    <x v="0"/>
  </r>
  <r>
    <s v="Singapore"/>
    <x v="5"/>
    <s v="SG3"/>
    <m/>
    <x v="5"/>
    <x v="0"/>
    <x v="4"/>
    <x v="0"/>
    <x v="0"/>
    <x v="0"/>
    <x v="0"/>
    <m/>
    <x v="0"/>
    <x v="0"/>
    <n v="0.46280535300000003"/>
    <m/>
    <x v="8"/>
    <x v="1"/>
    <x v="0"/>
    <x v="0"/>
    <x v="0"/>
  </r>
  <r>
    <s v="Singapore"/>
    <x v="4"/>
    <s v="SG4"/>
    <m/>
    <x v="0"/>
    <x v="3"/>
    <x v="2"/>
    <x v="4"/>
    <x v="0"/>
    <x v="0"/>
    <x v="0"/>
    <m/>
    <x v="0"/>
    <x v="0"/>
    <n v="-0.1838322"/>
    <m/>
    <x v="4"/>
    <x v="2"/>
    <x v="0"/>
    <x v="1"/>
    <x v="0"/>
  </r>
  <r>
    <s v="Singapore"/>
    <x v="5"/>
    <s v="SG2"/>
    <m/>
    <x v="3"/>
    <x v="3"/>
    <x v="1"/>
    <x v="1"/>
    <x v="0"/>
    <x v="0"/>
    <x v="0"/>
    <m/>
    <x v="0"/>
    <x v="0"/>
    <n v="-0.31158000000000002"/>
    <m/>
    <x v="0"/>
    <x v="3"/>
    <x v="0"/>
    <x v="3"/>
    <x v="2"/>
  </r>
  <r>
    <s v="Singapore"/>
    <x v="1"/>
    <s v="SG1"/>
    <m/>
    <x v="4"/>
    <x v="4"/>
    <x v="3"/>
    <x v="0"/>
    <x v="0"/>
    <x v="0"/>
    <x v="0"/>
    <m/>
    <x v="0"/>
    <x v="0"/>
    <n v="-0.70105499999999998"/>
    <m/>
    <x v="2"/>
    <x v="1"/>
    <x v="0"/>
    <x v="4"/>
    <x v="2"/>
  </r>
  <r>
    <s v="Singapore"/>
    <x v="4"/>
    <s v="SG4"/>
    <m/>
    <x v="5"/>
    <x v="0"/>
    <x v="0"/>
    <x v="3"/>
    <x v="0"/>
    <x v="0"/>
    <x v="0"/>
    <m/>
    <x v="0"/>
    <x v="0"/>
    <n v="23.715444330000004"/>
    <m/>
    <x v="3"/>
    <x v="0"/>
    <x v="0"/>
    <x v="5"/>
    <x v="2"/>
  </r>
  <r>
    <s v="Singapore"/>
    <x v="3"/>
    <s v="SG2"/>
    <m/>
    <x v="0"/>
    <x v="4"/>
    <x v="4"/>
    <x v="1"/>
    <x v="0"/>
    <x v="0"/>
    <x v="0"/>
    <m/>
    <x v="0"/>
    <x v="0"/>
    <n v="-0.77895000000000003"/>
    <m/>
    <x v="4"/>
    <x v="3"/>
    <x v="0"/>
    <x v="4"/>
    <x v="1"/>
  </r>
  <r>
    <s v="Singapore"/>
    <x v="2"/>
    <s v="SG2"/>
    <m/>
    <x v="1"/>
    <x v="4"/>
    <x v="3"/>
    <x v="5"/>
    <x v="0"/>
    <x v="0"/>
    <x v="0"/>
    <m/>
    <x v="0"/>
    <x v="0"/>
    <n v="1.4843515410000001"/>
    <m/>
    <x v="1"/>
    <x v="3"/>
    <x v="0"/>
    <x v="3"/>
    <x v="0"/>
  </r>
  <r>
    <s v="Singapore"/>
    <x v="3"/>
    <s v="SG3"/>
    <m/>
    <x v="2"/>
    <x v="4"/>
    <x v="4"/>
    <x v="2"/>
    <x v="0"/>
    <x v="0"/>
    <x v="0"/>
    <m/>
    <x v="0"/>
    <x v="0"/>
    <n v="-0.31158000000000002"/>
    <m/>
    <x v="4"/>
    <x v="2"/>
    <x v="0"/>
    <x v="1"/>
    <x v="0"/>
  </r>
  <r>
    <s v="Singapore"/>
    <x v="1"/>
    <s v="SG3"/>
    <m/>
    <x v="4"/>
    <x v="4"/>
    <x v="2"/>
    <x v="0"/>
    <x v="0"/>
    <x v="0"/>
    <x v="0"/>
    <m/>
    <x v="0"/>
    <x v="0"/>
    <n v="-0.31158000000000002"/>
    <m/>
    <x v="4"/>
    <x v="3"/>
    <x v="0"/>
    <x v="4"/>
    <x v="0"/>
  </r>
  <r>
    <s v="Singapore"/>
    <x v="2"/>
    <s v="SG1"/>
    <m/>
    <x v="3"/>
    <x v="0"/>
    <x v="3"/>
    <x v="1"/>
    <x v="0"/>
    <x v="0"/>
    <x v="0"/>
    <m/>
    <x v="0"/>
    <x v="0"/>
    <n v="0.233685"/>
    <m/>
    <x v="1"/>
    <x v="3"/>
    <x v="0"/>
    <x v="5"/>
    <x v="2"/>
  </r>
  <r>
    <s v="Singapore"/>
    <x v="5"/>
    <s v="SG3"/>
    <m/>
    <x v="1"/>
    <x v="4"/>
    <x v="3"/>
    <x v="4"/>
    <x v="0"/>
    <x v="0"/>
    <x v="0"/>
    <m/>
    <x v="0"/>
    <x v="0"/>
    <n v="-7.0105500000000003"/>
    <m/>
    <x v="4"/>
    <x v="3"/>
    <x v="0"/>
    <x v="0"/>
    <x v="1"/>
  </r>
  <r>
    <s v="Singapore"/>
    <x v="0"/>
    <s v="SG2"/>
    <m/>
    <x v="0"/>
    <x v="0"/>
    <x v="1"/>
    <x v="0"/>
    <x v="0"/>
    <x v="0"/>
    <x v="0"/>
    <m/>
    <x v="0"/>
    <x v="0"/>
    <n v="-0.14955840000000001"/>
    <m/>
    <x v="3"/>
    <x v="0"/>
    <x v="0"/>
    <x v="1"/>
    <x v="2"/>
  </r>
  <r>
    <s v="Singapore"/>
    <x v="4"/>
    <s v="SG1"/>
    <m/>
    <x v="0"/>
    <x v="3"/>
    <x v="4"/>
    <x v="4"/>
    <x v="0"/>
    <x v="0"/>
    <x v="0"/>
    <m/>
    <x v="0"/>
    <x v="0"/>
    <n v="-0.12463200000000001"/>
    <m/>
    <x v="0"/>
    <x v="1"/>
    <x v="0"/>
    <x v="3"/>
    <x v="2"/>
  </r>
  <r>
    <s v="Singapore"/>
    <x v="1"/>
    <s v="SG4"/>
    <m/>
    <x v="1"/>
    <x v="2"/>
    <x v="0"/>
    <x v="2"/>
    <x v="0"/>
    <x v="0"/>
    <x v="0"/>
    <m/>
    <x v="0"/>
    <x v="0"/>
    <n v="-1.09053"/>
    <m/>
    <x v="4"/>
    <x v="1"/>
    <x v="0"/>
    <x v="0"/>
    <x v="1"/>
  </r>
  <r>
    <s v="Singapore"/>
    <x v="2"/>
    <s v="SG1"/>
    <m/>
    <x v="4"/>
    <x v="3"/>
    <x v="1"/>
    <x v="0"/>
    <x v="0"/>
    <x v="0"/>
    <x v="0"/>
    <m/>
    <x v="0"/>
    <x v="0"/>
    <n v="-0.24926400000000001"/>
    <m/>
    <x v="0"/>
    <x v="0"/>
    <x v="0"/>
    <x v="3"/>
    <x v="1"/>
  </r>
  <r>
    <s v="Singapore"/>
    <x v="4"/>
    <s v="SG4"/>
    <m/>
    <x v="1"/>
    <x v="3"/>
    <x v="4"/>
    <x v="0"/>
    <x v="0"/>
    <x v="0"/>
    <x v="0"/>
    <m/>
    <x v="0"/>
    <x v="0"/>
    <n v="-0.31158000000000002"/>
    <m/>
    <x v="4"/>
    <x v="0"/>
    <x v="0"/>
    <x v="1"/>
    <x v="0"/>
  </r>
  <r>
    <s v="Singapore"/>
    <x v="5"/>
    <s v="SG3"/>
    <m/>
    <x v="2"/>
    <x v="0"/>
    <x v="4"/>
    <x v="1"/>
    <x v="0"/>
    <x v="0"/>
    <x v="0"/>
    <m/>
    <x v="0"/>
    <x v="0"/>
    <n v="-0.38947500000000002"/>
    <m/>
    <x v="0"/>
    <x v="3"/>
    <x v="0"/>
    <x v="0"/>
    <x v="0"/>
  </r>
  <r>
    <s v="Singapore"/>
    <x v="4"/>
    <s v="SG2"/>
    <m/>
    <x v="2"/>
    <x v="2"/>
    <x v="1"/>
    <x v="2"/>
    <x v="0"/>
    <x v="0"/>
    <x v="0"/>
    <m/>
    <x v="0"/>
    <x v="0"/>
    <n v="59.676138450000003"/>
    <m/>
    <x v="4"/>
    <x v="2"/>
    <x v="0"/>
    <x v="0"/>
    <x v="2"/>
  </r>
  <r>
    <s v="Singapore"/>
    <x v="2"/>
    <s v="SG4"/>
    <m/>
    <x v="2"/>
    <x v="1"/>
    <x v="3"/>
    <x v="2"/>
    <x v="0"/>
    <x v="0"/>
    <x v="0"/>
    <m/>
    <x v="0"/>
    <x v="0"/>
    <n v="-0.15579000000000001"/>
    <m/>
    <x v="1"/>
    <x v="0"/>
    <x v="0"/>
    <x v="4"/>
    <x v="2"/>
  </r>
  <r>
    <s v="Singapore"/>
    <x v="5"/>
    <s v="SG2"/>
    <m/>
    <x v="2"/>
    <x v="2"/>
    <x v="1"/>
    <x v="5"/>
    <x v="0"/>
    <x v="0"/>
    <x v="0"/>
    <m/>
    <x v="0"/>
    <x v="0"/>
    <n v="-0.10905300000000001"/>
    <m/>
    <x v="4"/>
    <x v="0"/>
    <x v="0"/>
    <x v="1"/>
    <x v="1"/>
  </r>
  <r>
    <s v="Singapore"/>
    <x v="5"/>
    <s v="SG3"/>
    <m/>
    <x v="0"/>
    <x v="3"/>
    <x v="0"/>
    <x v="2"/>
    <x v="0"/>
    <x v="0"/>
    <x v="0"/>
    <m/>
    <x v="0"/>
    <x v="0"/>
    <n v="1.6591635"/>
    <m/>
    <x v="1"/>
    <x v="1"/>
    <x v="0"/>
    <x v="5"/>
    <x v="2"/>
  </r>
  <r>
    <s v="Singapore"/>
    <x v="3"/>
    <s v="SG3"/>
    <m/>
    <x v="3"/>
    <x v="4"/>
    <x v="0"/>
    <x v="1"/>
    <x v="0"/>
    <x v="0"/>
    <x v="0"/>
    <m/>
    <x v="0"/>
    <x v="0"/>
    <n v="-37.054651499999999"/>
    <m/>
    <x v="1"/>
    <x v="2"/>
    <x v="0"/>
    <x v="5"/>
    <x v="1"/>
  </r>
  <r>
    <s v="Singapore"/>
    <x v="2"/>
    <s v="SG3"/>
    <m/>
    <x v="3"/>
    <x v="3"/>
    <x v="2"/>
    <x v="0"/>
    <x v="0"/>
    <x v="0"/>
    <x v="0"/>
    <m/>
    <x v="0"/>
    <x v="0"/>
    <n v="-0.81010800000000005"/>
    <m/>
    <x v="4"/>
    <x v="2"/>
    <x v="0"/>
    <x v="1"/>
    <x v="2"/>
  </r>
  <r>
    <s v="Singapore"/>
    <x v="0"/>
    <s v="SG1"/>
    <m/>
    <x v="4"/>
    <x v="4"/>
    <x v="0"/>
    <x v="3"/>
    <x v="0"/>
    <x v="0"/>
    <x v="0"/>
    <m/>
    <x v="0"/>
    <x v="0"/>
    <n v="-9.3474000000000005E-3"/>
    <m/>
    <x v="3"/>
    <x v="3"/>
    <x v="0"/>
    <x v="3"/>
    <x v="2"/>
  </r>
  <r>
    <s v="Singapore"/>
    <x v="2"/>
    <s v="SG2"/>
    <m/>
    <x v="3"/>
    <x v="4"/>
    <x v="1"/>
    <x v="5"/>
    <x v="0"/>
    <x v="0"/>
    <x v="0"/>
    <m/>
    <x v="0"/>
    <x v="0"/>
    <n v="-3.9555081000000003"/>
    <m/>
    <x v="4"/>
    <x v="1"/>
    <x v="0"/>
    <x v="5"/>
    <x v="1"/>
  </r>
  <r>
    <s v="Singapore"/>
    <x v="4"/>
    <s v="SG1"/>
    <m/>
    <x v="3"/>
    <x v="1"/>
    <x v="0"/>
    <x v="0"/>
    <x v="0"/>
    <x v="0"/>
    <x v="0"/>
    <m/>
    <x v="0"/>
    <x v="0"/>
    <n v="-0.24926400000000001"/>
    <m/>
    <x v="0"/>
    <x v="3"/>
    <x v="0"/>
    <x v="4"/>
    <x v="2"/>
  </r>
  <r>
    <s v="Singapore"/>
    <x v="1"/>
    <s v="SG2"/>
    <m/>
    <x v="5"/>
    <x v="2"/>
    <x v="4"/>
    <x v="2"/>
    <x v="0"/>
    <x v="0"/>
    <x v="0"/>
    <m/>
    <x v="0"/>
    <x v="0"/>
    <n v="-0.15579000000000001"/>
    <m/>
    <x v="0"/>
    <x v="2"/>
    <x v="0"/>
    <x v="3"/>
    <x v="0"/>
  </r>
  <r>
    <s v="Singapore"/>
    <x v="5"/>
    <s v="SG1"/>
    <m/>
    <x v="1"/>
    <x v="2"/>
    <x v="3"/>
    <x v="2"/>
    <x v="0"/>
    <x v="0"/>
    <x v="0"/>
    <m/>
    <x v="0"/>
    <x v="0"/>
    <n v="-0.24926400000000001"/>
    <m/>
    <x v="0"/>
    <x v="0"/>
    <x v="0"/>
    <x v="0"/>
    <x v="2"/>
  </r>
  <r>
    <s v="Singapore"/>
    <x v="2"/>
    <s v="SG1"/>
    <m/>
    <x v="4"/>
    <x v="0"/>
    <x v="1"/>
    <x v="2"/>
    <x v="0"/>
    <x v="0"/>
    <x v="0"/>
    <m/>
    <x v="0"/>
    <x v="0"/>
    <n v="-4.6737000000000002"/>
    <m/>
    <x v="4"/>
    <x v="3"/>
    <x v="0"/>
    <x v="3"/>
    <x v="1"/>
  </r>
  <r>
    <s v="Singapore"/>
    <x v="1"/>
    <s v="SG4"/>
    <m/>
    <x v="3"/>
    <x v="2"/>
    <x v="1"/>
    <x v="2"/>
    <x v="0"/>
    <x v="0"/>
    <x v="0"/>
    <m/>
    <x v="0"/>
    <x v="0"/>
    <n v="-1.6357950000000001"/>
    <m/>
    <x v="4"/>
    <x v="2"/>
    <x v="0"/>
    <x v="2"/>
    <x v="2"/>
  </r>
  <r>
    <s v="Singapore"/>
    <x v="0"/>
    <s v="SG1"/>
    <m/>
    <x v="4"/>
    <x v="1"/>
    <x v="3"/>
    <x v="5"/>
    <x v="0"/>
    <x v="0"/>
    <x v="0"/>
    <m/>
    <x v="0"/>
    <x v="0"/>
    <n v="7.0105500000000001E-2"/>
    <m/>
    <x v="1"/>
    <x v="2"/>
    <x v="0"/>
    <x v="4"/>
    <x v="2"/>
  </r>
  <r>
    <s v="Singapore"/>
    <x v="1"/>
    <s v="SG3"/>
    <m/>
    <x v="2"/>
    <x v="4"/>
    <x v="0"/>
    <x v="0"/>
    <x v="0"/>
    <x v="0"/>
    <x v="0"/>
    <m/>
    <x v="0"/>
    <x v="0"/>
    <n v="0.1168425"/>
    <m/>
    <x v="1"/>
    <x v="3"/>
    <x v="0"/>
    <x v="5"/>
    <x v="2"/>
  </r>
  <r>
    <s v="Singapore"/>
    <x v="2"/>
    <s v="SG2"/>
    <m/>
    <x v="5"/>
    <x v="0"/>
    <x v="0"/>
    <x v="0"/>
    <x v="0"/>
    <x v="0"/>
    <x v="0"/>
    <m/>
    <x v="0"/>
    <x v="0"/>
    <n v="-1.137267"/>
    <m/>
    <x v="4"/>
    <x v="2"/>
    <x v="0"/>
    <x v="4"/>
    <x v="1"/>
  </r>
  <r>
    <s v="Singapore"/>
    <x v="5"/>
    <s v="SG4"/>
    <m/>
    <x v="1"/>
    <x v="3"/>
    <x v="1"/>
    <x v="4"/>
    <x v="0"/>
    <x v="0"/>
    <x v="0"/>
    <m/>
    <x v="0"/>
    <x v="0"/>
    <n v="0.15579000000000001"/>
    <m/>
    <x v="1"/>
    <x v="0"/>
    <x v="0"/>
    <x v="2"/>
    <x v="0"/>
  </r>
  <r>
    <s v="Singapore"/>
    <x v="1"/>
    <s v="SG4"/>
    <m/>
    <x v="5"/>
    <x v="3"/>
    <x v="4"/>
    <x v="5"/>
    <x v="0"/>
    <x v="0"/>
    <x v="0"/>
    <m/>
    <x v="0"/>
    <x v="0"/>
    <n v="-0.233685"/>
    <m/>
    <x v="0"/>
    <x v="1"/>
    <x v="0"/>
    <x v="0"/>
    <x v="2"/>
  </r>
  <r>
    <s v="Singapore"/>
    <x v="3"/>
    <s v="SG2"/>
    <m/>
    <x v="5"/>
    <x v="3"/>
    <x v="2"/>
    <x v="4"/>
    <x v="0"/>
    <x v="0"/>
    <x v="0"/>
    <m/>
    <x v="0"/>
    <x v="0"/>
    <n v="-0.15579000000000001"/>
    <m/>
    <x v="4"/>
    <x v="2"/>
    <x v="0"/>
    <x v="4"/>
    <x v="1"/>
  </r>
  <r>
    <s v="Singapore"/>
    <x v="0"/>
    <s v="SG3"/>
    <m/>
    <x v="4"/>
    <x v="1"/>
    <x v="0"/>
    <x v="5"/>
    <x v="0"/>
    <x v="0"/>
    <x v="0"/>
    <m/>
    <x v="0"/>
    <x v="0"/>
    <n v="184.61115000000001"/>
    <m/>
    <x v="5"/>
    <x v="1"/>
    <x v="0"/>
    <x v="0"/>
    <x v="1"/>
  </r>
  <r>
    <s v="Singapore"/>
    <x v="4"/>
    <s v="SG1"/>
    <m/>
    <x v="5"/>
    <x v="2"/>
    <x v="4"/>
    <x v="3"/>
    <x v="0"/>
    <x v="0"/>
    <x v="0"/>
    <m/>
    <x v="0"/>
    <x v="0"/>
    <n v="-23.106336588000001"/>
    <m/>
    <x v="2"/>
    <x v="1"/>
    <x v="0"/>
    <x v="5"/>
    <x v="1"/>
  </r>
  <r>
    <s v="Singapore"/>
    <x v="4"/>
    <s v="SG2"/>
    <m/>
    <x v="1"/>
    <x v="2"/>
    <x v="2"/>
    <x v="5"/>
    <x v="0"/>
    <x v="0"/>
    <x v="0"/>
    <m/>
    <x v="0"/>
    <x v="0"/>
    <n v="-2.775180744"/>
    <m/>
    <x v="4"/>
    <x v="1"/>
    <x v="0"/>
    <x v="4"/>
    <x v="0"/>
  </r>
  <r>
    <s v="Singapore"/>
    <x v="5"/>
    <s v="SG4"/>
    <m/>
    <x v="3"/>
    <x v="1"/>
    <x v="2"/>
    <x v="4"/>
    <x v="0"/>
    <x v="0"/>
    <x v="0"/>
    <m/>
    <x v="0"/>
    <x v="0"/>
    <n v="5.2937441999999999"/>
    <m/>
    <x v="7"/>
    <x v="0"/>
    <x v="0"/>
    <x v="4"/>
    <x v="0"/>
  </r>
  <r>
    <s v="Singapore"/>
    <x v="4"/>
    <s v="SG4"/>
    <m/>
    <x v="5"/>
    <x v="1"/>
    <x v="1"/>
    <x v="0"/>
    <x v="0"/>
    <x v="0"/>
    <x v="0"/>
    <m/>
    <x v="0"/>
    <x v="0"/>
    <n v="23.368500000000001"/>
    <m/>
    <x v="7"/>
    <x v="1"/>
    <x v="0"/>
    <x v="2"/>
    <x v="0"/>
  </r>
  <r>
    <s v="Singapore"/>
    <x v="3"/>
    <s v="SG3"/>
    <m/>
    <x v="1"/>
    <x v="2"/>
    <x v="2"/>
    <x v="2"/>
    <x v="0"/>
    <x v="0"/>
    <x v="0"/>
    <m/>
    <x v="0"/>
    <x v="0"/>
    <n v="-1.495584"/>
    <m/>
    <x v="4"/>
    <x v="1"/>
    <x v="0"/>
    <x v="3"/>
    <x v="1"/>
  </r>
  <r>
    <s v="Singapore"/>
    <x v="4"/>
    <s v="SG1"/>
    <m/>
    <x v="5"/>
    <x v="4"/>
    <x v="3"/>
    <x v="0"/>
    <x v="0"/>
    <x v="0"/>
    <x v="0"/>
    <m/>
    <x v="0"/>
    <x v="0"/>
    <n v="2.508219"/>
    <m/>
    <x v="4"/>
    <x v="1"/>
    <x v="0"/>
    <x v="5"/>
    <x v="2"/>
  </r>
  <r>
    <s v="Singapore"/>
    <x v="3"/>
    <s v="SG2"/>
    <m/>
    <x v="1"/>
    <x v="1"/>
    <x v="0"/>
    <x v="1"/>
    <x v="0"/>
    <x v="0"/>
    <x v="0"/>
    <m/>
    <x v="0"/>
    <x v="0"/>
    <n v="-0.24926400000000001"/>
    <m/>
    <x v="0"/>
    <x v="2"/>
    <x v="0"/>
    <x v="2"/>
    <x v="1"/>
  </r>
  <r>
    <s v="Singapore"/>
    <x v="0"/>
    <s v="SG4"/>
    <m/>
    <x v="4"/>
    <x v="4"/>
    <x v="4"/>
    <x v="4"/>
    <x v="0"/>
    <x v="0"/>
    <x v="0"/>
    <m/>
    <x v="0"/>
    <x v="0"/>
    <n v="0.62316000000000005"/>
    <m/>
    <x v="1"/>
    <x v="1"/>
    <x v="0"/>
    <x v="4"/>
    <x v="2"/>
  </r>
  <r>
    <s v="Singapore"/>
    <x v="4"/>
    <s v="SG2"/>
    <m/>
    <x v="0"/>
    <x v="1"/>
    <x v="1"/>
    <x v="3"/>
    <x v="0"/>
    <x v="0"/>
    <x v="0"/>
    <m/>
    <x v="0"/>
    <x v="0"/>
    <n v="0.55118502000000003"/>
    <m/>
    <x v="1"/>
    <x v="0"/>
    <x v="0"/>
    <x v="4"/>
    <x v="1"/>
  </r>
  <r>
    <s v="Singapore"/>
    <x v="1"/>
    <s v="SG1"/>
    <m/>
    <x v="3"/>
    <x v="4"/>
    <x v="2"/>
    <x v="0"/>
    <x v="0"/>
    <x v="0"/>
    <x v="0"/>
    <m/>
    <x v="0"/>
    <x v="0"/>
    <n v="-7.7895000000000004E-4"/>
    <m/>
    <x v="6"/>
    <x v="2"/>
    <x v="0"/>
    <x v="0"/>
    <x v="1"/>
  </r>
  <r>
    <s v="Singapore"/>
    <x v="4"/>
    <s v="SG2"/>
    <m/>
    <x v="4"/>
    <x v="0"/>
    <x v="0"/>
    <x v="2"/>
    <x v="0"/>
    <x v="0"/>
    <x v="0"/>
    <m/>
    <x v="0"/>
    <x v="0"/>
    <n v="-0.12463200000000001"/>
    <m/>
    <x v="4"/>
    <x v="2"/>
    <x v="0"/>
    <x v="0"/>
    <x v="2"/>
  </r>
  <r>
    <s v="Singapore"/>
    <x v="4"/>
    <s v="SG4"/>
    <m/>
    <x v="1"/>
    <x v="4"/>
    <x v="3"/>
    <x v="0"/>
    <x v="0"/>
    <x v="0"/>
    <x v="0"/>
    <m/>
    <x v="0"/>
    <x v="0"/>
    <n v="-0.140211"/>
    <m/>
    <x v="0"/>
    <x v="1"/>
    <x v="0"/>
    <x v="4"/>
    <x v="0"/>
  </r>
  <r>
    <s v="Singapore"/>
    <x v="3"/>
    <s v="SG1"/>
    <m/>
    <x v="3"/>
    <x v="1"/>
    <x v="3"/>
    <x v="1"/>
    <x v="0"/>
    <x v="0"/>
    <x v="0"/>
    <m/>
    <x v="0"/>
    <x v="0"/>
    <n v="-0.93474000000000002"/>
    <m/>
    <x v="4"/>
    <x v="2"/>
    <x v="0"/>
    <x v="5"/>
    <x v="1"/>
  </r>
  <r>
    <s v="Singapore"/>
    <x v="4"/>
    <s v="SG3"/>
    <m/>
    <x v="1"/>
    <x v="2"/>
    <x v="3"/>
    <x v="5"/>
    <x v="0"/>
    <x v="0"/>
    <x v="0"/>
    <m/>
    <x v="0"/>
    <x v="0"/>
    <n v="-0.12463200000000001"/>
    <m/>
    <x v="0"/>
    <x v="3"/>
    <x v="0"/>
    <x v="1"/>
    <x v="1"/>
  </r>
  <r>
    <s v="Singapore"/>
    <x v="4"/>
    <s v="SG3"/>
    <m/>
    <x v="0"/>
    <x v="4"/>
    <x v="4"/>
    <x v="4"/>
    <x v="0"/>
    <x v="0"/>
    <x v="0"/>
    <m/>
    <x v="0"/>
    <x v="0"/>
    <n v="-9.3474000000000005E-3"/>
    <m/>
    <x v="8"/>
    <x v="2"/>
    <x v="0"/>
    <x v="3"/>
    <x v="0"/>
  </r>
  <r>
    <s v="Singapore"/>
    <x v="4"/>
    <s v="SG4"/>
    <m/>
    <x v="4"/>
    <x v="3"/>
    <x v="4"/>
    <x v="1"/>
    <x v="0"/>
    <x v="0"/>
    <x v="0"/>
    <m/>
    <x v="0"/>
    <x v="0"/>
    <n v="-0.81010800000000005"/>
    <m/>
    <x v="4"/>
    <x v="3"/>
    <x v="0"/>
    <x v="5"/>
    <x v="0"/>
  </r>
  <r>
    <s v="Singapore"/>
    <x v="5"/>
    <s v="SG2"/>
    <m/>
    <x v="4"/>
    <x v="0"/>
    <x v="4"/>
    <x v="5"/>
    <x v="0"/>
    <x v="0"/>
    <x v="0"/>
    <m/>
    <x v="0"/>
    <x v="0"/>
    <n v="0.81010800000000005"/>
    <m/>
    <x v="8"/>
    <x v="0"/>
    <x v="0"/>
    <x v="2"/>
    <x v="0"/>
  </r>
  <r>
    <s v="Singapore"/>
    <x v="4"/>
    <s v="SG1"/>
    <m/>
    <x v="5"/>
    <x v="2"/>
    <x v="1"/>
    <x v="3"/>
    <x v="0"/>
    <x v="0"/>
    <x v="0"/>
    <m/>
    <x v="0"/>
    <x v="0"/>
    <n v="1.1365659450000001"/>
    <m/>
    <x v="1"/>
    <x v="3"/>
    <x v="0"/>
    <x v="4"/>
    <x v="1"/>
  </r>
  <r>
    <s v="Singapore"/>
    <x v="4"/>
    <s v="SG2"/>
    <m/>
    <x v="3"/>
    <x v="4"/>
    <x v="1"/>
    <x v="2"/>
    <x v="0"/>
    <x v="0"/>
    <x v="0"/>
    <m/>
    <x v="0"/>
    <x v="0"/>
    <n v="45.189771614999998"/>
    <m/>
    <x v="5"/>
    <x v="1"/>
    <x v="0"/>
    <x v="2"/>
    <x v="1"/>
  </r>
  <r>
    <s v="Singapore"/>
    <x v="3"/>
    <s v="SG4"/>
    <m/>
    <x v="4"/>
    <x v="3"/>
    <x v="3"/>
    <x v="5"/>
    <x v="0"/>
    <x v="0"/>
    <x v="0"/>
    <m/>
    <x v="0"/>
    <x v="0"/>
    <n v="-4.6737000000000001E-2"/>
    <m/>
    <x v="0"/>
    <x v="3"/>
    <x v="0"/>
    <x v="3"/>
    <x v="2"/>
  </r>
  <r>
    <s v="Singapore"/>
    <x v="3"/>
    <s v="SG2"/>
    <m/>
    <x v="5"/>
    <x v="0"/>
    <x v="1"/>
    <x v="0"/>
    <x v="0"/>
    <x v="0"/>
    <x v="0"/>
    <m/>
    <x v="0"/>
    <x v="0"/>
    <n v="2.2901130000000003"/>
    <m/>
    <x v="1"/>
    <x v="1"/>
    <x v="0"/>
    <x v="5"/>
    <x v="2"/>
  </r>
  <r>
    <s v="Singapore"/>
    <x v="2"/>
    <s v="SG2"/>
    <m/>
    <x v="1"/>
    <x v="3"/>
    <x v="0"/>
    <x v="1"/>
    <x v="0"/>
    <x v="0"/>
    <x v="0"/>
    <m/>
    <x v="0"/>
    <x v="0"/>
    <n v="49.888475910000004"/>
    <m/>
    <x v="10"/>
    <x v="3"/>
    <x v="0"/>
    <x v="4"/>
    <x v="0"/>
  </r>
  <r>
    <s v="Singapore"/>
    <x v="0"/>
    <s v="SG1"/>
    <m/>
    <x v="3"/>
    <x v="3"/>
    <x v="2"/>
    <x v="0"/>
    <x v="0"/>
    <x v="0"/>
    <x v="0"/>
    <m/>
    <x v="0"/>
    <x v="0"/>
    <n v="-4.6737000000000001E-2"/>
    <m/>
    <x v="0"/>
    <x v="1"/>
    <x v="0"/>
    <x v="1"/>
    <x v="2"/>
  </r>
  <r>
    <s v="Singapore"/>
    <x v="2"/>
    <s v="SG1"/>
    <m/>
    <x v="0"/>
    <x v="1"/>
    <x v="2"/>
    <x v="5"/>
    <x v="0"/>
    <x v="0"/>
    <x v="0"/>
    <m/>
    <x v="0"/>
    <x v="0"/>
    <n v="-5.4799132500000001"/>
    <m/>
    <x v="1"/>
    <x v="1"/>
    <x v="0"/>
    <x v="4"/>
    <x v="2"/>
  </r>
  <r>
    <s v="Singapore"/>
    <x v="3"/>
    <s v="SG3"/>
    <m/>
    <x v="2"/>
    <x v="2"/>
    <x v="0"/>
    <x v="5"/>
    <x v="0"/>
    <x v="0"/>
    <x v="0"/>
    <m/>
    <x v="0"/>
    <x v="0"/>
    <n v="-7.7895000000000004E-3"/>
    <m/>
    <x v="0"/>
    <x v="2"/>
    <x v="0"/>
    <x v="0"/>
    <x v="1"/>
  </r>
  <r>
    <s v="Singapore"/>
    <x v="4"/>
    <s v="SG2"/>
    <m/>
    <x v="4"/>
    <x v="3"/>
    <x v="0"/>
    <x v="1"/>
    <x v="0"/>
    <x v="0"/>
    <x v="0"/>
    <m/>
    <x v="0"/>
    <x v="0"/>
    <n v="0.7244235"/>
    <m/>
    <x v="1"/>
    <x v="1"/>
    <x v="0"/>
    <x v="1"/>
    <x v="2"/>
  </r>
  <r>
    <s v="Singapore"/>
    <x v="4"/>
    <s v="SG4"/>
    <m/>
    <x v="5"/>
    <x v="2"/>
    <x v="2"/>
    <x v="3"/>
    <x v="0"/>
    <x v="0"/>
    <x v="0"/>
    <m/>
    <x v="0"/>
    <x v="0"/>
    <n v="-0.32715900000000003"/>
    <m/>
    <x v="0"/>
    <x v="1"/>
    <x v="0"/>
    <x v="3"/>
    <x v="0"/>
  </r>
  <r>
    <s v="Singapore"/>
    <x v="3"/>
    <s v="SG3"/>
    <m/>
    <x v="3"/>
    <x v="0"/>
    <x v="1"/>
    <x v="3"/>
    <x v="0"/>
    <x v="0"/>
    <x v="0"/>
    <m/>
    <x v="0"/>
    <x v="0"/>
    <n v="0.21810600000000002"/>
    <m/>
    <x v="4"/>
    <x v="2"/>
    <x v="0"/>
    <x v="4"/>
    <x v="2"/>
  </r>
  <r>
    <s v="Singapore"/>
    <x v="1"/>
    <s v="SG2"/>
    <m/>
    <x v="1"/>
    <x v="2"/>
    <x v="4"/>
    <x v="3"/>
    <x v="0"/>
    <x v="0"/>
    <x v="0"/>
    <m/>
    <x v="0"/>
    <x v="0"/>
    <n v="-0.17968818600000003"/>
    <m/>
    <x v="0"/>
    <x v="0"/>
    <x v="0"/>
    <x v="0"/>
    <x v="2"/>
  </r>
  <r>
    <s v="Singapore"/>
    <x v="4"/>
    <s v="SG2"/>
    <m/>
    <x v="5"/>
    <x v="1"/>
    <x v="4"/>
    <x v="3"/>
    <x v="0"/>
    <x v="0"/>
    <x v="0"/>
    <m/>
    <x v="0"/>
    <x v="0"/>
    <n v="-1.9473750000000001"/>
    <m/>
    <x v="2"/>
    <x v="2"/>
    <x v="0"/>
    <x v="5"/>
    <x v="1"/>
  </r>
  <r>
    <s v="Singapore"/>
    <x v="3"/>
    <s v="SG4"/>
    <m/>
    <x v="0"/>
    <x v="2"/>
    <x v="3"/>
    <x v="1"/>
    <x v="0"/>
    <x v="0"/>
    <x v="0"/>
    <m/>
    <x v="0"/>
    <x v="0"/>
    <n v="0.15579000000000001"/>
    <m/>
    <x v="1"/>
    <x v="3"/>
    <x v="0"/>
    <x v="1"/>
    <x v="1"/>
  </r>
  <r>
    <s v="Singapore"/>
    <x v="3"/>
    <s v="SG1"/>
    <m/>
    <x v="2"/>
    <x v="1"/>
    <x v="2"/>
    <x v="5"/>
    <x v="0"/>
    <x v="0"/>
    <x v="0"/>
    <m/>
    <x v="0"/>
    <x v="0"/>
    <n v="-1.7136900000000002"/>
    <m/>
    <x v="4"/>
    <x v="2"/>
    <x v="0"/>
    <x v="4"/>
    <x v="1"/>
  </r>
  <r>
    <s v="Singapore"/>
    <x v="2"/>
    <s v="SG3"/>
    <m/>
    <x v="3"/>
    <x v="0"/>
    <x v="2"/>
    <x v="3"/>
    <x v="0"/>
    <x v="0"/>
    <x v="0"/>
    <m/>
    <x v="0"/>
    <x v="0"/>
    <n v="-1.5579000000000001E-2"/>
    <m/>
    <x v="0"/>
    <x v="3"/>
    <x v="0"/>
    <x v="5"/>
    <x v="0"/>
  </r>
  <r>
    <s v="Singapore"/>
    <x v="3"/>
    <s v="SG4"/>
    <m/>
    <x v="3"/>
    <x v="4"/>
    <x v="1"/>
    <x v="4"/>
    <x v="0"/>
    <x v="0"/>
    <x v="0"/>
    <m/>
    <x v="0"/>
    <x v="0"/>
    <n v="-23.368500000000001"/>
    <m/>
    <x v="5"/>
    <x v="1"/>
    <x v="0"/>
    <x v="2"/>
    <x v="1"/>
  </r>
  <r>
    <s v="Singapore"/>
    <x v="0"/>
    <s v="SG1"/>
    <m/>
    <x v="4"/>
    <x v="3"/>
    <x v="4"/>
    <x v="1"/>
    <x v="0"/>
    <x v="0"/>
    <x v="0"/>
    <m/>
    <x v="0"/>
    <x v="0"/>
    <n v="-0.31158000000000002"/>
    <m/>
    <x v="4"/>
    <x v="0"/>
    <x v="0"/>
    <x v="5"/>
    <x v="0"/>
  </r>
  <r>
    <s v="Singapore"/>
    <x v="5"/>
    <s v="SG3"/>
    <m/>
    <x v="1"/>
    <x v="1"/>
    <x v="2"/>
    <x v="0"/>
    <x v="0"/>
    <x v="0"/>
    <x v="0"/>
    <m/>
    <x v="0"/>
    <x v="0"/>
    <n v="-8.8800299999999999E-2"/>
    <m/>
    <x v="3"/>
    <x v="2"/>
    <x v="0"/>
    <x v="5"/>
    <x v="1"/>
  </r>
  <r>
    <s v="Singapore"/>
    <x v="5"/>
    <s v="SG3"/>
    <m/>
    <x v="1"/>
    <x v="2"/>
    <x v="4"/>
    <x v="1"/>
    <x v="0"/>
    <x v="0"/>
    <x v="0"/>
    <m/>
    <x v="0"/>
    <x v="0"/>
    <n v="-0.12463200000000001"/>
    <m/>
    <x v="4"/>
    <x v="1"/>
    <x v="0"/>
    <x v="2"/>
    <x v="1"/>
  </r>
  <r>
    <s v="Singapore"/>
    <x v="2"/>
    <s v="SG4"/>
    <m/>
    <x v="4"/>
    <x v="0"/>
    <x v="2"/>
    <x v="1"/>
    <x v="0"/>
    <x v="0"/>
    <x v="0"/>
    <m/>
    <x v="0"/>
    <x v="0"/>
    <n v="-0.38947500000000002"/>
    <m/>
    <x v="4"/>
    <x v="3"/>
    <x v="0"/>
    <x v="2"/>
    <x v="0"/>
  </r>
  <r>
    <s v="Singapore"/>
    <x v="1"/>
    <s v="SG1"/>
    <m/>
    <x v="2"/>
    <x v="3"/>
    <x v="1"/>
    <x v="0"/>
    <x v="0"/>
    <x v="0"/>
    <x v="0"/>
    <m/>
    <x v="0"/>
    <x v="0"/>
    <n v="-0.14349816900000001"/>
    <m/>
    <x v="0"/>
    <x v="0"/>
    <x v="0"/>
    <x v="4"/>
    <x v="1"/>
  </r>
  <r>
    <s v="Singapore"/>
    <x v="4"/>
    <s v="SG4"/>
    <m/>
    <x v="4"/>
    <x v="3"/>
    <x v="3"/>
    <x v="1"/>
    <x v="0"/>
    <x v="0"/>
    <x v="0"/>
    <m/>
    <x v="0"/>
    <x v="0"/>
    <n v="1.1450565000000001"/>
    <m/>
    <x v="1"/>
    <x v="3"/>
    <x v="0"/>
    <x v="5"/>
    <x v="2"/>
  </r>
  <r>
    <s v="Singapore"/>
    <x v="4"/>
    <s v="SG4"/>
    <m/>
    <x v="0"/>
    <x v="2"/>
    <x v="4"/>
    <x v="4"/>
    <x v="0"/>
    <x v="0"/>
    <x v="0"/>
    <m/>
    <x v="0"/>
    <x v="0"/>
    <n v="-0.280422"/>
    <m/>
    <x v="0"/>
    <x v="2"/>
    <x v="0"/>
    <x v="3"/>
    <x v="0"/>
  </r>
  <r>
    <s v="Singapore"/>
    <x v="1"/>
    <s v="SG3"/>
    <m/>
    <x v="4"/>
    <x v="1"/>
    <x v="3"/>
    <x v="2"/>
    <x v="0"/>
    <x v="0"/>
    <x v="0"/>
    <m/>
    <x v="0"/>
    <x v="0"/>
    <n v="-0.21810600000000002"/>
    <m/>
    <x v="4"/>
    <x v="3"/>
    <x v="0"/>
    <x v="3"/>
    <x v="1"/>
  </r>
  <r>
    <s v="Singapore"/>
    <x v="4"/>
    <s v="SG4"/>
    <m/>
    <x v="3"/>
    <x v="4"/>
    <x v="0"/>
    <x v="2"/>
    <x v="0"/>
    <x v="0"/>
    <x v="0"/>
    <m/>
    <x v="0"/>
    <x v="0"/>
    <n v="-0.26328509999999999"/>
    <m/>
    <x v="2"/>
    <x v="3"/>
    <x v="0"/>
    <x v="5"/>
    <x v="1"/>
  </r>
  <r>
    <s v="Singapore"/>
    <x v="3"/>
    <s v="SG1"/>
    <m/>
    <x v="5"/>
    <x v="2"/>
    <x v="0"/>
    <x v="5"/>
    <x v="0"/>
    <x v="0"/>
    <x v="0"/>
    <m/>
    <x v="0"/>
    <x v="0"/>
    <n v="-1.0531403999999999E-2"/>
    <m/>
    <x v="3"/>
    <x v="3"/>
    <x v="0"/>
    <x v="0"/>
    <x v="0"/>
  </r>
  <r>
    <s v="Singapore"/>
    <x v="4"/>
    <s v="SG3"/>
    <m/>
    <x v="3"/>
    <x v="2"/>
    <x v="0"/>
    <x v="4"/>
    <x v="0"/>
    <x v="0"/>
    <x v="0"/>
    <m/>
    <x v="0"/>
    <x v="0"/>
    <n v="-0.12463200000000001"/>
    <m/>
    <x v="4"/>
    <x v="3"/>
    <x v="0"/>
    <x v="4"/>
    <x v="1"/>
  </r>
  <r>
    <s v="Singapore"/>
    <x v="5"/>
    <s v="SG1"/>
    <m/>
    <x v="0"/>
    <x v="1"/>
    <x v="0"/>
    <x v="3"/>
    <x v="0"/>
    <x v="0"/>
    <x v="0"/>
    <m/>
    <x v="0"/>
    <x v="0"/>
    <n v="0.1324215"/>
    <m/>
    <x v="1"/>
    <x v="1"/>
    <x v="0"/>
    <x v="4"/>
    <x v="2"/>
  </r>
  <r>
    <s v="Singapore"/>
    <x v="1"/>
    <s v="SG4"/>
    <m/>
    <x v="0"/>
    <x v="1"/>
    <x v="2"/>
    <x v="2"/>
    <x v="0"/>
    <x v="0"/>
    <x v="0"/>
    <m/>
    <x v="0"/>
    <x v="0"/>
    <n v="-0.70105499999999998"/>
    <m/>
    <x v="4"/>
    <x v="1"/>
    <x v="0"/>
    <x v="3"/>
    <x v="1"/>
  </r>
  <r>
    <s v="Singapore"/>
    <x v="0"/>
    <s v="SG2"/>
    <m/>
    <x v="0"/>
    <x v="4"/>
    <x v="2"/>
    <x v="1"/>
    <x v="0"/>
    <x v="0"/>
    <x v="0"/>
    <m/>
    <x v="0"/>
    <x v="0"/>
    <n v="-145.33890574500001"/>
    <m/>
    <x v="2"/>
    <x v="3"/>
    <x v="0"/>
    <x v="0"/>
    <x v="0"/>
  </r>
  <r>
    <s v="Singapore"/>
    <x v="1"/>
    <s v="SG2"/>
    <m/>
    <x v="5"/>
    <x v="4"/>
    <x v="2"/>
    <x v="2"/>
    <x v="0"/>
    <x v="0"/>
    <x v="0"/>
    <m/>
    <x v="0"/>
    <x v="0"/>
    <n v="-0.59200200000000003"/>
    <m/>
    <x v="1"/>
    <x v="0"/>
    <x v="0"/>
    <x v="4"/>
    <x v="1"/>
  </r>
  <r>
    <s v="Singapore"/>
    <x v="1"/>
    <s v="SG3"/>
    <m/>
    <x v="2"/>
    <x v="3"/>
    <x v="0"/>
    <x v="0"/>
    <x v="0"/>
    <x v="0"/>
    <x v="0"/>
    <m/>
    <x v="0"/>
    <x v="0"/>
    <n v="20.704491000000001"/>
    <m/>
    <x v="1"/>
    <x v="2"/>
    <x v="0"/>
    <x v="4"/>
    <x v="2"/>
  </r>
  <r>
    <s v="Singapore"/>
    <x v="4"/>
    <s v="SG2"/>
    <m/>
    <x v="5"/>
    <x v="1"/>
    <x v="2"/>
    <x v="5"/>
    <x v="0"/>
    <x v="0"/>
    <x v="0"/>
    <m/>
    <x v="0"/>
    <x v="0"/>
    <n v="-1.1661193080000001"/>
    <m/>
    <x v="0"/>
    <x v="2"/>
    <x v="0"/>
    <x v="2"/>
    <x v="1"/>
  </r>
  <r>
    <s v="Singapore"/>
    <x v="3"/>
    <s v="SG3"/>
    <m/>
    <x v="3"/>
    <x v="3"/>
    <x v="0"/>
    <x v="2"/>
    <x v="0"/>
    <x v="0"/>
    <x v="0"/>
    <m/>
    <x v="0"/>
    <x v="0"/>
    <n v="-0.17136900000000002"/>
    <m/>
    <x v="8"/>
    <x v="0"/>
    <x v="0"/>
    <x v="2"/>
    <x v="1"/>
  </r>
  <r>
    <s v="Singapore"/>
    <x v="5"/>
    <s v="SG3"/>
    <m/>
    <x v="1"/>
    <x v="4"/>
    <x v="4"/>
    <x v="0"/>
    <x v="0"/>
    <x v="0"/>
    <x v="0"/>
    <m/>
    <x v="0"/>
    <x v="0"/>
    <n v="-3.4912071629999999"/>
    <m/>
    <x v="4"/>
    <x v="1"/>
    <x v="0"/>
    <x v="2"/>
    <x v="1"/>
  </r>
  <r>
    <s v="Singapore"/>
    <x v="4"/>
    <s v="SG1"/>
    <m/>
    <x v="5"/>
    <x v="3"/>
    <x v="2"/>
    <x v="1"/>
    <x v="0"/>
    <x v="0"/>
    <x v="0"/>
    <m/>
    <x v="0"/>
    <x v="0"/>
    <n v="-9.3474000000000002E-2"/>
    <m/>
    <x v="0"/>
    <x v="2"/>
    <x v="0"/>
    <x v="4"/>
    <x v="0"/>
  </r>
  <r>
    <s v="Singapore"/>
    <x v="5"/>
    <s v="SG3"/>
    <m/>
    <x v="2"/>
    <x v="0"/>
    <x v="2"/>
    <x v="0"/>
    <x v="0"/>
    <x v="0"/>
    <x v="0"/>
    <m/>
    <x v="0"/>
    <x v="0"/>
    <n v="-0.15579000000000001"/>
    <m/>
    <x v="0"/>
    <x v="0"/>
    <x v="0"/>
    <x v="4"/>
    <x v="0"/>
  </r>
  <r>
    <s v="Singapore"/>
    <x v="2"/>
    <s v="SG1"/>
    <m/>
    <x v="4"/>
    <x v="2"/>
    <x v="3"/>
    <x v="0"/>
    <x v="0"/>
    <x v="0"/>
    <x v="0"/>
    <m/>
    <x v="0"/>
    <x v="0"/>
    <n v="-3.1158000000000002E-2"/>
    <m/>
    <x v="6"/>
    <x v="0"/>
    <x v="0"/>
    <x v="1"/>
    <x v="0"/>
  </r>
  <r>
    <s v="Singapore"/>
    <x v="5"/>
    <s v="SG2"/>
    <m/>
    <x v="3"/>
    <x v="2"/>
    <x v="4"/>
    <x v="0"/>
    <x v="0"/>
    <x v="0"/>
    <x v="0"/>
    <m/>
    <x v="0"/>
    <x v="0"/>
    <n v="-0.15579000000000001"/>
    <m/>
    <x v="0"/>
    <x v="2"/>
    <x v="0"/>
    <x v="5"/>
    <x v="0"/>
  </r>
  <r>
    <s v="Singapore"/>
    <x v="2"/>
    <s v="SG4"/>
    <m/>
    <x v="1"/>
    <x v="3"/>
    <x v="2"/>
    <x v="4"/>
    <x v="0"/>
    <x v="0"/>
    <x v="0"/>
    <m/>
    <x v="0"/>
    <x v="0"/>
    <n v="-0.18928485"/>
    <m/>
    <x v="3"/>
    <x v="0"/>
    <x v="0"/>
    <x v="2"/>
    <x v="0"/>
  </r>
  <r>
    <s v="Singapore"/>
    <x v="1"/>
    <s v="SG4"/>
    <m/>
    <x v="0"/>
    <x v="0"/>
    <x v="0"/>
    <x v="2"/>
    <x v="0"/>
    <x v="0"/>
    <x v="0"/>
    <m/>
    <x v="0"/>
    <x v="0"/>
    <n v="-0.60759657899999997"/>
    <m/>
    <x v="0"/>
    <x v="3"/>
    <x v="0"/>
    <x v="0"/>
    <x v="0"/>
  </r>
  <r>
    <s v="Singapore"/>
    <x v="0"/>
    <s v="SG4"/>
    <m/>
    <x v="2"/>
    <x v="2"/>
    <x v="3"/>
    <x v="5"/>
    <x v="0"/>
    <x v="0"/>
    <x v="0"/>
    <m/>
    <x v="0"/>
    <x v="0"/>
    <n v="-0.31158000000000002"/>
    <m/>
    <x v="4"/>
    <x v="1"/>
    <x v="0"/>
    <x v="1"/>
    <x v="0"/>
  </r>
  <r>
    <s v="Singapore"/>
    <x v="2"/>
    <s v="SG2"/>
    <m/>
    <x v="5"/>
    <x v="1"/>
    <x v="3"/>
    <x v="2"/>
    <x v="0"/>
    <x v="0"/>
    <x v="0"/>
    <m/>
    <x v="0"/>
    <x v="0"/>
    <n v="-3.5831700000000004"/>
    <m/>
    <x v="1"/>
    <x v="3"/>
    <x v="0"/>
    <x v="4"/>
    <x v="0"/>
  </r>
  <r>
    <s v="Singapore"/>
    <x v="2"/>
    <s v="SG2"/>
    <m/>
    <x v="5"/>
    <x v="0"/>
    <x v="3"/>
    <x v="2"/>
    <x v="0"/>
    <x v="0"/>
    <x v="0"/>
    <m/>
    <x v="0"/>
    <x v="0"/>
    <n v="-0.16424939700000002"/>
    <m/>
    <x v="6"/>
    <x v="0"/>
    <x v="0"/>
    <x v="0"/>
    <x v="0"/>
  </r>
  <r>
    <s v="Singapore"/>
    <x v="3"/>
    <s v="SG1"/>
    <m/>
    <x v="4"/>
    <x v="4"/>
    <x v="4"/>
    <x v="5"/>
    <x v="0"/>
    <x v="0"/>
    <x v="0"/>
    <m/>
    <x v="0"/>
    <x v="0"/>
    <n v="-4.6737000000000002"/>
    <m/>
    <x v="1"/>
    <x v="1"/>
    <x v="0"/>
    <x v="1"/>
    <x v="0"/>
  </r>
  <r>
    <s v="Singapore"/>
    <x v="1"/>
    <s v="SG3"/>
    <m/>
    <x v="2"/>
    <x v="3"/>
    <x v="1"/>
    <x v="4"/>
    <x v="0"/>
    <x v="0"/>
    <x v="0"/>
    <m/>
    <x v="0"/>
    <x v="0"/>
    <n v="-7.7895000000000006E-2"/>
    <m/>
    <x v="0"/>
    <x v="2"/>
    <x v="0"/>
    <x v="4"/>
    <x v="1"/>
  </r>
  <r>
    <s v="Singapore"/>
    <x v="0"/>
    <s v="SG4"/>
    <m/>
    <x v="0"/>
    <x v="1"/>
    <x v="0"/>
    <x v="0"/>
    <x v="0"/>
    <x v="0"/>
    <x v="0"/>
    <m/>
    <x v="0"/>
    <x v="0"/>
    <n v="-3.3027479999999998E-2"/>
    <m/>
    <x v="4"/>
    <x v="1"/>
    <x v="0"/>
    <x v="3"/>
    <x v="2"/>
  </r>
  <r>
    <s v="Singapore"/>
    <x v="3"/>
    <s v="SG2"/>
    <m/>
    <x v="4"/>
    <x v="2"/>
    <x v="0"/>
    <x v="5"/>
    <x v="0"/>
    <x v="0"/>
    <x v="0"/>
    <m/>
    <x v="0"/>
    <x v="0"/>
    <n v="0.11216880000000001"/>
    <m/>
    <x v="6"/>
    <x v="3"/>
    <x v="0"/>
    <x v="5"/>
    <x v="1"/>
  </r>
  <r>
    <s v="Singapore"/>
    <x v="3"/>
    <s v="SG1"/>
    <m/>
    <x v="2"/>
    <x v="0"/>
    <x v="1"/>
    <x v="4"/>
    <x v="0"/>
    <x v="0"/>
    <x v="0"/>
    <m/>
    <x v="0"/>
    <x v="0"/>
    <n v="0.17984397600000002"/>
    <m/>
    <x v="1"/>
    <x v="0"/>
    <x v="0"/>
    <x v="2"/>
    <x v="0"/>
  </r>
  <r>
    <s v="Singapore"/>
    <x v="4"/>
    <s v="SG4"/>
    <m/>
    <x v="5"/>
    <x v="4"/>
    <x v="2"/>
    <x v="3"/>
    <x v="0"/>
    <x v="0"/>
    <x v="0"/>
    <m/>
    <x v="0"/>
    <x v="0"/>
    <n v="-0.12463200000000001"/>
    <m/>
    <x v="0"/>
    <x v="1"/>
    <x v="0"/>
    <x v="3"/>
    <x v="2"/>
  </r>
  <r>
    <s v="Singapore"/>
    <x v="5"/>
    <s v="SG4"/>
    <m/>
    <x v="1"/>
    <x v="1"/>
    <x v="2"/>
    <x v="2"/>
    <x v="0"/>
    <x v="0"/>
    <x v="0"/>
    <m/>
    <x v="0"/>
    <x v="0"/>
    <n v="0.56863350000000001"/>
    <m/>
    <x v="8"/>
    <x v="1"/>
    <x v="0"/>
    <x v="5"/>
    <x v="1"/>
  </r>
  <r>
    <s v="Singapore"/>
    <x v="1"/>
    <s v="SG2"/>
    <m/>
    <x v="3"/>
    <x v="3"/>
    <x v="0"/>
    <x v="2"/>
    <x v="0"/>
    <x v="0"/>
    <x v="0"/>
    <m/>
    <x v="0"/>
    <x v="0"/>
    <n v="3.8246445000000002"/>
    <m/>
    <x v="1"/>
    <x v="3"/>
    <x v="0"/>
    <x v="4"/>
    <x v="1"/>
  </r>
  <r>
    <s v="Singapore"/>
    <x v="2"/>
    <s v="SG1"/>
    <m/>
    <x v="5"/>
    <x v="2"/>
    <x v="2"/>
    <x v="3"/>
    <x v="0"/>
    <x v="0"/>
    <x v="0"/>
    <m/>
    <x v="0"/>
    <x v="0"/>
    <n v="-9.3474000000000002E-2"/>
    <m/>
    <x v="0"/>
    <x v="0"/>
    <x v="0"/>
    <x v="2"/>
    <x v="2"/>
  </r>
  <r>
    <s v="Singapore"/>
    <x v="0"/>
    <s v="SG4"/>
    <m/>
    <x v="5"/>
    <x v="4"/>
    <x v="0"/>
    <x v="5"/>
    <x v="0"/>
    <x v="0"/>
    <x v="0"/>
    <m/>
    <x v="0"/>
    <x v="0"/>
    <n v="0.74779200000000001"/>
    <m/>
    <x v="1"/>
    <x v="1"/>
    <x v="0"/>
    <x v="4"/>
    <x v="0"/>
  </r>
  <r>
    <s v="Singapore"/>
    <x v="0"/>
    <s v="SG3"/>
    <m/>
    <x v="4"/>
    <x v="2"/>
    <x v="1"/>
    <x v="0"/>
    <x v="0"/>
    <x v="0"/>
    <x v="0"/>
    <m/>
    <x v="0"/>
    <x v="0"/>
    <n v="1.5423210000000001"/>
    <m/>
    <x v="1"/>
    <x v="3"/>
    <x v="0"/>
    <x v="0"/>
    <x v="2"/>
  </r>
  <r>
    <s v="Singapore"/>
    <x v="3"/>
    <s v="SG2"/>
    <m/>
    <x v="1"/>
    <x v="1"/>
    <x v="4"/>
    <x v="0"/>
    <x v="0"/>
    <x v="0"/>
    <x v="0"/>
    <m/>
    <x v="0"/>
    <x v="0"/>
    <n v="-7.7895000000000003"/>
    <m/>
    <x v="1"/>
    <x v="2"/>
    <x v="0"/>
    <x v="4"/>
    <x v="1"/>
  </r>
  <r>
    <s v="Singapore"/>
    <x v="1"/>
    <s v="SG1"/>
    <m/>
    <x v="0"/>
    <x v="2"/>
    <x v="1"/>
    <x v="1"/>
    <x v="0"/>
    <x v="0"/>
    <x v="0"/>
    <m/>
    <x v="0"/>
    <x v="0"/>
    <n v="0.17136900000000002"/>
    <m/>
    <x v="8"/>
    <x v="3"/>
    <x v="0"/>
    <x v="5"/>
    <x v="1"/>
  </r>
  <r>
    <s v="Singapore"/>
    <x v="0"/>
    <s v="SG4"/>
    <m/>
    <x v="1"/>
    <x v="3"/>
    <x v="1"/>
    <x v="1"/>
    <x v="0"/>
    <x v="0"/>
    <x v="0"/>
    <m/>
    <x v="0"/>
    <x v="0"/>
    <n v="-3.3365855879999997"/>
    <m/>
    <x v="6"/>
    <x v="0"/>
    <x v="0"/>
    <x v="5"/>
    <x v="0"/>
  </r>
  <r>
    <s v="Singapore"/>
    <x v="4"/>
    <s v="SG1"/>
    <m/>
    <x v="2"/>
    <x v="1"/>
    <x v="0"/>
    <x v="1"/>
    <x v="0"/>
    <x v="0"/>
    <x v="0"/>
    <m/>
    <x v="0"/>
    <x v="0"/>
    <n v="-7.9452900000000007E-2"/>
    <m/>
    <x v="3"/>
    <x v="1"/>
    <x v="0"/>
    <x v="1"/>
    <x v="1"/>
  </r>
  <r>
    <s v="Singapore"/>
    <x v="5"/>
    <s v="SG4"/>
    <m/>
    <x v="5"/>
    <x v="2"/>
    <x v="3"/>
    <x v="3"/>
    <x v="0"/>
    <x v="0"/>
    <x v="0"/>
    <m/>
    <x v="0"/>
    <x v="0"/>
    <n v="0.87016504500000003"/>
    <m/>
    <x v="1"/>
    <x v="2"/>
    <x v="0"/>
    <x v="2"/>
    <x v="0"/>
  </r>
  <r>
    <s v="Singapore"/>
    <x v="2"/>
    <s v="SG1"/>
    <m/>
    <x v="0"/>
    <x v="4"/>
    <x v="0"/>
    <x v="5"/>
    <x v="0"/>
    <x v="0"/>
    <x v="0"/>
    <m/>
    <x v="0"/>
    <x v="0"/>
    <n v="1.6513740000000001"/>
    <m/>
    <x v="1"/>
    <x v="3"/>
    <x v="0"/>
    <x v="1"/>
    <x v="1"/>
  </r>
  <r>
    <s v="Singapore"/>
    <x v="5"/>
    <s v="SG2"/>
    <m/>
    <x v="0"/>
    <x v="3"/>
    <x v="2"/>
    <x v="5"/>
    <x v="0"/>
    <x v="0"/>
    <x v="0"/>
    <m/>
    <x v="0"/>
    <x v="0"/>
    <n v="0.60758100000000004"/>
    <m/>
    <x v="3"/>
    <x v="3"/>
    <x v="0"/>
    <x v="2"/>
    <x v="1"/>
  </r>
  <r>
    <s v="Singapore"/>
    <x v="3"/>
    <s v="SG2"/>
    <m/>
    <x v="2"/>
    <x v="1"/>
    <x v="1"/>
    <x v="2"/>
    <x v="0"/>
    <x v="0"/>
    <x v="0"/>
    <m/>
    <x v="0"/>
    <x v="0"/>
    <n v="1.3008465"/>
    <m/>
    <x v="1"/>
    <x v="3"/>
    <x v="0"/>
    <x v="5"/>
    <x v="1"/>
  </r>
  <r>
    <s v="Singapore"/>
    <x v="0"/>
    <s v="SG2"/>
    <m/>
    <x v="2"/>
    <x v="2"/>
    <x v="2"/>
    <x v="0"/>
    <x v="0"/>
    <x v="0"/>
    <x v="0"/>
    <m/>
    <x v="0"/>
    <x v="0"/>
    <n v="-0.38947500000000002"/>
    <m/>
    <x v="0"/>
    <x v="2"/>
    <x v="0"/>
    <x v="1"/>
    <x v="1"/>
  </r>
  <r>
    <s v="Singapore"/>
    <x v="1"/>
    <s v="SG3"/>
    <m/>
    <x v="3"/>
    <x v="2"/>
    <x v="4"/>
    <x v="4"/>
    <x v="0"/>
    <x v="0"/>
    <x v="0"/>
    <m/>
    <x v="0"/>
    <x v="0"/>
    <n v="-7.7895000000000006E-2"/>
    <m/>
    <x v="0"/>
    <x v="2"/>
    <x v="0"/>
    <x v="2"/>
    <x v="0"/>
  </r>
  <r>
    <s v="Singapore"/>
    <x v="5"/>
    <s v="SG2"/>
    <m/>
    <x v="0"/>
    <x v="2"/>
    <x v="4"/>
    <x v="4"/>
    <x v="0"/>
    <x v="0"/>
    <x v="0"/>
    <m/>
    <x v="0"/>
    <x v="0"/>
    <n v="-0.17136900000000002"/>
    <m/>
    <x v="8"/>
    <x v="2"/>
    <x v="0"/>
    <x v="0"/>
    <x v="0"/>
  </r>
  <r>
    <s v="Singapore"/>
    <x v="3"/>
    <s v="SG4"/>
    <m/>
    <x v="4"/>
    <x v="1"/>
    <x v="3"/>
    <x v="0"/>
    <x v="0"/>
    <x v="0"/>
    <x v="0"/>
    <m/>
    <x v="0"/>
    <x v="0"/>
    <n v="4.424436"/>
    <m/>
    <x v="11"/>
    <x v="2"/>
    <x v="0"/>
    <x v="3"/>
    <x v="0"/>
  </r>
  <r>
    <s v="Singapore"/>
    <x v="5"/>
    <s v="SG1"/>
    <m/>
    <x v="5"/>
    <x v="1"/>
    <x v="2"/>
    <x v="5"/>
    <x v="0"/>
    <x v="0"/>
    <x v="0"/>
    <m/>
    <x v="0"/>
    <x v="0"/>
    <n v="6.1817472000000005E-2"/>
    <m/>
    <x v="8"/>
    <x v="3"/>
    <x v="0"/>
    <x v="2"/>
    <x v="0"/>
  </r>
  <r>
    <s v="Singapore"/>
    <x v="0"/>
    <s v="SG1"/>
    <m/>
    <x v="2"/>
    <x v="3"/>
    <x v="4"/>
    <x v="1"/>
    <x v="0"/>
    <x v="0"/>
    <x v="0"/>
    <m/>
    <x v="0"/>
    <x v="0"/>
    <n v="-4.0505400000000004E-2"/>
    <m/>
    <x v="2"/>
    <x v="0"/>
    <x v="0"/>
    <x v="1"/>
    <x v="0"/>
  </r>
  <r>
    <s v="Singapore"/>
    <x v="4"/>
    <s v="SG3"/>
    <m/>
    <x v="0"/>
    <x v="0"/>
    <x v="4"/>
    <x v="0"/>
    <x v="0"/>
    <x v="0"/>
    <x v="0"/>
    <m/>
    <x v="0"/>
    <x v="0"/>
    <n v="-3.3262255530000004"/>
    <m/>
    <x v="0"/>
    <x v="3"/>
    <x v="0"/>
    <x v="0"/>
    <x v="1"/>
  </r>
  <r>
    <s v="Singapore"/>
    <x v="5"/>
    <s v="SG3"/>
    <m/>
    <x v="2"/>
    <x v="2"/>
    <x v="0"/>
    <x v="4"/>
    <x v="0"/>
    <x v="0"/>
    <x v="0"/>
    <m/>
    <x v="0"/>
    <x v="0"/>
    <n v="0.66210750000000007"/>
    <m/>
    <x v="8"/>
    <x v="1"/>
    <x v="0"/>
    <x v="5"/>
    <x v="2"/>
  </r>
  <r>
    <s v="Singapore"/>
    <x v="3"/>
    <s v="SG1"/>
    <m/>
    <x v="0"/>
    <x v="0"/>
    <x v="1"/>
    <x v="5"/>
    <x v="0"/>
    <x v="0"/>
    <x v="0"/>
    <m/>
    <x v="0"/>
    <x v="0"/>
    <n v="0.42063300000000003"/>
    <m/>
    <x v="4"/>
    <x v="2"/>
    <x v="0"/>
    <x v="4"/>
    <x v="0"/>
  </r>
  <r>
    <s v="Singapore"/>
    <x v="0"/>
    <s v="SG1"/>
    <m/>
    <x v="1"/>
    <x v="4"/>
    <x v="3"/>
    <x v="2"/>
    <x v="0"/>
    <x v="0"/>
    <x v="0"/>
    <m/>
    <x v="0"/>
    <x v="0"/>
    <n v="-2.5533981000000001E-2"/>
    <m/>
    <x v="8"/>
    <x v="0"/>
    <x v="0"/>
    <x v="1"/>
    <x v="2"/>
  </r>
  <r>
    <s v="Singapore"/>
    <x v="4"/>
    <s v="SG1"/>
    <m/>
    <x v="2"/>
    <x v="1"/>
    <x v="1"/>
    <x v="1"/>
    <x v="0"/>
    <x v="0"/>
    <x v="0"/>
    <m/>
    <x v="0"/>
    <x v="0"/>
    <n v="-0.20252700000000001"/>
    <m/>
    <x v="0"/>
    <x v="0"/>
    <x v="0"/>
    <x v="5"/>
    <x v="0"/>
  </r>
  <r>
    <s v="Singapore"/>
    <x v="5"/>
    <s v="SG1"/>
    <m/>
    <x v="4"/>
    <x v="4"/>
    <x v="0"/>
    <x v="0"/>
    <x v="0"/>
    <x v="0"/>
    <x v="0"/>
    <m/>
    <x v="0"/>
    <x v="0"/>
    <n v="-148.4865648"/>
    <m/>
    <x v="4"/>
    <x v="2"/>
    <x v="0"/>
    <x v="0"/>
    <x v="2"/>
  </r>
  <r>
    <s v="Singapore"/>
    <x v="5"/>
    <s v="SG2"/>
    <m/>
    <x v="3"/>
    <x v="3"/>
    <x v="2"/>
    <x v="5"/>
    <x v="0"/>
    <x v="0"/>
    <x v="0"/>
    <m/>
    <x v="0"/>
    <x v="0"/>
    <n v="0.46737000000000001"/>
    <m/>
    <x v="1"/>
    <x v="2"/>
    <x v="0"/>
    <x v="2"/>
    <x v="0"/>
  </r>
  <r>
    <s v="Singapore"/>
    <x v="1"/>
    <s v="SG1"/>
    <m/>
    <x v="3"/>
    <x v="1"/>
    <x v="2"/>
    <x v="4"/>
    <x v="0"/>
    <x v="0"/>
    <x v="0"/>
    <m/>
    <x v="0"/>
    <x v="0"/>
    <n v="0.37389600000000001"/>
    <m/>
    <x v="1"/>
    <x v="1"/>
    <x v="0"/>
    <x v="0"/>
    <x v="1"/>
  </r>
  <r>
    <s v="Singapore"/>
    <x v="4"/>
    <s v="SG2"/>
    <m/>
    <x v="2"/>
    <x v="2"/>
    <x v="3"/>
    <x v="4"/>
    <x v="0"/>
    <x v="0"/>
    <x v="0"/>
    <m/>
    <x v="0"/>
    <x v="0"/>
    <n v="-1.5579000000000001E-2"/>
    <m/>
    <x v="0"/>
    <x v="3"/>
    <x v="0"/>
    <x v="5"/>
    <x v="1"/>
  </r>
  <r>
    <s v="Singapore"/>
    <x v="5"/>
    <s v="SG2"/>
    <m/>
    <x v="5"/>
    <x v="4"/>
    <x v="2"/>
    <x v="2"/>
    <x v="0"/>
    <x v="0"/>
    <x v="0"/>
    <m/>
    <x v="0"/>
    <x v="0"/>
    <n v="-0.90295884000000004"/>
    <m/>
    <x v="6"/>
    <x v="1"/>
    <x v="0"/>
    <x v="4"/>
    <x v="2"/>
  </r>
  <r>
    <s v="Singapore"/>
    <x v="0"/>
    <s v="SG2"/>
    <m/>
    <x v="2"/>
    <x v="2"/>
    <x v="2"/>
    <x v="3"/>
    <x v="0"/>
    <x v="0"/>
    <x v="0"/>
    <m/>
    <x v="0"/>
    <x v="0"/>
    <n v="-0.280422"/>
    <m/>
    <x v="0"/>
    <x v="1"/>
    <x v="0"/>
    <x v="1"/>
    <x v="0"/>
  </r>
  <r>
    <s v="Singapore"/>
    <x v="1"/>
    <s v="SG3"/>
    <m/>
    <x v="0"/>
    <x v="4"/>
    <x v="2"/>
    <x v="1"/>
    <x v="0"/>
    <x v="0"/>
    <x v="0"/>
    <m/>
    <x v="0"/>
    <x v="0"/>
    <n v="3.0456945000000002"/>
    <m/>
    <x v="1"/>
    <x v="1"/>
    <x v="0"/>
    <x v="4"/>
    <x v="2"/>
  </r>
  <r>
    <s v="Singapore"/>
    <x v="5"/>
    <s v="SG1"/>
    <m/>
    <x v="4"/>
    <x v="2"/>
    <x v="1"/>
    <x v="0"/>
    <x v="0"/>
    <x v="0"/>
    <x v="0"/>
    <m/>
    <x v="0"/>
    <x v="0"/>
    <n v="1.1450565000000001"/>
    <m/>
    <x v="1"/>
    <x v="0"/>
    <x v="0"/>
    <x v="5"/>
    <x v="1"/>
  </r>
  <r>
    <s v="Singapore"/>
    <x v="4"/>
    <s v="SG2"/>
    <m/>
    <x v="4"/>
    <x v="4"/>
    <x v="3"/>
    <x v="5"/>
    <x v="0"/>
    <x v="0"/>
    <x v="0"/>
    <m/>
    <x v="0"/>
    <x v="0"/>
    <n v="0.46737000000000001"/>
    <m/>
    <x v="0"/>
    <x v="0"/>
    <x v="0"/>
    <x v="5"/>
    <x v="2"/>
  </r>
  <r>
    <s v="Singapore"/>
    <x v="2"/>
    <s v="SG3"/>
    <m/>
    <x v="4"/>
    <x v="2"/>
    <x v="3"/>
    <x v="5"/>
    <x v="0"/>
    <x v="0"/>
    <x v="0"/>
    <m/>
    <x v="0"/>
    <x v="0"/>
    <n v="-4.6737000000000001E-2"/>
    <m/>
    <x v="0"/>
    <x v="3"/>
    <x v="0"/>
    <x v="1"/>
    <x v="1"/>
  </r>
  <r>
    <s v="Singapore"/>
    <x v="5"/>
    <s v="SG2"/>
    <m/>
    <x v="2"/>
    <x v="2"/>
    <x v="2"/>
    <x v="1"/>
    <x v="0"/>
    <x v="0"/>
    <x v="0"/>
    <m/>
    <x v="0"/>
    <x v="0"/>
    <n v="-1.2058146000000001"/>
    <m/>
    <x v="2"/>
    <x v="0"/>
    <x v="0"/>
    <x v="4"/>
    <x v="1"/>
  </r>
  <r>
    <s v="Singapore"/>
    <x v="3"/>
    <s v="SG4"/>
    <m/>
    <x v="2"/>
    <x v="2"/>
    <x v="2"/>
    <x v="5"/>
    <x v="0"/>
    <x v="0"/>
    <x v="0"/>
    <m/>
    <x v="0"/>
    <x v="0"/>
    <n v="5.0631750000000003E-2"/>
    <m/>
    <x v="6"/>
    <x v="3"/>
    <x v="0"/>
    <x v="5"/>
    <x v="0"/>
  </r>
  <r>
    <s v="Singapore"/>
    <x v="5"/>
    <s v="SG1"/>
    <m/>
    <x v="0"/>
    <x v="1"/>
    <x v="0"/>
    <x v="1"/>
    <x v="0"/>
    <x v="0"/>
    <x v="0"/>
    <m/>
    <x v="0"/>
    <x v="0"/>
    <n v="-4.6737000000000001E-2"/>
    <m/>
    <x v="0"/>
    <x v="2"/>
    <x v="0"/>
    <x v="4"/>
    <x v="1"/>
  </r>
  <r>
    <s v="Singapore"/>
    <x v="5"/>
    <s v="SG2"/>
    <m/>
    <x v="2"/>
    <x v="2"/>
    <x v="0"/>
    <x v="0"/>
    <x v="0"/>
    <x v="0"/>
    <x v="0"/>
    <m/>
    <x v="0"/>
    <x v="0"/>
    <n v="3.6563913000000003E-2"/>
    <m/>
    <x v="1"/>
    <x v="3"/>
    <x v="0"/>
    <x v="1"/>
    <x v="1"/>
  </r>
  <r>
    <s v="Singapore"/>
    <x v="2"/>
    <s v="SG1"/>
    <m/>
    <x v="4"/>
    <x v="2"/>
    <x v="2"/>
    <x v="5"/>
    <x v="0"/>
    <x v="0"/>
    <x v="0"/>
    <m/>
    <x v="0"/>
    <x v="0"/>
    <n v="1.1995830000000001"/>
    <m/>
    <x v="8"/>
    <x v="2"/>
    <x v="0"/>
    <x v="3"/>
    <x v="2"/>
  </r>
  <r>
    <s v="Singapore"/>
    <x v="5"/>
    <s v="SG3"/>
    <m/>
    <x v="1"/>
    <x v="2"/>
    <x v="4"/>
    <x v="2"/>
    <x v="0"/>
    <x v="0"/>
    <x v="0"/>
    <m/>
    <x v="0"/>
    <x v="0"/>
    <n v="-3.1158000000000002E-2"/>
    <m/>
    <x v="6"/>
    <x v="2"/>
    <x v="0"/>
    <x v="3"/>
    <x v="1"/>
  </r>
  <r>
    <s v="Singapore"/>
    <x v="0"/>
    <s v="SG1"/>
    <m/>
    <x v="1"/>
    <x v="2"/>
    <x v="0"/>
    <x v="3"/>
    <x v="0"/>
    <x v="0"/>
    <x v="0"/>
    <m/>
    <x v="0"/>
    <x v="0"/>
    <n v="2.8556307000000003"/>
    <m/>
    <x v="1"/>
    <x v="0"/>
    <x v="0"/>
    <x v="3"/>
    <x v="0"/>
  </r>
  <r>
    <s v="Singapore"/>
    <x v="1"/>
    <s v="SG3"/>
    <m/>
    <x v="1"/>
    <x v="2"/>
    <x v="2"/>
    <x v="0"/>
    <x v="0"/>
    <x v="0"/>
    <x v="0"/>
    <m/>
    <x v="0"/>
    <x v="0"/>
    <n v="2.33685E-2"/>
    <m/>
    <x v="6"/>
    <x v="2"/>
    <x v="0"/>
    <x v="3"/>
    <x v="1"/>
  </r>
  <r>
    <s v="Singapore"/>
    <x v="5"/>
    <s v="SG1"/>
    <m/>
    <x v="4"/>
    <x v="3"/>
    <x v="2"/>
    <x v="3"/>
    <x v="0"/>
    <x v="0"/>
    <x v="0"/>
    <m/>
    <x v="0"/>
    <x v="0"/>
    <n v="-1.2463200000000001E-2"/>
    <m/>
    <x v="6"/>
    <x v="0"/>
    <x v="0"/>
    <x v="3"/>
    <x v="0"/>
  </r>
  <r>
    <s v="Singapore"/>
    <x v="5"/>
    <s v="SG1"/>
    <m/>
    <x v="0"/>
    <x v="4"/>
    <x v="0"/>
    <x v="3"/>
    <x v="0"/>
    <x v="0"/>
    <x v="0"/>
    <m/>
    <x v="0"/>
    <x v="0"/>
    <n v="-0.31158000000000002"/>
    <m/>
    <x v="0"/>
    <x v="3"/>
    <x v="0"/>
    <x v="3"/>
    <x v="0"/>
  </r>
  <r>
    <s v="Singapore"/>
    <x v="4"/>
    <s v="SG4"/>
    <m/>
    <x v="4"/>
    <x v="1"/>
    <x v="4"/>
    <x v="1"/>
    <x v="0"/>
    <x v="0"/>
    <x v="0"/>
    <m/>
    <x v="0"/>
    <x v="0"/>
    <n v="-3.1158000000000002E-2"/>
    <m/>
    <x v="0"/>
    <x v="0"/>
    <x v="0"/>
    <x v="5"/>
    <x v="0"/>
  </r>
  <r>
    <s v="Singapore"/>
    <x v="5"/>
    <s v="SG2"/>
    <m/>
    <x v="3"/>
    <x v="2"/>
    <x v="2"/>
    <x v="3"/>
    <x v="0"/>
    <x v="0"/>
    <x v="0"/>
    <m/>
    <x v="0"/>
    <x v="0"/>
    <n v="-0.30653240399999998"/>
    <m/>
    <x v="0"/>
    <x v="2"/>
    <x v="0"/>
    <x v="3"/>
    <x v="2"/>
  </r>
  <r>
    <s v="Singapore"/>
    <x v="0"/>
    <s v="SG3"/>
    <m/>
    <x v="0"/>
    <x v="3"/>
    <x v="0"/>
    <x v="5"/>
    <x v="0"/>
    <x v="0"/>
    <x v="0"/>
    <m/>
    <x v="0"/>
    <x v="0"/>
    <n v="-4.6737000000000001E-2"/>
    <m/>
    <x v="0"/>
    <x v="2"/>
    <x v="0"/>
    <x v="1"/>
    <x v="2"/>
  </r>
  <r>
    <s v="Singapore"/>
    <x v="3"/>
    <s v="SG3"/>
    <m/>
    <x v="5"/>
    <x v="1"/>
    <x v="2"/>
    <x v="0"/>
    <x v="0"/>
    <x v="0"/>
    <x v="0"/>
    <m/>
    <x v="0"/>
    <x v="0"/>
    <n v="0.1838322"/>
    <m/>
    <x v="4"/>
    <x v="2"/>
    <x v="0"/>
    <x v="2"/>
    <x v="0"/>
  </r>
  <r>
    <s v="Singapore"/>
    <x v="2"/>
    <s v="SG4"/>
    <m/>
    <x v="1"/>
    <x v="2"/>
    <x v="2"/>
    <x v="1"/>
    <x v="0"/>
    <x v="0"/>
    <x v="0"/>
    <m/>
    <x v="0"/>
    <x v="0"/>
    <n v="-0.42063300000000003"/>
    <m/>
    <x v="4"/>
    <x v="2"/>
    <x v="0"/>
    <x v="0"/>
    <x v="0"/>
  </r>
  <r>
    <s v="Singapore"/>
    <x v="5"/>
    <s v="SG3"/>
    <m/>
    <x v="2"/>
    <x v="3"/>
    <x v="4"/>
    <x v="1"/>
    <x v="0"/>
    <x v="0"/>
    <x v="0"/>
    <m/>
    <x v="0"/>
    <x v="0"/>
    <n v="-0.46737000000000001"/>
    <m/>
    <x v="4"/>
    <x v="2"/>
    <x v="0"/>
    <x v="3"/>
    <x v="2"/>
  </r>
  <r>
    <s v="Singapore"/>
    <x v="4"/>
    <s v="SG4"/>
    <m/>
    <x v="2"/>
    <x v="3"/>
    <x v="3"/>
    <x v="5"/>
    <x v="0"/>
    <x v="0"/>
    <x v="0"/>
    <m/>
    <x v="0"/>
    <x v="0"/>
    <n v="-3.1158000000000002E-2"/>
    <m/>
    <x v="0"/>
    <x v="0"/>
    <x v="0"/>
    <x v="3"/>
    <x v="1"/>
  </r>
  <r>
    <s v="Singapore"/>
    <x v="0"/>
    <s v="SG1"/>
    <m/>
    <x v="0"/>
    <x v="1"/>
    <x v="1"/>
    <x v="5"/>
    <x v="0"/>
    <x v="0"/>
    <x v="0"/>
    <m/>
    <x v="0"/>
    <x v="0"/>
    <n v="-0.31158000000000002"/>
    <m/>
    <x v="4"/>
    <x v="2"/>
    <x v="0"/>
    <x v="4"/>
    <x v="0"/>
  </r>
  <r>
    <s v="Singapore"/>
    <x v="4"/>
    <s v="SG1"/>
    <m/>
    <x v="1"/>
    <x v="0"/>
    <x v="2"/>
    <x v="2"/>
    <x v="0"/>
    <x v="0"/>
    <x v="0"/>
    <m/>
    <x v="0"/>
    <x v="0"/>
    <n v="0.233685"/>
    <m/>
    <x v="1"/>
    <x v="2"/>
    <x v="0"/>
    <x v="0"/>
    <x v="0"/>
  </r>
  <r>
    <s v="Singapore"/>
    <x v="4"/>
    <s v="SG3"/>
    <m/>
    <x v="5"/>
    <x v="4"/>
    <x v="3"/>
    <x v="3"/>
    <x v="0"/>
    <x v="0"/>
    <x v="0"/>
    <m/>
    <x v="0"/>
    <x v="0"/>
    <n v="0.15579000000000001"/>
    <m/>
    <x v="1"/>
    <x v="0"/>
    <x v="0"/>
    <x v="4"/>
    <x v="2"/>
  </r>
  <r>
    <s v="Singapore"/>
    <x v="2"/>
    <s v="SG1"/>
    <m/>
    <x v="1"/>
    <x v="4"/>
    <x v="4"/>
    <x v="4"/>
    <x v="0"/>
    <x v="0"/>
    <x v="0"/>
    <m/>
    <x v="0"/>
    <x v="0"/>
    <n v="1.1995830000000001"/>
    <m/>
    <x v="8"/>
    <x v="2"/>
    <x v="0"/>
    <x v="1"/>
    <x v="0"/>
  </r>
  <r>
    <s v="Singapore"/>
    <x v="1"/>
    <s v="SG3"/>
    <m/>
    <x v="1"/>
    <x v="2"/>
    <x v="1"/>
    <x v="2"/>
    <x v="0"/>
    <x v="0"/>
    <x v="0"/>
    <m/>
    <x v="0"/>
    <x v="0"/>
    <n v="1.9028657970000002"/>
    <m/>
    <x v="1"/>
    <x v="1"/>
    <x v="0"/>
    <x v="5"/>
    <x v="2"/>
  </r>
  <r>
    <s v="Singapore"/>
    <x v="2"/>
    <s v="SG1"/>
    <m/>
    <x v="0"/>
    <x v="1"/>
    <x v="0"/>
    <x v="1"/>
    <x v="0"/>
    <x v="0"/>
    <x v="0"/>
    <m/>
    <x v="0"/>
    <x v="0"/>
    <n v="16.217739000000002"/>
    <m/>
    <x v="1"/>
    <x v="0"/>
    <x v="0"/>
    <x v="2"/>
    <x v="2"/>
  </r>
  <r>
    <s v="Singapore"/>
    <x v="3"/>
    <s v="SG3"/>
    <m/>
    <x v="4"/>
    <x v="2"/>
    <x v="3"/>
    <x v="4"/>
    <x v="0"/>
    <x v="0"/>
    <x v="0"/>
    <m/>
    <x v="0"/>
    <x v="0"/>
    <n v="2.0716486830000003"/>
    <m/>
    <x v="1"/>
    <x v="3"/>
    <x v="0"/>
    <x v="3"/>
    <x v="2"/>
  </r>
  <r>
    <s v="Singapore"/>
    <x v="5"/>
    <s v="SG4"/>
    <m/>
    <x v="2"/>
    <x v="4"/>
    <x v="3"/>
    <x v="3"/>
    <x v="0"/>
    <x v="0"/>
    <x v="0"/>
    <m/>
    <x v="0"/>
    <x v="0"/>
    <n v="0.12463200000000001"/>
    <m/>
    <x v="0"/>
    <x v="3"/>
    <x v="0"/>
    <x v="3"/>
    <x v="0"/>
  </r>
  <r>
    <s v="Singapore"/>
    <x v="5"/>
    <s v="SG4"/>
    <m/>
    <x v="0"/>
    <x v="2"/>
    <x v="2"/>
    <x v="1"/>
    <x v="0"/>
    <x v="0"/>
    <x v="0"/>
    <m/>
    <x v="0"/>
    <x v="0"/>
    <n v="-0.62316000000000005"/>
    <m/>
    <x v="4"/>
    <x v="2"/>
    <x v="0"/>
    <x v="4"/>
    <x v="1"/>
  </r>
  <r>
    <s v="Singapore"/>
    <x v="5"/>
    <s v="SG1"/>
    <m/>
    <x v="3"/>
    <x v="3"/>
    <x v="0"/>
    <x v="1"/>
    <x v="0"/>
    <x v="0"/>
    <x v="0"/>
    <m/>
    <x v="0"/>
    <x v="0"/>
    <n v="0.51410699999999998"/>
    <m/>
    <x v="1"/>
    <x v="3"/>
    <x v="0"/>
    <x v="3"/>
    <x v="0"/>
  </r>
  <r>
    <s v="Singapore"/>
    <x v="1"/>
    <s v="SG4"/>
    <m/>
    <x v="0"/>
    <x v="3"/>
    <x v="4"/>
    <x v="4"/>
    <x v="0"/>
    <x v="0"/>
    <x v="0"/>
    <m/>
    <x v="0"/>
    <x v="0"/>
    <n v="-0.31158000000000002"/>
    <m/>
    <x v="0"/>
    <x v="3"/>
    <x v="0"/>
    <x v="1"/>
    <x v="1"/>
  </r>
  <r>
    <s v="Singapore"/>
    <x v="3"/>
    <s v="SG4"/>
    <m/>
    <x v="3"/>
    <x v="2"/>
    <x v="4"/>
    <x v="3"/>
    <x v="0"/>
    <x v="0"/>
    <x v="0"/>
    <m/>
    <x v="0"/>
    <x v="0"/>
    <n v="0.55735430399999997"/>
    <m/>
    <x v="0"/>
    <x v="3"/>
    <x v="0"/>
    <x v="2"/>
    <x v="2"/>
  </r>
  <r>
    <s v="Singapore"/>
    <x v="2"/>
    <s v="SG3"/>
    <m/>
    <x v="3"/>
    <x v="2"/>
    <x v="2"/>
    <x v="1"/>
    <x v="0"/>
    <x v="0"/>
    <x v="0"/>
    <m/>
    <x v="0"/>
    <x v="0"/>
    <n v="0.21810600000000002"/>
    <m/>
    <x v="4"/>
    <x v="2"/>
    <x v="0"/>
    <x v="1"/>
    <x v="0"/>
  </r>
  <r>
    <s v="Singapore"/>
    <x v="0"/>
    <s v="SG2"/>
    <m/>
    <x v="2"/>
    <x v="0"/>
    <x v="1"/>
    <x v="0"/>
    <x v="0"/>
    <x v="0"/>
    <x v="0"/>
    <m/>
    <x v="0"/>
    <x v="0"/>
    <n v="-0.1324215"/>
    <m/>
    <x v="4"/>
    <x v="2"/>
    <x v="0"/>
    <x v="5"/>
    <x v="0"/>
  </r>
  <r>
    <s v="Singapore"/>
    <x v="4"/>
    <s v="SG2"/>
    <m/>
    <x v="0"/>
    <x v="3"/>
    <x v="4"/>
    <x v="5"/>
    <x v="0"/>
    <x v="0"/>
    <x v="0"/>
    <m/>
    <x v="0"/>
    <x v="0"/>
    <n v="-0.81010800000000005"/>
    <m/>
    <x v="4"/>
    <x v="3"/>
    <x v="0"/>
    <x v="5"/>
    <x v="2"/>
  </r>
  <r>
    <s v="Singapore"/>
    <x v="0"/>
    <s v="SG4"/>
    <m/>
    <x v="2"/>
    <x v="2"/>
    <x v="3"/>
    <x v="2"/>
    <x v="0"/>
    <x v="0"/>
    <x v="0"/>
    <m/>
    <x v="0"/>
    <x v="0"/>
    <n v="1.2307410000000001"/>
    <m/>
    <x v="1"/>
    <x v="3"/>
    <x v="0"/>
    <x v="4"/>
    <x v="1"/>
  </r>
  <r>
    <s v="Singapore"/>
    <x v="4"/>
    <s v="SG2"/>
    <m/>
    <x v="4"/>
    <x v="2"/>
    <x v="1"/>
    <x v="1"/>
    <x v="0"/>
    <x v="0"/>
    <x v="0"/>
    <m/>
    <x v="0"/>
    <x v="0"/>
    <n v="581.62975106399995"/>
    <m/>
    <x v="3"/>
    <x v="2"/>
    <x v="0"/>
    <x v="3"/>
    <x v="2"/>
  </r>
  <r>
    <s v="Singapore"/>
    <x v="0"/>
    <s v="SG2"/>
    <m/>
    <x v="4"/>
    <x v="3"/>
    <x v="2"/>
    <x v="2"/>
    <x v="0"/>
    <x v="0"/>
    <x v="0"/>
    <m/>
    <x v="0"/>
    <x v="0"/>
    <n v="-0.46737000000000001"/>
    <m/>
    <x v="0"/>
    <x v="3"/>
    <x v="0"/>
    <x v="5"/>
    <x v="1"/>
  </r>
  <r>
    <s v="Singapore"/>
    <x v="3"/>
    <s v="SG2"/>
    <m/>
    <x v="3"/>
    <x v="2"/>
    <x v="4"/>
    <x v="4"/>
    <x v="0"/>
    <x v="0"/>
    <x v="0"/>
    <m/>
    <x v="0"/>
    <x v="0"/>
    <n v="0.1838322"/>
    <m/>
    <x v="4"/>
    <x v="0"/>
    <x v="0"/>
    <x v="4"/>
    <x v="2"/>
  </r>
  <r>
    <s v="Singapore"/>
    <x v="1"/>
    <s v="SG1"/>
    <m/>
    <x v="3"/>
    <x v="0"/>
    <x v="4"/>
    <x v="4"/>
    <x v="0"/>
    <x v="0"/>
    <x v="0"/>
    <m/>
    <x v="0"/>
    <x v="0"/>
    <n v="2.8587465000000003E-2"/>
    <m/>
    <x v="8"/>
    <x v="2"/>
    <x v="0"/>
    <x v="0"/>
    <x v="2"/>
  </r>
  <r>
    <s v="Singapore"/>
    <x v="4"/>
    <s v="SG3"/>
    <m/>
    <x v="4"/>
    <x v="2"/>
    <x v="2"/>
    <x v="1"/>
    <x v="0"/>
    <x v="0"/>
    <x v="0"/>
    <m/>
    <x v="0"/>
    <x v="0"/>
    <n v="9.1987607610000008"/>
    <m/>
    <x v="5"/>
    <x v="0"/>
    <x v="0"/>
    <x v="5"/>
    <x v="0"/>
  </r>
  <r>
    <s v="Singapore"/>
    <x v="3"/>
    <s v="SG3"/>
    <m/>
    <x v="3"/>
    <x v="4"/>
    <x v="3"/>
    <x v="3"/>
    <x v="0"/>
    <x v="0"/>
    <x v="0"/>
    <m/>
    <x v="0"/>
    <x v="0"/>
    <n v="0.233685"/>
    <m/>
    <x v="0"/>
    <x v="3"/>
    <x v="0"/>
    <x v="4"/>
    <x v="1"/>
  </r>
  <r>
    <s v="Singapore"/>
    <x v="4"/>
    <s v="SG3"/>
    <m/>
    <x v="0"/>
    <x v="3"/>
    <x v="1"/>
    <x v="0"/>
    <x v="0"/>
    <x v="0"/>
    <x v="0"/>
    <m/>
    <x v="0"/>
    <x v="0"/>
    <n v="-62.296308144000001"/>
    <m/>
    <x v="2"/>
    <x v="3"/>
    <x v="0"/>
    <x v="2"/>
    <x v="0"/>
  </r>
  <r>
    <s v="Singapore"/>
    <x v="4"/>
    <s v="SG1"/>
    <m/>
    <x v="4"/>
    <x v="0"/>
    <x v="1"/>
    <x v="5"/>
    <x v="0"/>
    <x v="0"/>
    <x v="0"/>
    <m/>
    <x v="0"/>
    <x v="0"/>
    <n v="4.9906391760000002"/>
    <m/>
    <x v="7"/>
    <x v="2"/>
    <x v="0"/>
    <x v="2"/>
    <x v="0"/>
  </r>
  <r>
    <s v="Singapore"/>
    <x v="5"/>
    <s v="SG4"/>
    <m/>
    <x v="3"/>
    <x v="3"/>
    <x v="0"/>
    <x v="2"/>
    <x v="0"/>
    <x v="0"/>
    <x v="0"/>
    <m/>
    <x v="0"/>
    <x v="0"/>
    <n v="-0.15579000000000001"/>
    <m/>
    <x v="0"/>
    <x v="1"/>
    <x v="0"/>
    <x v="2"/>
    <x v="0"/>
  </r>
  <r>
    <s v="Singapore"/>
    <x v="0"/>
    <s v="SG2"/>
    <m/>
    <x v="4"/>
    <x v="4"/>
    <x v="0"/>
    <x v="1"/>
    <x v="0"/>
    <x v="0"/>
    <x v="0"/>
    <m/>
    <x v="0"/>
    <x v="0"/>
    <n v="0.186948"/>
    <m/>
    <x v="1"/>
    <x v="3"/>
    <x v="0"/>
    <x v="2"/>
    <x v="2"/>
  </r>
  <r>
    <s v="Singapore"/>
    <x v="1"/>
    <s v="SG1"/>
    <m/>
    <x v="2"/>
    <x v="0"/>
    <x v="3"/>
    <x v="4"/>
    <x v="0"/>
    <x v="0"/>
    <x v="0"/>
    <m/>
    <x v="0"/>
    <x v="0"/>
    <n v="-0.28012599900000001"/>
    <m/>
    <x v="0"/>
    <x v="0"/>
    <x v="0"/>
    <x v="4"/>
    <x v="0"/>
  </r>
  <r>
    <s v="Singapore"/>
    <x v="2"/>
    <s v="SG4"/>
    <m/>
    <x v="5"/>
    <x v="2"/>
    <x v="0"/>
    <x v="2"/>
    <x v="0"/>
    <x v="0"/>
    <x v="0"/>
    <m/>
    <x v="0"/>
    <x v="0"/>
    <n v="-18.947491380000002"/>
    <m/>
    <x v="0"/>
    <x v="3"/>
    <x v="0"/>
    <x v="5"/>
    <x v="0"/>
  </r>
  <r>
    <s v="Singapore"/>
    <x v="4"/>
    <s v="SG2"/>
    <m/>
    <x v="5"/>
    <x v="3"/>
    <x v="0"/>
    <x v="4"/>
    <x v="0"/>
    <x v="0"/>
    <x v="0"/>
    <m/>
    <x v="0"/>
    <x v="0"/>
    <n v="-0.126283374"/>
    <m/>
    <x v="4"/>
    <x v="3"/>
    <x v="0"/>
    <x v="0"/>
    <x v="0"/>
  </r>
  <r>
    <s v="Singapore"/>
    <x v="0"/>
    <s v="SG4"/>
    <m/>
    <x v="1"/>
    <x v="4"/>
    <x v="2"/>
    <x v="1"/>
    <x v="0"/>
    <x v="0"/>
    <x v="0"/>
    <m/>
    <x v="0"/>
    <x v="0"/>
    <n v="3.1158000000000001"/>
    <m/>
    <x v="1"/>
    <x v="2"/>
    <x v="0"/>
    <x v="0"/>
    <x v="1"/>
  </r>
  <r>
    <s v="Singapore"/>
    <x v="3"/>
    <s v="SG1"/>
    <m/>
    <x v="4"/>
    <x v="2"/>
    <x v="0"/>
    <x v="2"/>
    <x v="0"/>
    <x v="0"/>
    <x v="0"/>
    <m/>
    <x v="0"/>
    <x v="0"/>
    <n v="0.280422"/>
    <m/>
    <x v="0"/>
    <x v="0"/>
    <x v="0"/>
    <x v="1"/>
    <x v="0"/>
  </r>
  <r>
    <s v="Singapore"/>
    <x v="3"/>
    <s v="SG3"/>
    <m/>
    <x v="2"/>
    <x v="0"/>
    <x v="4"/>
    <x v="0"/>
    <x v="0"/>
    <x v="0"/>
    <x v="0"/>
    <m/>
    <x v="0"/>
    <x v="0"/>
    <n v="1.9028657970000002"/>
    <m/>
    <x v="1"/>
    <x v="1"/>
    <x v="0"/>
    <x v="1"/>
    <x v="1"/>
  </r>
  <r>
    <s v="Singapore"/>
    <x v="4"/>
    <s v="SG1"/>
    <m/>
    <x v="1"/>
    <x v="4"/>
    <x v="0"/>
    <x v="3"/>
    <x v="0"/>
    <x v="0"/>
    <x v="0"/>
    <m/>
    <x v="0"/>
    <x v="0"/>
    <n v="0.58265460000000002"/>
    <m/>
    <x v="8"/>
    <x v="2"/>
    <x v="0"/>
    <x v="0"/>
    <x v="1"/>
  </r>
  <r>
    <s v="Singapore"/>
    <x v="5"/>
    <s v="SG1"/>
    <m/>
    <x v="3"/>
    <x v="0"/>
    <x v="0"/>
    <x v="0"/>
    <x v="0"/>
    <x v="0"/>
    <x v="0"/>
    <m/>
    <x v="0"/>
    <x v="0"/>
    <n v="-0.186948"/>
    <m/>
    <x v="3"/>
    <x v="3"/>
    <x v="0"/>
    <x v="5"/>
    <x v="2"/>
  </r>
  <r>
    <s v="Singapore"/>
    <x v="5"/>
    <s v="SG3"/>
    <m/>
    <x v="2"/>
    <x v="3"/>
    <x v="3"/>
    <x v="1"/>
    <x v="0"/>
    <x v="0"/>
    <x v="0"/>
    <m/>
    <x v="0"/>
    <x v="0"/>
    <n v="34.047904500000001"/>
    <m/>
    <x v="1"/>
    <x v="3"/>
    <x v="0"/>
    <x v="0"/>
    <x v="0"/>
  </r>
  <r>
    <s v="Singapore"/>
    <x v="0"/>
    <s v="SG1"/>
    <m/>
    <x v="5"/>
    <x v="2"/>
    <x v="2"/>
    <x v="4"/>
    <x v="0"/>
    <x v="0"/>
    <x v="0"/>
    <m/>
    <x v="0"/>
    <x v="0"/>
    <n v="-1.121688"/>
    <m/>
    <x v="3"/>
    <x v="0"/>
    <x v="0"/>
    <x v="3"/>
    <x v="1"/>
  </r>
  <r>
    <s v="Singapore"/>
    <x v="1"/>
    <s v="SG3"/>
    <m/>
    <x v="2"/>
    <x v="4"/>
    <x v="3"/>
    <x v="0"/>
    <x v="0"/>
    <x v="0"/>
    <x v="0"/>
    <m/>
    <x v="0"/>
    <x v="0"/>
    <n v="-0.38947500000000002"/>
    <m/>
    <x v="1"/>
    <x v="3"/>
    <x v="0"/>
    <x v="1"/>
    <x v="2"/>
  </r>
  <r>
    <s v="Singapore"/>
    <x v="2"/>
    <s v="SG4"/>
    <m/>
    <x v="0"/>
    <x v="3"/>
    <x v="4"/>
    <x v="4"/>
    <x v="0"/>
    <x v="0"/>
    <x v="0"/>
    <m/>
    <x v="0"/>
    <x v="0"/>
    <n v="-0.12463200000000001"/>
    <m/>
    <x v="0"/>
    <x v="0"/>
    <x v="0"/>
    <x v="4"/>
    <x v="2"/>
  </r>
  <r>
    <s v="Singapore"/>
    <x v="1"/>
    <s v="SG4"/>
    <m/>
    <x v="4"/>
    <x v="2"/>
    <x v="2"/>
    <x v="5"/>
    <x v="0"/>
    <x v="0"/>
    <x v="0"/>
    <m/>
    <x v="0"/>
    <x v="0"/>
    <n v="-135.65414250000001"/>
    <m/>
    <x v="2"/>
    <x v="0"/>
    <x v="0"/>
    <x v="2"/>
    <x v="0"/>
  </r>
  <r>
    <s v="Singapore"/>
    <x v="1"/>
    <s v="SG1"/>
    <m/>
    <x v="5"/>
    <x v="2"/>
    <x v="0"/>
    <x v="2"/>
    <x v="0"/>
    <x v="0"/>
    <x v="0"/>
    <m/>
    <x v="0"/>
    <x v="0"/>
    <n v="-5.6084399999999999"/>
    <m/>
    <x v="4"/>
    <x v="2"/>
    <x v="0"/>
    <x v="2"/>
    <x v="1"/>
  </r>
  <r>
    <s v="Singapore"/>
    <x v="0"/>
    <s v="SG3"/>
    <m/>
    <x v="4"/>
    <x v="3"/>
    <x v="2"/>
    <x v="5"/>
    <x v="0"/>
    <x v="0"/>
    <x v="0"/>
    <m/>
    <x v="0"/>
    <x v="0"/>
    <n v="-3.1158000000000001"/>
    <m/>
    <x v="4"/>
    <x v="2"/>
    <x v="0"/>
    <x v="1"/>
    <x v="2"/>
  </r>
  <r>
    <s v="Singapore"/>
    <x v="4"/>
    <s v="SG2"/>
    <m/>
    <x v="3"/>
    <x v="3"/>
    <x v="3"/>
    <x v="0"/>
    <x v="0"/>
    <x v="0"/>
    <x v="0"/>
    <m/>
    <x v="0"/>
    <x v="0"/>
    <n v="-1.7448947370000001"/>
    <m/>
    <x v="3"/>
    <x v="1"/>
    <x v="0"/>
    <x v="0"/>
    <x v="0"/>
  </r>
  <r>
    <s v="Singapore"/>
    <x v="0"/>
    <s v="SG3"/>
    <m/>
    <x v="3"/>
    <x v="1"/>
    <x v="1"/>
    <x v="1"/>
    <x v="0"/>
    <x v="0"/>
    <x v="0"/>
    <m/>
    <x v="0"/>
    <x v="0"/>
    <n v="-0.12463200000000001"/>
    <m/>
    <x v="0"/>
    <x v="1"/>
    <x v="0"/>
    <x v="4"/>
    <x v="2"/>
  </r>
  <r>
    <s v="Singapore"/>
    <x v="0"/>
    <s v="SG2"/>
    <m/>
    <x v="2"/>
    <x v="1"/>
    <x v="0"/>
    <x v="1"/>
    <x v="0"/>
    <x v="0"/>
    <x v="0"/>
    <m/>
    <x v="0"/>
    <x v="0"/>
    <n v="6.2004420000000007"/>
    <m/>
    <x v="5"/>
    <x v="0"/>
    <x v="0"/>
    <x v="2"/>
    <x v="0"/>
  </r>
  <r>
    <s v="Singapore"/>
    <x v="2"/>
    <s v="SG3"/>
    <m/>
    <x v="2"/>
    <x v="1"/>
    <x v="2"/>
    <x v="3"/>
    <x v="0"/>
    <x v="0"/>
    <x v="0"/>
    <m/>
    <x v="0"/>
    <x v="0"/>
    <n v="-0.37389600000000001"/>
    <m/>
    <x v="0"/>
    <x v="3"/>
    <x v="0"/>
    <x v="0"/>
    <x v="2"/>
  </r>
  <r>
    <s v="Singapore"/>
    <x v="0"/>
    <s v="SG4"/>
    <m/>
    <x v="2"/>
    <x v="1"/>
    <x v="0"/>
    <x v="3"/>
    <x v="0"/>
    <x v="0"/>
    <x v="0"/>
    <m/>
    <x v="0"/>
    <x v="0"/>
    <n v="0.233685"/>
    <m/>
    <x v="0"/>
    <x v="3"/>
    <x v="0"/>
    <x v="1"/>
    <x v="1"/>
  </r>
  <r>
    <s v="Singapore"/>
    <x v="0"/>
    <s v="SG3"/>
    <m/>
    <x v="1"/>
    <x v="2"/>
    <x v="0"/>
    <x v="2"/>
    <x v="0"/>
    <x v="0"/>
    <x v="0"/>
    <m/>
    <x v="0"/>
    <x v="0"/>
    <n v="-4.2374879999999999"/>
    <m/>
    <x v="0"/>
    <x v="2"/>
    <x v="0"/>
    <x v="1"/>
    <x v="1"/>
  </r>
  <r>
    <s v="Singapore"/>
    <x v="4"/>
    <s v="SG4"/>
    <m/>
    <x v="5"/>
    <x v="4"/>
    <x v="4"/>
    <x v="1"/>
    <x v="0"/>
    <x v="0"/>
    <x v="0"/>
    <m/>
    <x v="0"/>
    <x v="0"/>
    <n v="-0.46737000000000001"/>
    <m/>
    <x v="0"/>
    <x v="1"/>
    <x v="0"/>
    <x v="4"/>
    <x v="0"/>
  </r>
  <r>
    <s v="Singapore"/>
    <x v="3"/>
    <s v="SG2"/>
    <m/>
    <x v="0"/>
    <x v="1"/>
    <x v="4"/>
    <x v="5"/>
    <x v="0"/>
    <x v="0"/>
    <x v="0"/>
    <m/>
    <x v="0"/>
    <x v="0"/>
    <n v="-0.66989700000000008"/>
    <m/>
    <x v="4"/>
    <x v="2"/>
    <x v="0"/>
    <x v="0"/>
    <x v="2"/>
  </r>
  <r>
    <s v="Singapore"/>
    <x v="4"/>
    <s v="SG1"/>
    <m/>
    <x v="5"/>
    <x v="1"/>
    <x v="2"/>
    <x v="3"/>
    <x v="0"/>
    <x v="0"/>
    <x v="0"/>
    <m/>
    <x v="0"/>
    <x v="0"/>
    <n v="0.24926400000000001"/>
    <m/>
    <x v="0"/>
    <x v="3"/>
    <x v="0"/>
    <x v="4"/>
    <x v="1"/>
  </r>
  <r>
    <s v="Singapore"/>
    <x v="3"/>
    <s v="SG2"/>
    <m/>
    <x v="0"/>
    <x v="0"/>
    <x v="0"/>
    <x v="5"/>
    <x v="0"/>
    <x v="0"/>
    <x v="0"/>
    <m/>
    <x v="0"/>
    <x v="0"/>
    <n v="0.233685"/>
    <m/>
    <x v="1"/>
    <x v="2"/>
    <x v="0"/>
    <x v="2"/>
    <x v="2"/>
  </r>
  <r>
    <s v="Singapore"/>
    <x v="3"/>
    <s v="SG1"/>
    <m/>
    <x v="4"/>
    <x v="4"/>
    <x v="2"/>
    <x v="0"/>
    <x v="0"/>
    <x v="0"/>
    <x v="0"/>
    <m/>
    <x v="0"/>
    <x v="0"/>
    <n v="8.0816062500000001"/>
    <m/>
    <x v="7"/>
    <x v="0"/>
    <x v="0"/>
    <x v="2"/>
    <x v="1"/>
  </r>
  <r>
    <s v="Singapore"/>
    <x v="4"/>
    <s v="SG2"/>
    <m/>
    <x v="1"/>
    <x v="3"/>
    <x v="0"/>
    <x v="1"/>
    <x v="0"/>
    <x v="0"/>
    <x v="0"/>
    <m/>
    <x v="0"/>
    <x v="0"/>
    <n v="4.0505399999999998"/>
    <m/>
    <x v="1"/>
    <x v="3"/>
    <x v="0"/>
    <x v="0"/>
    <x v="1"/>
  </r>
  <r>
    <s v="Singapore"/>
    <x v="4"/>
    <s v="SG2"/>
    <m/>
    <x v="3"/>
    <x v="4"/>
    <x v="0"/>
    <x v="0"/>
    <x v="0"/>
    <x v="0"/>
    <x v="0"/>
    <m/>
    <x v="0"/>
    <x v="0"/>
    <n v="3.1158000000000002E-2"/>
    <m/>
    <x v="0"/>
    <x v="3"/>
    <x v="0"/>
    <x v="2"/>
    <x v="1"/>
  </r>
  <r>
    <s v="Singapore"/>
    <x v="2"/>
    <s v="SG4"/>
    <m/>
    <x v="2"/>
    <x v="0"/>
    <x v="2"/>
    <x v="3"/>
    <x v="0"/>
    <x v="0"/>
    <x v="0"/>
    <m/>
    <x v="0"/>
    <x v="0"/>
    <n v="-0.12463200000000001"/>
    <m/>
    <x v="0"/>
    <x v="2"/>
    <x v="0"/>
    <x v="2"/>
    <x v="0"/>
  </r>
  <r>
    <s v="Singapore"/>
    <x v="2"/>
    <s v="SG4"/>
    <m/>
    <x v="4"/>
    <x v="3"/>
    <x v="2"/>
    <x v="0"/>
    <x v="0"/>
    <x v="0"/>
    <x v="0"/>
    <m/>
    <x v="0"/>
    <x v="0"/>
    <n v="-1.5579000000000001E-2"/>
    <m/>
    <x v="0"/>
    <x v="0"/>
    <x v="0"/>
    <x v="1"/>
    <x v="2"/>
  </r>
  <r>
    <s v="Singapore"/>
    <x v="0"/>
    <s v="SG2"/>
    <m/>
    <x v="2"/>
    <x v="3"/>
    <x v="4"/>
    <x v="5"/>
    <x v="0"/>
    <x v="0"/>
    <x v="0"/>
    <m/>
    <x v="0"/>
    <x v="0"/>
    <n v="11.071294245000001"/>
    <m/>
    <x v="5"/>
    <x v="2"/>
    <x v="0"/>
    <x v="5"/>
    <x v="0"/>
  </r>
  <r>
    <s v="Singapore"/>
    <x v="0"/>
    <s v="SG3"/>
    <m/>
    <x v="2"/>
    <x v="2"/>
    <x v="4"/>
    <x v="3"/>
    <x v="0"/>
    <x v="0"/>
    <x v="0"/>
    <m/>
    <x v="0"/>
    <x v="0"/>
    <n v="1.2208483350000001"/>
    <m/>
    <x v="1"/>
    <x v="1"/>
    <x v="0"/>
    <x v="4"/>
    <x v="0"/>
  </r>
  <r>
    <s v="Singapore"/>
    <x v="2"/>
    <s v="SG3"/>
    <m/>
    <x v="2"/>
    <x v="0"/>
    <x v="2"/>
    <x v="0"/>
    <x v="0"/>
    <x v="0"/>
    <x v="0"/>
    <m/>
    <x v="0"/>
    <x v="0"/>
    <n v="1.5225356700000001"/>
    <m/>
    <x v="1"/>
    <x v="3"/>
    <x v="0"/>
    <x v="3"/>
    <x v="2"/>
  </r>
  <r>
    <s v="Singapore"/>
    <x v="4"/>
    <s v="SG1"/>
    <m/>
    <x v="2"/>
    <x v="2"/>
    <x v="2"/>
    <x v="5"/>
    <x v="0"/>
    <x v="0"/>
    <x v="0"/>
    <m/>
    <x v="0"/>
    <x v="0"/>
    <n v="0.21810600000000002"/>
    <m/>
    <x v="4"/>
    <x v="3"/>
    <x v="0"/>
    <x v="3"/>
    <x v="0"/>
  </r>
  <r>
    <s v="Singapore"/>
    <x v="3"/>
    <s v="SG4"/>
    <m/>
    <x v="1"/>
    <x v="4"/>
    <x v="4"/>
    <x v="2"/>
    <x v="0"/>
    <x v="0"/>
    <x v="0"/>
    <m/>
    <x v="0"/>
    <x v="0"/>
    <n v="-1.5579000000000001E-2"/>
    <m/>
    <x v="0"/>
    <x v="0"/>
    <x v="0"/>
    <x v="2"/>
    <x v="2"/>
  </r>
  <r>
    <s v="Singapore"/>
    <x v="5"/>
    <s v="SG3"/>
    <m/>
    <x v="3"/>
    <x v="3"/>
    <x v="2"/>
    <x v="4"/>
    <x v="0"/>
    <x v="0"/>
    <x v="0"/>
    <m/>
    <x v="0"/>
    <x v="0"/>
    <n v="4.6737000000000001E-2"/>
    <m/>
    <x v="0"/>
    <x v="3"/>
    <x v="0"/>
    <x v="1"/>
    <x v="2"/>
  </r>
  <r>
    <s v="Singapore"/>
    <x v="1"/>
    <s v="SG3"/>
    <m/>
    <x v="1"/>
    <x v="1"/>
    <x v="0"/>
    <x v="5"/>
    <x v="0"/>
    <x v="0"/>
    <x v="0"/>
    <m/>
    <x v="0"/>
    <x v="0"/>
    <n v="-0.15579000000000001"/>
    <m/>
    <x v="0"/>
    <x v="1"/>
    <x v="0"/>
    <x v="3"/>
    <x v="1"/>
  </r>
  <r>
    <s v="Singapore"/>
    <x v="3"/>
    <s v="SG3"/>
    <m/>
    <x v="3"/>
    <x v="4"/>
    <x v="0"/>
    <x v="0"/>
    <x v="0"/>
    <x v="0"/>
    <x v="0"/>
    <m/>
    <x v="0"/>
    <x v="0"/>
    <n v="0.178410708"/>
    <m/>
    <x v="1"/>
    <x v="2"/>
    <x v="0"/>
    <x v="3"/>
    <x v="1"/>
  </r>
  <r>
    <s v="Singapore"/>
    <x v="1"/>
    <s v="SG1"/>
    <m/>
    <x v="5"/>
    <x v="1"/>
    <x v="4"/>
    <x v="5"/>
    <x v="0"/>
    <x v="0"/>
    <x v="0"/>
    <m/>
    <x v="0"/>
    <x v="0"/>
    <n v="-15.665369976000001"/>
    <m/>
    <x v="4"/>
    <x v="0"/>
    <x v="0"/>
    <x v="3"/>
    <x v="2"/>
  </r>
  <r>
    <s v="Singapore"/>
    <x v="4"/>
    <s v="SG3"/>
    <m/>
    <x v="1"/>
    <x v="3"/>
    <x v="1"/>
    <x v="1"/>
    <x v="0"/>
    <x v="0"/>
    <x v="0"/>
    <m/>
    <x v="0"/>
    <x v="0"/>
    <n v="0.1838322"/>
    <m/>
    <x v="4"/>
    <x v="1"/>
    <x v="0"/>
    <x v="0"/>
    <x v="2"/>
  </r>
  <r>
    <s v="Singapore"/>
    <x v="1"/>
    <s v="SG4"/>
    <m/>
    <x v="0"/>
    <x v="3"/>
    <x v="1"/>
    <x v="1"/>
    <x v="0"/>
    <x v="0"/>
    <x v="0"/>
    <m/>
    <x v="0"/>
    <x v="0"/>
    <n v="-0.24926400000000001"/>
    <m/>
    <x v="0"/>
    <x v="2"/>
    <x v="0"/>
    <x v="1"/>
    <x v="1"/>
  </r>
  <r>
    <s v="Singapore"/>
    <x v="3"/>
    <s v="SG2"/>
    <m/>
    <x v="3"/>
    <x v="1"/>
    <x v="4"/>
    <x v="4"/>
    <x v="0"/>
    <x v="0"/>
    <x v="0"/>
    <m/>
    <x v="0"/>
    <x v="0"/>
    <n v="-1.480643739"/>
    <m/>
    <x v="3"/>
    <x v="2"/>
    <x v="0"/>
    <x v="1"/>
    <x v="2"/>
  </r>
  <r>
    <s v="Singapore"/>
    <x v="5"/>
    <s v="SG4"/>
    <m/>
    <x v="3"/>
    <x v="2"/>
    <x v="4"/>
    <x v="0"/>
    <x v="0"/>
    <x v="0"/>
    <x v="0"/>
    <m/>
    <x v="0"/>
    <x v="0"/>
    <n v="0.337332087"/>
    <m/>
    <x v="6"/>
    <x v="0"/>
    <x v="0"/>
    <x v="4"/>
    <x v="1"/>
  </r>
  <r>
    <s v="Singapore"/>
    <x v="5"/>
    <s v="SG1"/>
    <m/>
    <x v="0"/>
    <x v="3"/>
    <x v="0"/>
    <x v="0"/>
    <x v="0"/>
    <x v="0"/>
    <x v="0"/>
    <m/>
    <x v="0"/>
    <x v="0"/>
    <n v="7.0105500000000001E-2"/>
    <m/>
    <x v="1"/>
    <x v="3"/>
    <x v="0"/>
    <x v="5"/>
    <x v="2"/>
  </r>
  <r>
    <s v="Singapore"/>
    <x v="5"/>
    <s v="SG2"/>
    <m/>
    <x v="5"/>
    <x v="4"/>
    <x v="1"/>
    <x v="3"/>
    <x v="0"/>
    <x v="0"/>
    <x v="0"/>
    <m/>
    <x v="0"/>
    <x v="0"/>
    <n v="-3.5831700000000004"/>
    <m/>
    <x v="4"/>
    <x v="1"/>
    <x v="0"/>
    <x v="5"/>
    <x v="0"/>
  </r>
  <r>
    <s v="Singapore"/>
    <x v="3"/>
    <s v="SG4"/>
    <m/>
    <x v="5"/>
    <x v="4"/>
    <x v="3"/>
    <x v="4"/>
    <x v="0"/>
    <x v="0"/>
    <x v="0"/>
    <m/>
    <x v="0"/>
    <x v="0"/>
    <n v="-0.46737000000000001"/>
    <m/>
    <x v="4"/>
    <x v="1"/>
    <x v="0"/>
    <x v="3"/>
    <x v="1"/>
  </r>
  <r>
    <s v="Singapore"/>
    <x v="1"/>
    <s v="SG3"/>
    <m/>
    <x v="4"/>
    <x v="0"/>
    <x v="4"/>
    <x v="0"/>
    <x v="0"/>
    <x v="0"/>
    <x v="0"/>
    <m/>
    <x v="0"/>
    <x v="0"/>
    <n v="-3.1158000000000002E-2"/>
    <m/>
    <x v="0"/>
    <x v="2"/>
    <x v="0"/>
    <x v="1"/>
    <x v="2"/>
  </r>
  <r>
    <s v="Singapore"/>
    <x v="1"/>
    <s v="SG2"/>
    <m/>
    <x v="2"/>
    <x v="2"/>
    <x v="1"/>
    <x v="2"/>
    <x v="0"/>
    <x v="0"/>
    <x v="0"/>
    <m/>
    <x v="0"/>
    <x v="0"/>
    <n v="-0.77895000000000003"/>
    <m/>
    <x v="0"/>
    <x v="2"/>
    <x v="0"/>
    <x v="0"/>
    <x v="0"/>
  </r>
  <r>
    <s v="Singapore"/>
    <x v="0"/>
    <s v="SG1"/>
    <m/>
    <x v="1"/>
    <x v="0"/>
    <x v="0"/>
    <x v="5"/>
    <x v="0"/>
    <x v="0"/>
    <x v="0"/>
    <m/>
    <x v="0"/>
    <x v="0"/>
    <n v="95.103563399999999"/>
    <m/>
    <x v="7"/>
    <x v="1"/>
    <x v="0"/>
    <x v="5"/>
    <x v="2"/>
  </r>
  <r>
    <s v="Singapore"/>
    <x v="4"/>
    <s v="SG3"/>
    <m/>
    <x v="1"/>
    <x v="3"/>
    <x v="2"/>
    <x v="3"/>
    <x v="0"/>
    <x v="0"/>
    <x v="0"/>
    <m/>
    <x v="0"/>
    <x v="0"/>
    <n v="2.4990273900000002"/>
    <m/>
    <x v="6"/>
    <x v="3"/>
    <x v="0"/>
    <x v="4"/>
    <x v="1"/>
  </r>
  <r>
    <s v="Singapore"/>
    <x v="0"/>
    <s v="SG2"/>
    <m/>
    <x v="1"/>
    <x v="3"/>
    <x v="1"/>
    <x v="2"/>
    <x v="0"/>
    <x v="0"/>
    <x v="0"/>
    <m/>
    <x v="0"/>
    <x v="0"/>
    <n v="-5.9628934080000002"/>
    <m/>
    <x v="7"/>
    <x v="1"/>
    <x v="0"/>
    <x v="3"/>
    <x v="2"/>
  </r>
  <r>
    <s v="Singapore"/>
    <x v="1"/>
    <s v="SG4"/>
    <m/>
    <x v="2"/>
    <x v="3"/>
    <x v="0"/>
    <x v="0"/>
    <x v="0"/>
    <x v="0"/>
    <x v="0"/>
    <m/>
    <x v="0"/>
    <x v="0"/>
    <n v="0.44400150000000005"/>
    <m/>
    <x v="1"/>
    <x v="3"/>
    <x v="0"/>
    <x v="3"/>
    <x v="1"/>
  </r>
  <r>
    <s v="Singapore"/>
    <x v="0"/>
    <s v="SG1"/>
    <m/>
    <x v="1"/>
    <x v="3"/>
    <x v="3"/>
    <x v="0"/>
    <x v="0"/>
    <x v="0"/>
    <x v="0"/>
    <m/>
    <x v="0"/>
    <x v="0"/>
    <n v="2.0252699999999999"/>
    <m/>
    <x v="11"/>
    <x v="3"/>
    <x v="0"/>
    <x v="5"/>
    <x v="1"/>
  </r>
  <r>
    <s v="Singapore"/>
    <x v="3"/>
    <s v="SG2"/>
    <m/>
    <x v="5"/>
    <x v="3"/>
    <x v="0"/>
    <x v="5"/>
    <x v="0"/>
    <x v="0"/>
    <x v="0"/>
    <m/>
    <x v="0"/>
    <x v="0"/>
    <n v="-0.21810600000000002"/>
    <m/>
    <x v="4"/>
    <x v="2"/>
    <x v="0"/>
    <x v="5"/>
    <x v="0"/>
  </r>
  <r>
    <s v="Singapore"/>
    <x v="3"/>
    <s v="SG4"/>
    <m/>
    <x v="1"/>
    <x v="1"/>
    <x v="2"/>
    <x v="1"/>
    <x v="0"/>
    <x v="0"/>
    <x v="0"/>
    <m/>
    <x v="0"/>
    <x v="0"/>
    <n v="-2.775180744"/>
    <m/>
    <x v="4"/>
    <x v="1"/>
    <x v="0"/>
    <x v="1"/>
    <x v="2"/>
  </r>
  <r>
    <s v="Singapore"/>
    <x v="4"/>
    <s v="SG2"/>
    <m/>
    <x v="3"/>
    <x v="1"/>
    <x v="3"/>
    <x v="3"/>
    <x v="0"/>
    <x v="0"/>
    <x v="0"/>
    <m/>
    <x v="0"/>
    <x v="0"/>
    <n v="-0.26172719999999999"/>
    <m/>
    <x v="3"/>
    <x v="3"/>
    <x v="0"/>
    <x v="2"/>
    <x v="2"/>
  </r>
  <r>
    <s v="Singapore"/>
    <x v="1"/>
    <s v="SG1"/>
    <m/>
    <x v="2"/>
    <x v="2"/>
    <x v="1"/>
    <x v="1"/>
    <x v="0"/>
    <x v="0"/>
    <x v="0"/>
    <m/>
    <x v="0"/>
    <x v="0"/>
    <n v="-0.31158000000000002"/>
    <m/>
    <x v="4"/>
    <x v="0"/>
    <x v="0"/>
    <x v="2"/>
    <x v="2"/>
  </r>
  <r>
    <s v="Singapore"/>
    <x v="0"/>
    <s v="SG2"/>
    <m/>
    <x v="5"/>
    <x v="1"/>
    <x v="2"/>
    <x v="4"/>
    <x v="0"/>
    <x v="0"/>
    <x v="0"/>
    <m/>
    <x v="0"/>
    <x v="0"/>
    <n v="1.2272357250000001"/>
    <m/>
    <x v="1"/>
    <x v="3"/>
    <x v="0"/>
    <x v="1"/>
    <x v="0"/>
  </r>
  <r>
    <s v="Singapore"/>
    <x v="4"/>
    <s v="SG2"/>
    <m/>
    <x v="1"/>
    <x v="1"/>
    <x v="2"/>
    <x v="1"/>
    <x v="0"/>
    <x v="0"/>
    <x v="0"/>
    <m/>
    <x v="0"/>
    <x v="0"/>
    <n v="9.3474000000000002E-2"/>
    <m/>
    <x v="6"/>
    <x v="3"/>
    <x v="0"/>
    <x v="2"/>
    <x v="2"/>
  </r>
  <r>
    <s v="Singapore"/>
    <x v="0"/>
    <s v="SG4"/>
    <m/>
    <x v="4"/>
    <x v="2"/>
    <x v="0"/>
    <x v="4"/>
    <x v="0"/>
    <x v="0"/>
    <x v="0"/>
    <m/>
    <x v="0"/>
    <x v="0"/>
    <n v="1.480005"/>
    <m/>
    <x v="11"/>
    <x v="0"/>
    <x v="0"/>
    <x v="2"/>
    <x v="0"/>
  </r>
  <r>
    <s v="Singapore"/>
    <x v="4"/>
    <s v="SG4"/>
    <m/>
    <x v="3"/>
    <x v="0"/>
    <x v="2"/>
    <x v="4"/>
    <x v="0"/>
    <x v="0"/>
    <x v="0"/>
    <m/>
    <x v="0"/>
    <x v="0"/>
    <n v="-0.77895000000000003"/>
    <m/>
    <x v="4"/>
    <x v="1"/>
    <x v="0"/>
    <x v="3"/>
    <x v="2"/>
  </r>
  <r>
    <s v="Singapore"/>
    <x v="0"/>
    <s v="SG3"/>
    <m/>
    <x v="2"/>
    <x v="0"/>
    <x v="3"/>
    <x v="4"/>
    <x v="0"/>
    <x v="0"/>
    <x v="0"/>
    <m/>
    <x v="0"/>
    <x v="0"/>
    <n v="-7.7895000000000004E-3"/>
    <m/>
    <x v="0"/>
    <x v="0"/>
    <x v="0"/>
    <x v="3"/>
    <x v="1"/>
  </r>
  <r>
    <s v="Singapore"/>
    <x v="0"/>
    <s v="SG4"/>
    <m/>
    <x v="0"/>
    <x v="4"/>
    <x v="3"/>
    <x v="5"/>
    <x v="0"/>
    <x v="0"/>
    <x v="0"/>
    <m/>
    <x v="0"/>
    <x v="0"/>
    <n v="-0.12463200000000001"/>
    <m/>
    <x v="0"/>
    <x v="2"/>
    <x v="0"/>
    <x v="5"/>
    <x v="1"/>
  </r>
  <r>
    <s v="Singapore"/>
    <x v="5"/>
    <s v="SG1"/>
    <m/>
    <x v="1"/>
    <x v="3"/>
    <x v="2"/>
    <x v="3"/>
    <x v="0"/>
    <x v="0"/>
    <x v="0"/>
    <m/>
    <x v="0"/>
    <x v="0"/>
    <n v="0.77895000000000003"/>
    <m/>
    <x v="8"/>
    <x v="3"/>
    <x v="0"/>
    <x v="5"/>
    <x v="1"/>
  </r>
  <r>
    <s v="Singapore"/>
    <x v="1"/>
    <s v="SG4"/>
    <m/>
    <x v="3"/>
    <x v="2"/>
    <x v="2"/>
    <x v="0"/>
    <x v="0"/>
    <x v="0"/>
    <x v="0"/>
    <m/>
    <x v="0"/>
    <x v="0"/>
    <n v="0.17984397600000002"/>
    <m/>
    <x v="1"/>
    <x v="3"/>
    <x v="0"/>
    <x v="1"/>
    <x v="2"/>
  </r>
  <r>
    <s v="Singapore"/>
    <x v="3"/>
    <s v="SG4"/>
    <m/>
    <x v="2"/>
    <x v="3"/>
    <x v="4"/>
    <x v="1"/>
    <x v="0"/>
    <x v="0"/>
    <x v="0"/>
    <m/>
    <x v="0"/>
    <x v="0"/>
    <n v="1.3008465"/>
    <m/>
    <x v="1"/>
    <x v="3"/>
    <x v="0"/>
    <x v="1"/>
    <x v="2"/>
  </r>
  <r>
    <s v="Singapore"/>
    <x v="4"/>
    <s v="SG2"/>
    <m/>
    <x v="4"/>
    <x v="1"/>
    <x v="1"/>
    <x v="2"/>
    <x v="0"/>
    <x v="0"/>
    <x v="0"/>
    <m/>
    <x v="0"/>
    <x v="0"/>
    <n v="0.82880280000000006"/>
    <m/>
    <x v="3"/>
    <x v="0"/>
    <x v="0"/>
    <x v="2"/>
    <x v="0"/>
  </r>
  <r>
    <s v="Singapore"/>
    <x v="2"/>
    <s v="SG4"/>
    <m/>
    <x v="1"/>
    <x v="3"/>
    <x v="2"/>
    <x v="0"/>
    <x v="0"/>
    <x v="0"/>
    <x v="0"/>
    <m/>
    <x v="0"/>
    <x v="0"/>
    <n v="0.33723861300000002"/>
    <m/>
    <x v="0"/>
    <x v="3"/>
    <x v="0"/>
    <x v="3"/>
    <x v="0"/>
  </r>
  <r>
    <s v="Singapore"/>
    <x v="2"/>
    <s v="SG2"/>
    <m/>
    <x v="1"/>
    <x v="3"/>
    <x v="3"/>
    <x v="3"/>
    <x v="0"/>
    <x v="0"/>
    <x v="0"/>
    <m/>
    <x v="0"/>
    <x v="0"/>
    <n v="-2.3368500000000001E-3"/>
    <m/>
    <x v="3"/>
    <x v="0"/>
    <x v="0"/>
    <x v="2"/>
    <x v="2"/>
  </r>
  <r>
    <s v="Singapore"/>
    <x v="4"/>
    <s v="SG1"/>
    <m/>
    <x v="3"/>
    <x v="3"/>
    <x v="0"/>
    <x v="3"/>
    <x v="0"/>
    <x v="0"/>
    <x v="0"/>
    <m/>
    <x v="0"/>
    <x v="0"/>
    <n v="-0.11216880000000001"/>
    <m/>
    <x v="6"/>
    <x v="3"/>
    <x v="0"/>
    <x v="4"/>
    <x v="2"/>
  </r>
  <r>
    <s v="Singapore"/>
    <x v="0"/>
    <s v="SG3"/>
    <m/>
    <x v="4"/>
    <x v="0"/>
    <x v="4"/>
    <x v="2"/>
    <x v="0"/>
    <x v="0"/>
    <x v="0"/>
    <m/>
    <x v="0"/>
    <x v="0"/>
    <n v="-118.49346894600002"/>
    <m/>
    <x v="2"/>
    <x v="2"/>
    <x v="0"/>
    <x v="1"/>
    <x v="1"/>
  </r>
  <r>
    <s v="Singapore"/>
    <x v="0"/>
    <s v="SG3"/>
    <m/>
    <x v="2"/>
    <x v="2"/>
    <x v="4"/>
    <x v="2"/>
    <x v="0"/>
    <x v="0"/>
    <x v="0"/>
    <m/>
    <x v="0"/>
    <x v="0"/>
    <n v="-0.38947500000000002"/>
    <m/>
    <x v="4"/>
    <x v="2"/>
    <x v="0"/>
    <x v="4"/>
    <x v="0"/>
  </r>
  <r>
    <s v="Singapore"/>
    <x v="1"/>
    <s v="SG1"/>
    <m/>
    <x v="2"/>
    <x v="0"/>
    <x v="2"/>
    <x v="0"/>
    <x v="0"/>
    <x v="0"/>
    <x v="0"/>
    <m/>
    <x v="0"/>
    <x v="0"/>
    <n v="0.77895000000000003"/>
    <m/>
    <x v="4"/>
    <x v="2"/>
    <x v="0"/>
    <x v="5"/>
    <x v="2"/>
  </r>
  <r>
    <s v="Singapore"/>
    <x v="4"/>
    <s v="SG4"/>
    <m/>
    <x v="2"/>
    <x v="1"/>
    <x v="3"/>
    <x v="0"/>
    <x v="0"/>
    <x v="0"/>
    <x v="0"/>
    <m/>
    <x v="0"/>
    <x v="0"/>
    <n v="0.15579000000000001"/>
    <m/>
    <x v="0"/>
    <x v="1"/>
    <x v="0"/>
    <x v="4"/>
    <x v="1"/>
  </r>
  <r>
    <s v="Singapore"/>
    <x v="1"/>
    <s v="SG3"/>
    <m/>
    <x v="1"/>
    <x v="3"/>
    <x v="4"/>
    <x v="5"/>
    <x v="0"/>
    <x v="0"/>
    <x v="0"/>
    <m/>
    <x v="0"/>
    <x v="0"/>
    <n v="-5.4483969330000006"/>
    <m/>
    <x v="7"/>
    <x v="3"/>
    <x v="0"/>
    <x v="0"/>
    <x v="1"/>
  </r>
  <r>
    <s v="Singapore"/>
    <x v="0"/>
    <s v="SG3"/>
    <m/>
    <x v="4"/>
    <x v="2"/>
    <x v="1"/>
    <x v="5"/>
    <x v="0"/>
    <x v="0"/>
    <x v="0"/>
    <m/>
    <x v="0"/>
    <x v="0"/>
    <n v="0.57642300000000002"/>
    <m/>
    <x v="1"/>
    <x v="1"/>
    <x v="0"/>
    <x v="3"/>
    <x v="2"/>
  </r>
  <r>
    <s v="Singapore"/>
    <x v="0"/>
    <s v="SG1"/>
    <m/>
    <x v="4"/>
    <x v="0"/>
    <x v="2"/>
    <x v="0"/>
    <x v="0"/>
    <x v="0"/>
    <x v="0"/>
    <m/>
    <x v="0"/>
    <x v="0"/>
    <n v="-0.12463200000000001"/>
    <m/>
    <x v="0"/>
    <x v="3"/>
    <x v="0"/>
    <x v="4"/>
    <x v="0"/>
  </r>
  <r>
    <s v="Singapore"/>
    <x v="4"/>
    <s v="SG1"/>
    <m/>
    <x v="5"/>
    <x v="0"/>
    <x v="1"/>
    <x v="3"/>
    <x v="0"/>
    <x v="0"/>
    <x v="0"/>
    <m/>
    <x v="0"/>
    <x v="0"/>
    <n v="2.7263250000000001"/>
    <m/>
    <x v="1"/>
    <x v="3"/>
    <x v="0"/>
    <x v="1"/>
    <x v="0"/>
  </r>
  <r>
    <s v="Singapore"/>
    <x v="3"/>
    <s v="SG1"/>
    <m/>
    <x v="5"/>
    <x v="3"/>
    <x v="1"/>
    <x v="2"/>
    <x v="0"/>
    <x v="0"/>
    <x v="0"/>
    <m/>
    <x v="0"/>
    <x v="0"/>
    <n v="-0.12463200000000001"/>
    <m/>
    <x v="0"/>
    <x v="2"/>
    <x v="0"/>
    <x v="1"/>
    <x v="1"/>
  </r>
  <r>
    <s v="Singapore"/>
    <x v="0"/>
    <s v="SG2"/>
    <m/>
    <x v="3"/>
    <x v="1"/>
    <x v="3"/>
    <x v="0"/>
    <x v="0"/>
    <x v="0"/>
    <x v="0"/>
    <m/>
    <x v="0"/>
    <x v="0"/>
    <n v="0.280422"/>
    <m/>
    <x v="0"/>
    <x v="3"/>
    <x v="0"/>
    <x v="5"/>
    <x v="2"/>
  </r>
  <r>
    <s v="Singapore"/>
    <x v="1"/>
    <s v="SG1"/>
    <m/>
    <x v="1"/>
    <x v="2"/>
    <x v="4"/>
    <x v="2"/>
    <x v="0"/>
    <x v="0"/>
    <x v="0"/>
    <m/>
    <x v="0"/>
    <x v="0"/>
    <n v="-1.1943951930000001"/>
    <m/>
    <x v="2"/>
    <x v="0"/>
    <x v="0"/>
    <x v="5"/>
    <x v="0"/>
  </r>
  <r>
    <s v="Singapore"/>
    <x v="0"/>
    <s v="SG2"/>
    <m/>
    <x v="5"/>
    <x v="3"/>
    <x v="1"/>
    <x v="1"/>
    <x v="0"/>
    <x v="0"/>
    <x v="0"/>
    <m/>
    <x v="0"/>
    <x v="0"/>
    <n v="0.3707802"/>
    <m/>
    <x v="1"/>
    <x v="0"/>
    <x v="0"/>
    <x v="3"/>
    <x v="1"/>
  </r>
  <r>
    <s v="Singapore"/>
    <x v="5"/>
    <s v="SG3"/>
    <m/>
    <x v="3"/>
    <x v="3"/>
    <x v="4"/>
    <x v="2"/>
    <x v="0"/>
    <x v="0"/>
    <x v="0"/>
    <m/>
    <x v="0"/>
    <x v="0"/>
    <n v="0.15579000000000001"/>
    <m/>
    <x v="1"/>
    <x v="1"/>
    <x v="0"/>
    <x v="2"/>
    <x v="0"/>
  </r>
  <r>
    <s v="Singapore"/>
    <x v="4"/>
    <s v="SG2"/>
    <m/>
    <x v="4"/>
    <x v="0"/>
    <x v="0"/>
    <x v="2"/>
    <x v="0"/>
    <x v="0"/>
    <x v="0"/>
    <m/>
    <x v="0"/>
    <x v="0"/>
    <n v="0.22932288000000001"/>
    <m/>
    <x v="8"/>
    <x v="0"/>
    <x v="0"/>
    <x v="3"/>
    <x v="0"/>
  </r>
  <r>
    <s v="Singapore"/>
    <x v="5"/>
    <s v="SG4"/>
    <m/>
    <x v="2"/>
    <x v="1"/>
    <x v="3"/>
    <x v="2"/>
    <x v="0"/>
    <x v="0"/>
    <x v="0"/>
    <m/>
    <x v="0"/>
    <x v="0"/>
    <n v="1.9473750000000001"/>
    <m/>
    <x v="1"/>
    <x v="1"/>
    <x v="0"/>
    <x v="5"/>
    <x v="1"/>
  </r>
  <r>
    <s v="Singapore"/>
    <x v="1"/>
    <s v="SG1"/>
    <m/>
    <x v="3"/>
    <x v="2"/>
    <x v="4"/>
    <x v="2"/>
    <x v="0"/>
    <x v="0"/>
    <x v="0"/>
    <m/>
    <x v="0"/>
    <x v="0"/>
    <n v="-0.12463200000000001"/>
    <m/>
    <x v="0"/>
    <x v="0"/>
    <x v="0"/>
    <x v="2"/>
    <x v="2"/>
  </r>
  <r>
    <s v="Singapore"/>
    <x v="5"/>
    <s v="SG4"/>
    <m/>
    <x v="4"/>
    <x v="1"/>
    <x v="3"/>
    <x v="0"/>
    <x v="0"/>
    <x v="0"/>
    <x v="0"/>
    <m/>
    <x v="0"/>
    <x v="0"/>
    <n v="-0.37389600000000001"/>
    <m/>
    <x v="0"/>
    <x v="2"/>
    <x v="0"/>
    <x v="3"/>
    <x v="2"/>
  </r>
  <r>
    <s v="Singapore"/>
    <x v="2"/>
    <s v="SG2"/>
    <m/>
    <x v="0"/>
    <x v="4"/>
    <x v="0"/>
    <x v="5"/>
    <x v="0"/>
    <x v="0"/>
    <x v="0"/>
    <m/>
    <x v="0"/>
    <x v="0"/>
    <n v="-0.233685"/>
    <m/>
    <x v="0"/>
    <x v="0"/>
    <x v="0"/>
    <x v="5"/>
    <x v="1"/>
  </r>
  <r>
    <s v="Singapore"/>
    <x v="4"/>
    <s v="SG1"/>
    <m/>
    <x v="3"/>
    <x v="3"/>
    <x v="3"/>
    <x v="4"/>
    <x v="0"/>
    <x v="0"/>
    <x v="0"/>
    <m/>
    <x v="0"/>
    <x v="0"/>
    <n v="-0.12062819700000002"/>
    <m/>
    <x v="4"/>
    <x v="0"/>
    <x v="0"/>
    <x v="4"/>
    <x v="0"/>
  </r>
  <r>
    <s v="Singapore"/>
    <x v="5"/>
    <s v="SG4"/>
    <m/>
    <x v="5"/>
    <x v="3"/>
    <x v="1"/>
    <x v="3"/>
    <x v="0"/>
    <x v="0"/>
    <x v="0"/>
    <m/>
    <x v="0"/>
    <x v="0"/>
    <n v="6.4563582330000013"/>
    <m/>
    <x v="7"/>
    <x v="1"/>
    <x v="0"/>
    <x v="0"/>
    <x v="0"/>
  </r>
  <r>
    <s v="Singapore"/>
    <x v="4"/>
    <s v="SG4"/>
    <m/>
    <x v="3"/>
    <x v="3"/>
    <x v="0"/>
    <x v="1"/>
    <x v="0"/>
    <x v="0"/>
    <x v="0"/>
    <m/>
    <x v="0"/>
    <x v="0"/>
    <n v="0.15579000000000001"/>
    <m/>
    <x v="1"/>
    <x v="0"/>
    <x v="0"/>
    <x v="5"/>
    <x v="0"/>
  </r>
  <r>
    <s v="Singapore"/>
    <x v="5"/>
    <s v="SG2"/>
    <m/>
    <x v="3"/>
    <x v="3"/>
    <x v="2"/>
    <x v="3"/>
    <x v="0"/>
    <x v="0"/>
    <x v="0"/>
    <m/>
    <x v="0"/>
    <x v="0"/>
    <n v="-0.77895000000000003"/>
    <m/>
    <x v="4"/>
    <x v="3"/>
    <x v="0"/>
    <x v="5"/>
    <x v="2"/>
  </r>
  <r>
    <s v="Singapore"/>
    <x v="0"/>
    <s v="SG4"/>
    <m/>
    <x v="5"/>
    <x v="2"/>
    <x v="2"/>
    <x v="4"/>
    <x v="0"/>
    <x v="0"/>
    <x v="0"/>
    <m/>
    <x v="0"/>
    <x v="0"/>
    <n v="0.63436130099999999"/>
    <m/>
    <x v="8"/>
    <x v="0"/>
    <x v="0"/>
    <x v="5"/>
    <x v="2"/>
  </r>
  <r>
    <s v="Singapore"/>
    <x v="2"/>
    <s v="SG1"/>
    <m/>
    <x v="4"/>
    <x v="0"/>
    <x v="4"/>
    <x v="5"/>
    <x v="0"/>
    <x v="0"/>
    <x v="0"/>
    <m/>
    <x v="0"/>
    <x v="0"/>
    <n v="-0.62316000000000005"/>
    <m/>
    <x v="4"/>
    <x v="2"/>
    <x v="0"/>
    <x v="1"/>
    <x v="2"/>
  </r>
  <r>
    <s v="Singapore"/>
    <x v="2"/>
    <s v="SG1"/>
    <m/>
    <x v="0"/>
    <x v="4"/>
    <x v="1"/>
    <x v="4"/>
    <x v="0"/>
    <x v="0"/>
    <x v="0"/>
    <m/>
    <x v="0"/>
    <x v="0"/>
    <n v="-0.31158000000000002"/>
    <m/>
    <x v="4"/>
    <x v="0"/>
    <x v="0"/>
    <x v="5"/>
    <x v="2"/>
  </r>
  <r>
    <s v="Singapore"/>
    <x v="2"/>
    <s v="SG3"/>
    <m/>
    <x v="3"/>
    <x v="2"/>
    <x v="2"/>
    <x v="4"/>
    <x v="0"/>
    <x v="0"/>
    <x v="0"/>
    <m/>
    <x v="0"/>
    <x v="0"/>
    <n v="0.56863350000000001"/>
    <m/>
    <x v="1"/>
    <x v="3"/>
    <x v="0"/>
    <x v="4"/>
    <x v="0"/>
  </r>
  <r>
    <s v="Singapore"/>
    <x v="3"/>
    <s v="SG2"/>
    <m/>
    <x v="3"/>
    <x v="0"/>
    <x v="2"/>
    <x v="2"/>
    <x v="0"/>
    <x v="0"/>
    <x v="0"/>
    <m/>
    <x v="0"/>
    <x v="0"/>
    <n v="-3.5052750000000004E-3"/>
    <m/>
    <x v="6"/>
    <x v="1"/>
    <x v="0"/>
    <x v="0"/>
    <x v="0"/>
  </r>
  <r>
    <s v="Singapore"/>
    <x v="5"/>
    <s v="SG3"/>
    <m/>
    <x v="4"/>
    <x v="4"/>
    <x v="1"/>
    <x v="1"/>
    <x v="0"/>
    <x v="0"/>
    <x v="0"/>
    <m/>
    <x v="0"/>
    <x v="0"/>
    <n v="-2.775180744"/>
    <m/>
    <x v="4"/>
    <x v="2"/>
    <x v="0"/>
    <x v="1"/>
    <x v="2"/>
  </r>
  <r>
    <s v="Singapore"/>
    <x v="2"/>
    <s v="SG2"/>
    <m/>
    <x v="5"/>
    <x v="2"/>
    <x v="0"/>
    <x v="4"/>
    <x v="0"/>
    <x v="0"/>
    <x v="0"/>
    <m/>
    <x v="0"/>
    <x v="0"/>
    <n v="-59.747334479999999"/>
    <m/>
    <x v="1"/>
    <x v="2"/>
    <x v="0"/>
    <x v="0"/>
    <x v="0"/>
  </r>
  <r>
    <s v="Singapore"/>
    <x v="3"/>
    <s v="SG1"/>
    <m/>
    <x v="5"/>
    <x v="4"/>
    <x v="3"/>
    <x v="5"/>
    <x v="0"/>
    <x v="0"/>
    <x v="0"/>
    <m/>
    <x v="0"/>
    <x v="0"/>
    <n v="2.4926400000000002"/>
    <m/>
    <x v="11"/>
    <x v="0"/>
    <x v="0"/>
    <x v="0"/>
    <x v="2"/>
  </r>
  <r>
    <s v="Singapore"/>
    <x v="5"/>
    <s v="SG2"/>
    <m/>
    <x v="3"/>
    <x v="1"/>
    <x v="1"/>
    <x v="5"/>
    <x v="0"/>
    <x v="0"/>
    <x v="0"/>
    <m/>
    <x v="0"/>
    <x v="0"/>
    <n v="0.28012599900000001"/>
    <m/>
    <x v="0"/>
    <x v="0"/>
    <x v="0"/>
    <x v="3"/>
    <x v="0"/>
  </r>
  <r>
    <s v="Singapore"/>
    <x v="5"/>
    <s v="SG4"/>
    <m/>
    <x v="1"/>
    <x v="0"/>
    <x v="3"/>
    <x v="2"/>
    <x v="0"/>
    <x v="0"/>
    <x v="0"/>
    <m/>
    <x v="0"/>
    <x v="0"/>
    <n v="-0.77895000000000003"/>
    <m/>
    <x v="4"/>
    <x v="3"/>
    <x v="0"/>
    <x v="2"/>
    <x v="0"/>
  </r>
  <r>
    <s v="Singapore"/>
    <x v="3"/>
    <s v="SG1"/>
    <m/>
    <x v="4"/>
    <x v="3"/>
    <x v="2"/>
    <x v="2"/>
    <x v="0"/>
    <x v="0"/>
    <x v="0"/>
    <m/>
    <x v="0"/>
    <x v="0"/>
    <n v="1.0801232280000002"/>
    <m/>
    <x v="1"/>
    <x v="2"/>
    <x v="0"/>
    <x v="1"/>
    <x v="0"/>
  </r>
  <r>
    <s v="Singapore"/>
    <x v="4"/>
    <s v="SG2"/>
    <m/>
    <x v="2"/>
    <x v="0"/>
    <x v="2"/>
    <x v="5"/>
    <x v="0"/>
    <x v="0"/>
    <x v="0"/>
    <m/>
    <x v="0"/>
    <x v="0"/>
    <n v="0.15968475000000001"/>
    <m/>
    <x v="7"/>
    <x v="1"/>
    <x v="0"/>
    <x v="5"/>
    <x v="0"/>
  </r>
  <r>
    <s v="Singapore"/>
    <x v="0"/>
    <s v="SG1"/>
    <m/>
    <x v="5"/>
    <x v="2"/>
    <x v="4"/>
    <x v="2"/>
    <x v="0"/>
    <x v="0"/>
    <x v="0"/>
    <m/>
    <x v="0"/>
    <x v="0"/>
    <n v="-0.233685"/>
    <m/>
    <x v="0"/>
    <x v="2"/>
    <x v="0"/>
    <x v="0"/>
    <x v="0"/>
  </r>
  <r>
    <s v="Singapore"/>
    <x v="4"/>
    <s v="SG1"/>
    <m/>
    <x v="0"/>
    <x v="1"/>
    <x v="0"/>
    <x v="2"/>
    <x v="0"/>
    <x v="0"/>
    <x v="0"/>
    <m/>
    <x v="0"/>
    <x v="0"/>
    <n v="-0.12463200000000001"/>
    <m/>
    <x v="4"/>
    <x v="1"/>
    <x v="0"/>
    <x v="5"/>
    <x v="0"/>
  </r>
  <r>
    <s v="Singapore"/>
    <x v="5"/>
    <s v="SG1"/>
    <m/>
    <x v="2"/>
    <x v="0"/>
    <x v="4"/>
    <x v="4"/>
    <x v="0"/>
    <x v="0"/>
    <x v="0"/>
    <m/>
    <x v="0"/>
    <x v="0"/>
    <n v="-4.6737000000000002"/>
    <m/>
    <x v="4"/>
    <x v="3"/>
    <x v="0"/>
    <x v="4"/>
    <x v="1"/>
  </r>
  <r>
    <s v="Singapore"/>
    <x v="5"/>
    <s v="SG3"/>
    <m/>
    <x v="2"/>
    <x v="4"/>
    <x v="2"/>
    <x v="0"/>
    <x v="0"/>
    <x v="0"/>
    <x v="0"/>
    <m/>
    <x v="0"/>
    <x v="0"/>
    <n v="-0.93474000000000002"/>
    <m/>
    <x v="4"/>
    <x v="0"/>
    <x v="0"/>
    <x v="0"/>
    <x v="2"/>
  </r>
  <r>
    <s v="Singapore"/>
    <x v="3"/>
    <s v="SG2"/>
    <m/>
    <x v="0"/>
    <x v="1"/>
    <x v="4"/>
    <x v="2"/>
    <x v="0"/>
    <x v="0"/>
    <x v="0"/>
    <m/>
    <x v="0"/>
    <x v="0"/>
    <n v="-2.477061"/>
    <m/>
    <x v="4"/>
    <x v="1"/>
    <x v="0"/>
    <x v="3"/>
    <x v="1"/>
  </r>
  <r>
    <s v="Singapore"/>
    <x v="2"/>
    <s v="SG3"/>
    <m/>
    <x v="2"/>
    <x v="2"/>
    <x v="4"/>
    <x v="3"/>
    <x v="0"/>
    <x v="0"/>
    <x v="0"/>
    <m/>
    <x v="0"/>
    <x v="0"/>
    <n v="-4.0505400000000004E-2"/>
    <m/>
    <x v="3"/>
    <x v="2"/>
    <x v="0"/>
    <x v="3"/>
    <x v="0"/>
  </r>
  <r>
    <s v="Singapore"/>
    <x v="3"/>
    <s v="SG3"/>
    <m/>
    <x v="1"/>
    <x v="2"/>
    <x v="2"/>
    <x v="3"/>
    <x v="0"/>
    <x v="0"/>
    <x v="0"/>
    <m/>
    <x v="0"/>
    <x v="0"/>
    <n v="7.6337100000000007"/>
    <m/>
    <x v="7"/>
    <x v="3"/>
    <x v="0"/>
    <x v="1"/>
    <x v="2"/>
  </r>
  <r>
    <s v="Singapore"/>
    <x v="1"/>
    <s v="SG3"/>
    <m/>
    <x v="4"/>
    <x v="0"/>
    <x v="1"/>
    <x v="5"/>
    <x v="0"/>
    <x v="0"/>
    <x v="0"/>
    <m/>
    <x v="0"/>
    <x v="0"/>
    <n v="0.21031650000000002"/>
    <m/>
    <x v="1"/>
    <x v="1"/>
    <x v="0"/>
    <x v="2"/>
    <x v="1"/>
  </r>
  <r>
    <s v="Singapore"/>
    <x v="0"/>
    <s v="SG3"/>
    <m/>
    <x v="5"/>
    <x v="4"/>
    <x v="0"/>
    <x v="5"/>
    <x v="0"/>
    <x v="0"/>
    <x v="0"/>
    <m/>
    <x v="0"/>
    <x v="0"/>
    <n v="-0.46737000000000001"/>
    <m/>
    <x v="0"/>
    <x v="1"/>
    <x v="0"/>
    <x v="0"/>
    <x v="1"/>
  </r>
  <r>
    <s v="Singapore"/>
    <x v="1"/>
    <s v="SG1"/>
    <m/>
    <x v="4"/>
    <x v="4"/>
    <x v="3"/>
    <x v="2"/>
    <x v="0"/>
    <x v="0"/>
    <x v="0"/>
    <m/>
    <x v="0"/>
    <x v="0"/>
    <n v="-0.77895000000000003"/>
    <m/>
    <x v="4"/>
    <x v="2"/>
    <x v="0"/>
    <x v="4"/>
    <x v="2"/>
  </r>
  <r>
    <s v="Singapore"/>
    <x v="2"/>
    <s v="SG2"/>
    <m/>
    <x v="1"/>
    <x v="2"/>
    <x v="0"/>
    <x v="5"/>
    <x v="0"/>
    <x v="0"/>
    <x v="0"/>
    <m/>
    <x v="0"/>
    <x v="0"/>
    <n v="-0.24926400000000001"/>
    <m/>
    <x v="0"/>
    <x v="1"/>
    <x v="0"/>
    <x v="5"/>
    <x v="0"/>
  </r>
  <r>
    <s v="Singapore"/>
    <x v="3"/>
    <s v="SG1"/>
    <m/>
    <x v="4"/>
    <x v="2"/>
    <x v="3"/>
    <x v="2"/>
    <x v="0"/>
    <x v="0"/>
    <x v="0"/>
    <m/>
    <x v="0"/>
    <x v="0"/>
    <n v="-0.233685"/>
    <m/>
    <x v="0"/>
    <x v="3"/>
    <x v="0"/>
    <x v="2"/>
    <x v="0"/>
  </r>
  <r>
    <s v="Singapore"/>
    <x v="5"/>
    <s v="SG3"/>
    <m/>
    <x v="5"/>
    <x v="2"/>
    <x v="2"/>
    <x v="0"/>
    <x v="0"/>
    <x v="0"/>
    <x v="0"/>
    <m/>
    <x v="0"/>
    <x v="0"/>
    <n v="1.2272357250000001"/>
    <m/>
    <x v="1"/>
    <x v="1"/>
    <x v="0"/>
    <x v="1"/>
    <x v="2"/>
  </r>
  <r>
    <s v="Singapore"/>
    <x v="5"/>
    <s v="SG2"/>
    <m/>
    <x v="1"/>
    <x v="1"/>
    <x v="3"/>
    <x v="2"/>
    <x v="0"/>
    <x v="0"/>
    <x v="0"/>
    <m/>
    <x v="0"/>
    <x v="0"/>
    <n v="-12.089304"/>
    <m/>
    <x v="4"/>
    <x v="3"/>
    <x v="0"/>
    <x v="3"/>
    <x v="0"/>
  </r>
  <r>
    <s v="Singapore"/>
    <x v="0"/>
    <s v="SG4"/>
    <m/>
    <x v="4"/>
    <x v="0"/>
    <x v="3"/>
    <x v="4"/>
    <x v="0"/>
    <x v="0"/>
    <x v="0"/>
    <m/>
    <x v="0"/>
    <x v="0"/>
    <n v="-0.12463200000000001"/>
    <m/>
    <x v="4"/>
    <x v="0"/>
    <x v="0"/>
    <x v="2"/>
    <x v="2"/>
  </r>
  <r>
    <s v="Singapore"/>
    <x v="2"/>
    <s v="SG4"/>
    <m/>
    <x v="3"/>
    <x v="4"/>
    <x v="4"/>
    <x v="2"/>
    <x v="0"/>
    <x v="0"/>
    <x v="0"/>
    <m/>
    <x v="0"/>
    <x v="0"/>
    <n v="-0.1168425"/>
    <m/>
    <x v="0"/>
    <x v="0"/>
    <x v="0"/>
    <x v="4"/>
    <x v="1"/>
  </r>
  <r>
    <s v="Singapore"/>
    <x v="5"/>
    <s v="SG2"/>
    <m/>
    <x v="5"/>
    <x v="1"/>
    <x v="3"/>
    <x v="1"/>
    <x v="0"/>
    <x v="0"/>
    <x v="0"/>
    <m/>
    <x v="0"/>
    <x v="0"/>
    <n v="0.15579000000000001"/>
    <m/>
    <x v="1"/>
    <x v="0"/>
    <x v="0"/>
    <x v="2"/>
    <x v="0"/>
  </r>
  <r>
    <s v="Singapore"/>
    <x v="0"/>
    <s v="SG3"/>
    <m/>
    <x v="4"/>
    <x v="4"/>
    <x v="0"/>
    <x v="3"/>
    <x v="0"/>
    <x v="0"/>
    <x v="0"/>
    <m/>
    <x v="0"/>
    <x v="0"/>
    <n v="2.4926400000000002"/>
    <m/>
    <x v="1"/>
    <x v="3"/>
    <x v="0"/>
    <x v="0"/>
    <x v="2"/>
  </r>
  <r>
    <s v="Singapore"/>
    <x v="0"/>
    <s v="SG2"/>
    <m/>
    <x v="5"/>
    <x v="2"/>
    <x v="3"/>
    <x v="3"/>
    <x v="0"/>
    <x v="0"/>
    <x v="0"/>
    <m/>
    <x v="0"/>
    <x v="0"/>
    <n v="-1.5579000000000001E-2"/>
    <m/>
    <x v="0"/>
    <x v="1"/>
    <x v="0"/>
    <x v="0"/>
    <x v="0"/>
  </r>
  <r>
    <s v="Singapore"/>
    <x v="0"/>
    <s v="SG2"/>
    <m/>
    <x v="1"/>
    <x v="1"/>
    <x v="0"/>
    <x v="3"/>
    <x v="0"/>
    <x v="0"/>
    <x v="0"/>
    <m/>
    <x v="0"/>
    <x v="0"/>
    <n v="-3.5831700000000004"/>
    <m/>
    <x v="1"/>
    <x v="3"/>
    <x v="0"/>
    <x v="5"/>
    <x v="1"/>
  </r>
  <r>
    <s v="Singapore"/>
    <x v="3"/>
    <s v="SG2"/>
    <m/>
    <x v="5"/>
    <x v="0"/>
    <x v="3"/>
    <x v="3"/>
    <x v="0"/>
    <x v="0"/>
    <x v="0"/>
    <m/>
    <x v="0"/>
    <x v="0"/>
    <n v="-0.93474000000000002"/>
    <m/>
    <x v="4"/>
    <x v="1"/>
    <x v="0"/>
    <x v="4"/>
    <x v="0"/>
  </r>
  <r>
    <s v="Singapore"/>
    <x v="4"/>
    <s v="SG4"/>
    <m/>
    <x v="0"/>
    <x v="1"/>
    <x v="4"/>
    <x v="2"/>
    <x v="0"/>
    <x v="0"/>
    <x v="0"/>
    <m/>
    <x v="0"/>
    <x v="0"/>
    <n v="-9.3474000000000005E-3"/>
    <m/>
    <x v="3"/>
    <x v="3"/>
    <x v="0"/>
    <x v="4"/>
    <x v="1"/>
  </r>
  <r>
    <s v="Singapore"/>
    <x v="5"/>
    <s v="SG1"/>
    <m/>
    <x v="5"/>
    <x v="3"/>
    <x v="2"/>
    <x v="2"/>
    <x v="0"/>
    <x v="0"/>
    <x v="0"/>
    <m/>
    <x v="0"/>
    <x v="0"/>
    <n v="1.0801232280000002"/>
    <m/>
    <x v="1"/>
    <x v="3"/>
    <x v="0"/>
    <x v="0"/>
    <x v="2"/>
  </r>
  <r>
    <s v="Singapore"/>
    <x v="1"/>
    <s v="SG3"/>
    <m/>
    <x v="4"/>
    <x v="0"/>
    <x v="3"/>
    <x v="2"/>
    <x v="0"/>
    <x v="0"/>
    <x v="0"/>
    <m/>
    <x v="0"/>
    <x v="0"/>
    <n v="-0.15579000000000001"/>
    <m/>
    <x v="4"/>
    <x v="2"/>
    <x v="0"/>
    <x v="1"/>
    <x v="2"/>
  </r>
  <r>
    <s v="Singapore"/>
    <x v="2"/>
    <s v="SG4"/>
    <m/>
    <x v="0"/>
    <x v="1"/>
    <x v="0"/>
    <x v="2"/>
    <x v="0"/>
    <x v="0"/>
    <x v="0"/>
    <m/>
    <x v="0"/>
    <x v="0"/>
    <n v="1.2272357250000001"/>
    <m/>
    <x v="1"/>
    <x v="1"/>
    <x v="0"/>
    <x v="5"/>
    <x v="2"/>
  </r>
  <r>
    <s v="Singapore"/>
    <x v="5"/>
    <s v="SG4"/>
    <m/>
    <x v="1"/>
    <x v="0"/>
    <x v="3"/>
    <x v="1"/>
    <x v="0"/>
    <x v="0"/>
    <x v="0"/>
    <m/>
    <x v="0"/>
    <x v="0"/>
    <n v="-0.60758100000000004"/>
    <m/>
    <x v="1"/>
    <x v="0"/>
    <x v="0"/>
    <x v="4"/>
    <x v="2"/>
  </r>
  <r>
    <s v="Singapore"/>
    <x v="0"/>
    <s v="SG2"/>
    <m/>
    <x v="0"/>
    <x v="3"/>
    <x v="4"/>
    <x v="4"/>
    <x v="0"/>
    <x v="0"/>
    <x v="0"/>
    <m/>
    <x v="0"/>
    <x v="0"/>
    <n v="-2.7730620000000004"/>
    <m/>
    <x v="4"/>
    <x v="1"/>
    <x v="0"/>
    <x v="3"/>
    <x v="2"/>
  </r>
  <r>
    <s v="Singapore"/>
    <x v="4"/>
    <s v="SG4"/>
    <m/>
    <x v="3"/>
    <x v="2"/>
    <x v="1"/>
    <x v="0"/>
    <x v="0"/>
    <x v="0"/>
    <x v="0"/>
    <m/>
    <x v="0"/>
    <x v="0"/>
    <n v="-0.33728535000000004"/>
    <m/>
    <x v="3"/>
    <x v="0"/>
    <x v="0"/>
    <x v="5"/>
    <x v="0"/>
  </r>
  <r>
    <s v="Singapore"/>
    <x v="5"/>
    <s v="SG1"/>
    <m/>
    <x v="5"/>
    <x v="1"/>
    <x v="4"/>
    <x v="5"/>
    <x v="0"/>
    <x v="0"/>
    <x v="0"/>
    <m/>
    <x v="0"/>
    <x v="0"/>
    <n v="-0.81010800000000005"/>
    <m/>
    <x v="4"/>
    <x v="3"/>
    <x v="0"/>
    <x v="4"/>
    <x v="1"/>
  </r>
  <r>
    <s v="Singapore"/>
    <x v="1"/>
    <s v="SG1"/>
    <m/>
    <x v="1"/>
    <x v="2"/>
    <x v="3"/>
    <x v="5"/>
    <x v="0"/>
    <x v="0"/>
    <x v="0"/>
    <m/>
    <x v="0"/>
    <x v="0"/>
    <n v="-0.12463200000000001"/>
    <m/>
    <x v="0"/>
    <x v="2"/>
    <x v="0"/>
    <x v="3"/>
    <x v="1"/>
  </r>
  <r>
    <s v="Singapore"/>
    <x v="2"/>
    <s v="SG2"/>
    <m/>
    <x v="4"/>
    <x v="1"/>
    <x v="2"/>
    <x v="3"/>
    <x v="0"/>
    <x v="0"/>
    <x v="0"/>
    <m/>
    <x v="0"/>
    <x v="0"/>
    <n v="-5.4483969330000006"/>
    <m/>
    <x v="6"/>
    <x v="2"/>
    <x v="0"/>
    <x v="1"/>
    <x v="0"/>
  </r>
  <r>
    <s v="Singapore"/>
    <x v="1"/>
    <s v="SG1"/>
    <m/>
    <x v="5"/>
    <x v="2"/>
    <x v="1"/>
    <x v="0"/>
    <x v="0"/>
    <x v="0"/>
    <x v="0"/>
    <m/>
    <x v="0"/>
    <x v="0"/>
    <n v="-0.12463200000000001"/>
    <m/>
    <x v="0"/>
    <x v="3"/>
    <x v="0"/>
    <x v="3"/>
    <x v="0"/>
  </r>
  <r>
    <s v="Singapore"/>
    <x v="1"/>
    <s v="SG1"/>
    <m/>
    <x v="5"/>
    <x v="4"/>
    <x v="2"/>
    <x v="5"/>
    <x v="0"/>
    <x v="0"/>
    <x v="0"/>
    <m/>
    <x v="0"/>
    <x v="0"/>
    <n v="-1.3036974570000002"/>
    <m/>
    <x v="8"/>
    <x v="2"/>
    <x v="0"/>
    <x v="0"/>
    <x v="0"/>
  </r>
  <r>
    <s v="Singapore"/>
    <x v="4"/>
    <s v="SG1"/>
    <m/>
    <x v="0"/>
    <x v="4"/>
    <x v="2"/>
    <x v="5"/>
    <x v="0"/>
    <x v="0"/>
    <x v="0"/>
    <m/>
    <x v="0"/>
    <x v="0"/>
    <n v="-315.52538175000001"/>
    <m/>
    <x v="2"/>
    <x v="0"/>
    <x v="0"/>
    <x v="1"/>
    <x v="1"/>
  </r>
  <r>
    <s v="Singapore"/>
    <x v="1"/>
    <s v="SG1"/>
    <m/>
    <x v="2"/>
    <x v="4"/>
    <x v="0"/>
    <x v="5"/>
    <x v="0"/>
    <x v="0"/>
    <x v="0"/>
    <m/>
    <x v="0"/>
    <x v="0"/>
    <n v="0.51410699999999998"/>
    <m/>
    <x v="1"/>
    <x v="0"/>
    <x v="0"/>
    <x v="3"/>
    <x v="2"/>
  </r>
  <r>
    <s v="Singapore"/>
    <x v="1"/>
    <s v="SG1"/>
    <m/>
    <x v="5"/>
    <x v="2"/>
    <x v="1"/>
    <x v="0"/>
    <x v="0"/>
    <x v="0"/>
    <x v="0"/>
    <m/>
    <x v="0"/>
    <x v="0"/>
    <n v="0.20252700000000001"/>
    <m/>
    <x v="1"/>
    <x v="3"/>
    <x v="0"/>
    <x v="0"/>
    <x v="0"/>
  </r>
  <r>
    <s v="Singapore"/>
    <x v="4"/>
    <s v="SG3"/>
    <m/>
    <x v="4"/>
    <x v="3"/>
    <x v="4"/>
    <x v="4"/>
    <x v="0"/>
    <x v="0"/>
    <x v="0"/>
    <m/>
    <x v="0"/>
    <x v="0"/>
    <n v="-1.1086951140000001"/>
    <m/>
    <x v="6"/>
    <x v="0"/>
    <x v="0"/>
    <x v="5"/>
    <x v="0"/>
  </r>
  <r>
    <s v="Singapore"/>
    <x v="1"/>
    <s v="SG2"/>
    <m/>
    <x v="2"/>
    <x v="3"/>
    <x v="3"/>
    <x v="2"/>
    <x v="0"/>
    <x v="0"/>
    <x v="0"/>
    <m/>
    <x v="0"/>
    <x v="0"/>
    <n v="-7.0105500000000001E-2"/>
    <m/>
    <x v="4"/>
    <x v="1"/>
    <x v="0"/>
    <x v="3"/>
    <x v="2"/>
  </r>
  <r>
    <s v="Singapore"/>
    <x v="4"/>
    <s v="SG1"/>
    <m/>
    <x v="4"/>
    <x v="0"/>
    <x v="0"/>
    <x v="0"/>
    <x v="0"/>
    <x v="0"/>
    <x v="0"/>
    <m/>
    <x v="0"/>
    <x v="0"/>
    <n v="1.7837955000000001"/>
    <m/>
    <x v="1"/>
    <x v="0"/>
    <x v="0"/>
    <x v="0"/>
    <x v="0"/>
  </r>
  <r>
    <s v="Singapore"/>
    <x v="3"/>
    <s v="SG2"/>
    <m/>
    <x v="5"/>
    <x v="0"/>
    <x v="2"/>
    <x v="2"/>
    <x v="0"/>
    <x v="0"/>
    <x v="0"/>
    <m/>
    <x v="0"/>
    <x v="0"/>
    <n v="-1.5579000000000001E-2"/>
    <m/>
    <x v="0"/>
    <x v="0"/>
    <x v="0"/>
    <x v="5"/>
    <x v="1"/>
  </r>
  <r>
    <s v="Singapore"/>
    <x v="3"/>
    <s v="SG1"/>
    <m/>
    <x v="1"/>
    <x v="4"/>
    <x v="4"/>
    <x v="1"/>
    <x v="0"/>
    <x v="0"/>
    <x v="0"/>
    <m/>
    <x v="0"/>
    <x v="0"/>
    <n v="0.17136900000000002"/>
    <m/>
    <x v="7"/>
    <x v="2"/>
    <x v="0"/>
    <x v="0"/>
    <x v="0"/>
  </r>
  <r>
    <s v="Singapore"/>
    <x v="0"/>
    <s v="SG1"/>
    <m/>
    <x v="1"/>
    <x v="2"/>
    <x v="2"/>
    <x v="3"/>
    <x v="0"/>
    <x v="0"/>
    <x v="0"/>
    <m/>
    <x v="0"/>
    <x v="0"/>
    <n v="-0.12463200000000001"/>
    <m/>
    <x v="0"/>
    <x v="1"/>
    <x v="0"/>
    <x v="3"/>
    <x v="2"/>
  </r>
  <r>
    <s v="Singapore"/>
    <x v="0"/>
    <s v="SG1"/>
    <m/>
    <x v="4"/>
    <x v="1"/>
    <x v="3"/>
    <x v="5"/>
    <x v="0"/>
    <x v="0"/>
    <x v="0"/>
    <m/>
    <x v="0"/>
    <x v="0"/>
    <n v="-0.10905300000000001"/>
    <m/>
    <x v="4"/>
    <x v="3"/>
    <x v="0"/>
    <x v="4"/>
    <x v="1"/>
  </r>
  <r>
    <s v="Singapore"/>
    <x v="3"/>
    <s v="SG2"/>
    <m/>
    <x v="2"/>
    <x v="4"/>
    <x v="2"/>
    <x v="0"/>
    <x v="0"/>
    <x v="0"/>
    <x v="0"/>
    <m/>
    <x v="0"/>
    <x v="0"/>
    <n v="6.7612859999999997E-2"/>
    <m/>
    <x v="8"/>
    <x v="1"/>
    <x v="0"/>
    <x v="1"/>
    <x v="2"/>
  </r>
  <r>
    <s v="Singapore"/>
    <x v="5"/>
    <s v="SG1"/>
    <m/>
    <x v="0"/>
    <x v="4"/>
    <x v="3"/>
    <x v="5"/>
    <x v="0"/>
    <x v="0"/>
    <x v="0"/>
    <m/>
    <x v="0"/>
    <x v="0"/>
    <n v="-7.7895000000000006E-2"/>
    <m/>
    <x v="0"/>
    <x v="3"/>
    <x v="0"/>
    <x v="0"/>
    <x v="1"/>
  </r>
  <r>
    <s v="Singapore"/>
    <x v="1"/>
    <s v="SG1"/>
    <m/>
    <x v="4"/>
    <x v="3"/>
    <x v="2"/>
    <x v="4"/>
    <x v="0"/>
    <x v="0"/>
    <x v="0"/>
    <m/>
    <x v="0"/>
    <x v="0"/>
    <n v="1.2774780000000001"/>
    <m/>
    <x v="1"/>
    <x v="3"/>
    <x v="0"/>
    <x v="0"/>
    <x v="0"/>
  </r>
  <r>
    <s v="Singapore"/>
    <x v="4"/>
    <s v="SG4"/>
    <m/>
    <x v="1"/>
    <x v="4"/>
    <x v="1"/>
    <x v="4"/>
    <x v="0"/>
    <x v="0"/>
    <x v="0"/>
    <m/>
    <x v="0"/>
    <x v="0"/>
    <n v="-0.21810600000000002"/>
    <m/>
    <x v="4"/>
    <x v="0"/>
    <x v="0"/>
    <x v="3"/>
    <x v="0"/>
  </r>
  <r>
    <s v="Singapore"/>
    <x v="3"/>
    <s v="SG3"/>
    <m/>
    <x v="2"/>
    <x v="3"/>
    <x v="1"/>
    <x v="0"/>
    <x v="0"/>
    <x v="0"/>
    <x v="0"/>
    <m/>
    <x v="0"/>
    <x v="0"/>
    <n v="-0.12463200000000001"/>
    <m/>
    <x v="0"/>
    <x v="1"/>
    <x v="0"/>
    <x v="1"/>
    <x v="1"/>
  </r>
  <r>
    <s v="Singapore"/>
    <x v="2"/>
    <s v="SG2"/>
    <m/>
    <x v="1"/>
    <x v="1"/>
    <x v="0"/>
    <x v="2"/>
    <x v="0"/>
    <x v="0"/>
    <x v="0"/>
    <m/>
    <x v="0"/>
    <x v="0"/>
    <n v="-0.186948"/>
    <m/>
    <x v="4"/>
    <x v="2"/>
    <x v="0"/>
    <x v="2"/>
    <x v="2"/>
  </r>
  <r>
    <s v="Singapore"/>
    <x v="2"/>
    <s v="SG1"/>
    <m/>
    <x v="3"/>
    <x v="1"/>
    <x v="1"/>
    <x v="5"/>
    <x v="0"/>
    <x v="0"/>
    <x v="0"/>
    <m/>
    <x v="0"/>
    <x v="0"/>
    <n v="-0.12463200000000001"/>
    <m/>
    <x v="0"/>
    <x v="3"/>
    <x v="0"/>
    <x v="0"/>
    <x v="0"/>
  </r>
  <r>
    <s v="Singapore"/>
    <x v="0"/>
    <s v="SG1"/>
    <m/>
    <x v="2"/>
    <x v="0"/>
    <x v="4"/>
    <x v="5"/>
    <x v="0"/>
    <x v="0"/>
    <x v="0"/>
    <m/>
    <x v="0"/>
    <x v="0"/>
    <n v="-1.2463200000000001"/>
    <m/>
    <x v="0"/>
    <x v="3"/>
    <x v="0"/>
    <x v="4"/>
    <x v="1"/>
  </r>
  <r>
    <s v="Singapore"/>
    <x v="3"/>
    <s v="SG1"/>
    <m/>
    <x v="5"/>
    <x v="2"/>
    <x v="4"/>
    <x v="3"/>
    <x v="0"/>
    <x v="0"/>
    <x v="0"/>
    <m/>
    <x v="0"/>
    <x v="0"/>
    <n v="-3.1158000000000002E-2"/>
    <m/>
    <x v="0"/>
    <x v="1"/>
    <x v="0"/>
    <x v="5"/>
    <x v="2"/>
  </r>
  <r>
    <s v="Singapore"/>
    <x v="3"/>
    <s v="SG3"/>
    <m/>
    <x v="5"/>
    <x v="0"/>
    <x v="2"/>
    <x v="3"/>
    <x v="0"/>
    <x v="0"/>
    <x v="0"/>
    <m/>
    <x v="0"/>
    <x v="0"/>
    <n v="-0.21810600000000002"/>
    <m/>
    <x v="1"/>
    <x v="0"/>
    <x v="0"/>
    <x v="2"/>
    <x v="2"/>
  </r>
  <r>
    <s v="Singapore"/>
    <x v="0"/>
    <s v="SG1"/>
    <m/>
    <x v="1"/>
    <x v="1"/>
    <x v="2"/>
    <x v="0"/>
    <x v="0"/>
    <x v="0"/>
    <x v="0"/>
    <m/>
    <x v="0"/>
    <x v="0"/>
    <n v="-0.43621200000000004"/>
    <m/>
    <x v="0"/>
    <x v="1"/>
    <x v="0"/>
    <x v="4"/>
    <x v="1"/>
  </r>
  <r>
    <s v="Singapore"/>
    <x v="5"/>
    <s v="SG3"/>
    <m/>
    <x v="5"/>
    <x v="0"/>
    <x v="4"/>
    <x v="0"/>
    <x v="0"/>
    <x v="0"/>
    <x v="0"/>
    <m/>
    <x v="0"/>
    <x v="0"/>
    <n v="1.0801232280000002"/>
    <m/>
    <x v="1"/>
    <x v="1"/>
    <x v="0"/>
    <x v="3"/>
    <x v="2"/>
  </r>
  <r>
    <s v="Singapore"/>
    <x v="5"/>
    <s v="SG2"/>
    <m/>
    <x v="2"/>
    <x v="4"/>
    <x v="4"/>
    <x v="2"/>
    <x v="0"/>
    <x v="0"/>
    <x v="0"/>
    <m/>
    <x v="0"/>
    <x v="0"/>
    <n v="5.2282345049999996"/>
    <m/>
    <x v="7"/>
    <x v="3"/>
    <x v="0"/>
    <x v="1"/>
    <x v="0"/>
  </r>
  <r>
    <s v="Singapore"/>
    <x v="4"/>
    <s v="SG1"/>
    <m/>
    <x v="0"/>
    <x v="4"/>
    <x v="1"/>
    <x v="0"/>
    <x v="0"/>
    <x v="0"/>
    <x v="0"/>
    <m/>
    <x v="0"/>
    <x v="0"/>
    <n v="0.51410699999999998"/>
    <m/>
    <x v="1"/>
    <x v="3"/>
    <x v="0"/>
    <x v="4"/>
    <x v="0"/>
  </r>
  <r>
    <s v="Singapore"/>
    <x v="0"/>
    <s v="SG1"/>
    <m/>
    <x v="4"/>
    <x v="2"/>
    <x v="4"/>
    <x v="5"/>
    <x v="0"/>
    <x v="0"/>
    <x v="0"/>
    <m/>
    <x v="0"/>
    <x v="0"/>
    <n v="-38.204070120000004"/>
    <m/>
    <x v="3"/>
    <x v="2"/>
    <x v="0"/>
    <x v="5"/>
    <x v="0"/>
  </r>
  <r>
    <s v="Singapore"/>
    <x v="0"/>
    <s v="SG3"/>
    <m/>
    <x v="2"/>
    <x v="3"/>
    <x v="3"/>
    <x v="1"/>
    <x v="0"/>
    <x v="0"/>
    <x v="0"/>
    <m/>
    <x v="0"/>
    <x v="0"/>
    <n v="-0.186948"/>
    <m/>
    <x v="0"/>
    <x v="3"/>
    <x v="0"/>
    <x v="0"/>
    <x v="0"/>
  </r>
  <r>
    <s v="Singapore"/>
    <x v="5"/>
    <s v="SG2"/>
    <m/>
    <x v="3"/>
    <x v="4"/>
    <x v="1"/>
    <x v="1"/>
    <x v="0"/>
    <x v="0"/>
    <x v="0"/>
    <m/>
    <x v="0"/>
    <x v="0"/>
    <n v="-0.233685"/>
    <m/>
    <x v="0"/>
    <x v="2"/>
    <x v="0"/>
    <x v="0"/>
    <x v="0"/>
  </r>
  <r>
    <s v="Singapore"/>
    <x v="4"/>
    <s v="SG2"/>
    <m/>
    <x v="2"/>
    <x v="3"/>
    <x v="1"/>
    <x v="5"/>
    <x v="0"/>
    <x v="0"/>
    <x v="0"/>
    <m/>
    <x v="0"/>
    <x v="0"/>
    <n v="3.0379050000000003"/>
    <m/>
    <x v="7"/>
    <x v="3"/>
    <x v="0"/>
    <x v="1"/>
    <x v="2"/>
  </r>
  <r>
    <s v="Singapore"/>
    <x v="3"/>
    <s v="SG4"/>
    <m/>
    <x v="5"/>
    <x v="1"/>
    <x v="4"/>
    <x v="3"/>
    <x v="0"/>
    <x v="0"/>
    <x v="0"/>
    <m/>
    <x v="0"/>
    <x v="0"/>
    <n v="-0.12463200000000001"/>
    <m/>
    <x v="0"/>
    <x v="2"/>
    <x v="0"/>
    <x v="5"/>
    <x v="1"/>
  </r>
  <r>
    <s v="Singapore"/>
    <x v="0"/>
    <s v="SG4"/>
    <m/>
    <x v="1"/>
    <x v="1"/>
    <x v="2"/>
    <x v="4"/>
    <x v="0"/>
    <x v="0"/>
    <x v="0"/>
    <m/>
    <x v="0"/>
    <x v="0"/>
    <n v="-6.2316000000000003"/>
    <m/>
    <x v="8"/>
    <x v="1"/>
    <x v="0"/>
    <x v="4"/>
    <x v="2"/>
  </r>
  <r>
    <s v="Singapore"/>
    <x v="0"/>
    <s v="SG3"/>
    <m/>
    <x v="3"/>
    <x v="0"/>
    <x v="1"/>
    <x v="5"/>
    <x v="0"/>
    <x v="0"/>
    <x v="0"/>
    <m/>
    <x v="0"/>
    <x v="0"/>
    <n v="-0.15579000000000001"/>
    <m/>
    <x v="0"/>
    <x v="0"/>
    <x v="0"/>
    <x v="5"/>
    <x v="2"/>
  </r>
  <r>
    <s v="Singapore"/>
    <x v="0"/>
    <s v="SG1"/>
    <m/>
    <x v="3"/>
    <x v="3"/>
    <x v="0"/>
    <x v="2"/>
    <x v="0"/>
    <x v="0"/>
    <x v="0"/>
    <m/>
    <x v="0"/>
    <x v="0"/>
    <n v="-0.233685"/>
    <m/>
    <x v="0"/>
    <x v="3"/>
    <x v="0"/>
    <x v="2"/>
    <x v="2"/>
  </r>
  <r>
    <s v="Singapore"/>
    <x v="2"/>
    <s v="SG4"/>
    <m/>
    <x v="4"/>
    <x v="4"/>
    <x v="3"/>
    <x v="4"/>
    <x v="0"/>
    <x v="0"/>
    <x v="0"/>
    <m/>
    <x v="0"/>
    <x v="0"/>
    <n v="0.49098776400000005"/>
    <m/>
    <x v="8"/>
    <x v="2"/>
    <x v="0"/>
    <x v="1"/>
    <x v="1"/>
  </r>
  <r>
    <s v="Singapore"/>
    <x v="0"/>
    <s v="SG2"/>
    <m/>
    <x v="5"/>
    <x v="0"/>
    <x v="3"/>
    <x v="1"/>
    <x v="0"/>
    <x v="0"/>
    <x v="0"/>
    <m/>
    <x v="0"/>
    <x v="0"/>
    <n v="-4.6737000000000001E-2"/>
    <m/>
    <x v="0"/>
    <x v="0"/>
    <x v="0"/>
    <x v="4"/>
    <x v="0"/>
  </r>
  <r>
    <s v="Singapore"/>
    <x v="1"/>
    <s v="SG1"/>
    <m/>
    <x v="1"/>
    <x v="1"/>
    <x v="3"/>
    <x v="1"/>
    <x v="0"/>
    <x v="0"/>
    <x v="0"/>
    <m/>
    <x v="0"/>
    <x v="0"/>
    <n v="-0.15579000000000001"/>
    <m/>
    <x v="0"/>
    <x v="2"/>
    <x v="0"/>
    <x v="3"/>
    <x v="2"/>
  </r>
  <r>
    <s v="Singapore"/>
    <x v="0"/>
    <s v="SG4"/>
    <m/>
    <x v="2"/>
    <x v="3"/>
    <x v="1"/>
    <x v="0"/>
    <x v="0"/>
    <x v="0"/>
    <x v="0"/>
    <m/>
    <x v="0"/>
    <x v="0"/>
    <n v="-7.7895000000000004E-3"/>
    <m/>
    <x v="4"/>
    <x v="2"/>
    <x v="0"/>
    <x v="3"/>
    <x v="2"/>
  </r>
  <r>
    <s v="Singapore"/>
    <x v="3"/>
    <s v="SG2"/>
    <m/>
    <x v="3"/>
    <x v="2"/>
    <x v="0"/>
    <x v="3"/>
    <x v="0"/>
    <x v="0"/>
    <x v="0"/>
    <m/>
    <x v="0"/>
    <x v="0"/>
    <n v="-2.243376"/>
    <m/>
    <x v="3"/>
    <x v="2"/>
    <x v="0"/>
    <x v="2"/>
    <x v="0"/>
  </r>
  <r>
    <s v="Singapore"/>
    <x v="5"/>
    <s v="SG2"/>
    <m/>
    <x v="5"/>
    <x v="0"/>
    <x v="0"/>
    <x v="4"/>
    <x v="0"/>
    <x v="0"/>
    <x v="0"/>
    <m/>
    <x v="0"/>
    <x v="0"/>
    <n v="-7.7895000000000006E-2"/>
    <m/>
    <x v="0"/>
    <x v="1"/>
    <x v="0"/>
    <x v="3"/>
    <x v="0"/>
  </r>
  <r>
    <s v="Singapore"/>
    <x v="1"/>
    <s v="SG1"/>
    <m/>
    <x v="3"/>
    <x v="0"/>
    <x v="3"/>
    <x v="3"/>
    <x v="0"/>
    <x v="0"/>
    <x v="0"/>
    <m/>
    <x v="0"/>
    <x v="0"/>
    <n v="3.1158000000000001"/>
    <m/>
    <x v="1"/>
    <x v="1"/>
    <x v="0"/>
    <x v="0"/>
    <x v="1"/>
  </r>
  <r>
    <s v="Singapore"/>
    <x v="3"/>
    <s v="SG2"/>
    <m/>
    <x v="1"/>
    <x v="1"/>
    <x v="0"/>
    <x v="3"/>
    <x v="0"/>
    <x v="0"/>
    <x v="0"/>
    <m/>
    <x v="0"/>
    <x v="0"/>
    <n v="-0.15579000000000001"/>
    <m/>
    <x v="4"/>
    <x v="2"/>
    <x v="0"/>
    <x v="1"/>
    <x v="0"/>
  </r>
  <r>
    <s v="Singapore"/>
    <x v="2"/>
    <s v="SG3"/>
    <m/>
    <x v="1"/>
    <x v="1"/>
    <x v="3"/>
    <x v="3"/>
    <x v="0"/>
    <x v="0"/>
    <x v="0"/>
    <m/>
    <x v="0"/>
    <x v="0"/>
    <n v="0.15579000000000001"/>
    <m/>
    <x v="1"/>
    <x v="1"/>
    <x v="0"/>
    <x v="5"/>
    <x v="1"/>
  </r>
  <r>
    <s v="Singapore"/>
    <x v="2"/>
    <s v="SG1"/>
    <m/>
    <x v="3"/>
    <x v="4"/>
    <x v="4"/>
    <x v="3"/>
    <x v="0"/>
    <x v="0"/>
    <x v="0"/>
    <m/>
    <x v="0"/>
    <x v="0"/>
    <n v="-41.210007011999998"/>
    <m/>
    <x v="7"/>
    <x v="0"/>
    <x v="0"/>
    <x v="1"/>
    <x v="0"/>
  </r>
  <r>
    <s v="Singapore"/>
    <x v="2"/>
    <s v="SG4"/>
    <m/>
    <x v="3"/>
    <x v="3"/>
    <x v="0"/>
    <x v="1"/>
    <x v="0"/>
    <x v="0"/>
    <x v="0"/>
    <m/>
    <x v="0"/>
    <x v="0"/>
    <n v="1.2463200000000001"/>
    <m/>
    <x v="1"/>
    <x v="2"/>
    <x v="0"/>
    <x v="1"/>
    <x v="1"/>
  </r>
  <r>
    <s v="Singapore"/>
    <x v="5"/>
    <s v="SG2"/>
    <m/>
    <x v="4"/>
    <x v="2"/>
    <x v="3"/>
    <x v="5"/>
    <x v="0"/>
    <x v="0"/>
    <x v="0"/>
    <m/>
    <x v="0"/>
    <x v="0"/>
    <n v="-43.863266502000002"/>
    <m/>
    <x v="3"/>
    <x v="0"/>
    <x v="0"/>
    <x v="1"/>
    <x v="0"/>
  </r>
  <r>
    <s v="Singapore"/>
    <x v="2"/>
    <s v="SG1"/>
    <m/>
    <x v="5"/>
    <x v="1"/>
    <x v="0"/>
    <x v="3"/>
    <x v="0"/>
    <x v="0"/>
    <x v="0"/>
    <m/>
    <x v="0"/>
    <x v="0"/>
    <n v="7.1209739520000008"/>
    <m/>
    <x v="9"/>
    <x v="1"/>
    <x v="0"/>
    <x v="0"/>
    <x v="2"/>
  </r>
  <r>
    <s v="Singapore"/>
    <x v="4"/>
    <s v="SG3"/>
    <m/>
    <x v="3"/>
    <x v="3"/>
    <x v="4"/>
    <x v="4"/>
    <x v="0"/>
    <x v="0"/>
    <x v="0"/>
    <m/>
    <x v="0"/>
    <x v="0"/>
    <n v="0.15579000000000001"/>
    <m/>
    <x v="1"/>
    <x v="1"/>
    <x v="0"/>
    <x v="1"/>
    <x v="2"/>
  </r>
  <r>
    <s v="Singapore"/>
    <x v="1"/>
    <s v="SG1"/>
    <m/>
    <x v="3"/>
    <x v="0"/>
    <x v="4"/>
    <x v="2"/>
    <x v="0"/>
    <x v="0"/>
    <x v="0"/>
    <m/>
    <x v="0"/>
    <x v="0"/>
    <n v="-3.7389600000000002E-2"/>
    <m/>
    <x v="3"/>
    <x v="2"/>
    <x v="0"/>
    <x v="0"/>
    <x v="2"/>
  </r>
  <r>
    <s v="Singapore"/>
    <x v="0"/>
    <s v="SG4"/>
    <m/>
    <x v="0"/>
    <x v="4"/>
    <x v="2"/>
    <x v="2"/>
    <x v="0"/>
    <x v="0"/>
    <x v="0"/>
    <m/>
    <x v="0"/>
    <x v="0"/>
    <n v="-0.233685"/>
    <m/>
    <x v="0"/>
    <x v="2"/>
    <x v="0"/>
    <x v="2"/>
    <x v="2"/>
  </r>
  <r>
    <s v="Singapore"/>
    <x v="3"/>
    <s v="SG3"/>
    <m/>
    <x v="2"/>
    <x v="1"/>
    <x v="4"/>
    <x v="1"/>
    <x v="0"/>
    <x v="0"/>
    <x v="0"/>
    <m/>
    <x v="0"/>
    <x v="0"/>
    <n v="-0.15579000000000001"/>
    <m/>
    <x v="1"/>
    <x v="2"/>
    <x v="0"/>
    <x v="0"/>
    <x v="2"/>
  </r>
  <r>
    <s v="Singapore"/>
    <x v="4"/>
    <s v="SG4"/>
    <m/>
    <x v="2"/>
    <x v="1"/>
    <x v="2"/>
    <x v="1"/>
    <x v="0"/>
    <x v="0"/>
    <x v="0"/>
    <m/>
    <x v="0"/>
    <x v="0"/>
    <n v="-0.93474000000000002"/>
    <m/>
    <x v="2"/>
    <x v="3"/>
    <x v="0"/>
    <x v="3"/>
    <x v="2"/>
  </r>
  <r>
    <s v="Singapore"/>
    <x v="1"/>
    <s v="SG4"/>
    <m/>
    <x v="2"/>
    <x v="3"/>
    <x v="4"/>
    <x v="0"/>
    <x v="0"/>
    <x v="0"/>
    <x v="0"/>
    <m/>
    <x v="0"/>
    <x v="0"/>
    <n v="6.0820416000000002E-2"/>
    <m/>
    <x v="7"/>
    <x v="3"/>
    <x v="0"/>
    <x v="0"/>
    <x v="2"/>
  </r>
  <r>
    <s v="Singapore"/>
    <x v="2"/>
    <s v="SG1"/>
    <m/>
    <x v="4"/>
    <x v="1"/>
    <x v="2"/>
    <x v="0"/>
    <x v="0"/>
    <x v="0"/>
    <x v="0"/>
    <m/>
    <x v="0"/>
    <x v="0"/>
    <n v="0.17984397600000002"/>
    <m/>
    <x v="1"/>
    <x v="0"/>
    <x v="0"/>
    <x v="0"/>
    <x v="2"/>
  </r>
  <r>
    <s v="Singapore"/>
    <x v="3"/>
    <s v="SG4"/>
    <m/>
    <x v="3"/>
    <x v="3"/>
    <x v="2"/>
    <x v="3"/>
    <x v="0"/>
    <x v="0"/>
    <x v="0"/>
    <m/>
    <x v="0"/>
    <x v="0"/>
    <n v="7.1394662250000005"/>
    <m/>
    <x v="7"/>
    <x v="0"/>
    <x v="0"/>
    <x v="0"/>
    <x v="1"/>
  </r>
  <r>
    <s v="Singapore"/>
    <x v="0"/>
    <s v="SG3"/>
    <m/>
    <x v="0"/>
    <x v="4"/>
    <x v="4"/>
    <x v="4"/>
    <x v="0"/>
    <x v="0"/>
    <x v="0"/>
    <m/>
    <x v="0"/>
    <x v="0"/>
    <n v="1.0422351000000001"/>
    <m/>
    <x v="4"/>
    <x v="3"/>
    <x v="0"/>
    <x v="3"/>
    <x v="1"/>
  </r>
  <r>
    <s v="Singapore"/>
    <x v="5"/>
    <s v="SG2"/>
    <m/>
    <x v="0"/>
    <x v="0"/>
    <x v="3"/>
    <x v="4"/>
    <x v="0"/>
    <x v="0"/>
    <x v="0"/>
    <m/>
    <x v="0"/>
    <x v="0"/>
    <n v="-0.37389600000000001"/>
    <m/>
    <x v="4"/>
    <x v="1"/>
    <x v="0"/>
    <x v="1"/>
    <x v="0"/>
  </r>
  <r>
    <s v="Singapore"/>
    <x v="4"/>
    <s v="SG1"/>
    <m/>
    <x v="1"/>
    <x v="3"/>
    <x v="3"/>
    <x v="3"/>
    <x v="0"/>
    <x v="0"/>
    <x v="0"/>
    <m/>
    <x v="0"/>
    <x v="0"/>
    <n v="-9.7212960000000006"/>
    <m/>
    <x v="4"/>
    <x v="1"/>
    <x v="0"/>
    <x v="4"/>
    <x v="1"/>
  </r>
  <r>
    <s v="Singapore"/>
    <x v="2"/>
    <s v="SG4"/>
    <m/>
    <x v="1"/>
    <x v="0"/>
    <x v="1"/>
    <x v="4"/>
    <x v="0"/>
    <x v="0"/>
    <x v="0"/>
    <m/>
    <x v="0"/>
    <x v="0"/>
    <n v="-0.1838322"/>
    <m/>
    <x v="4"/>
    <x v="0"/>
    <x v="0"/>
    <x v="2"/>
    <x v="2"/>
  </r>
  <r>
    <s v="Singapore"/>
    <x v="4"/>
    <s v="SG3"/>
    <m/>
    <x v="1"/>
    <x v="4"/>
    <x v="2"/>
    <x v="5"/>
    <x v="0"/>
    <x v="0"/>
    <x v="0"/>
    <m/>
    <x v="0"/>
    <x v="0"/>
    <n v="4.6737000000000001E-2"/>
    <m/>
    <x v="0"/>
    <x v="2"/>
    <x v="0"/>
    <x v="0"/>
    <x v="0"/>
  </r>
  <r>
    <s v="Singapore"/>
    <x v="5"/>
    <s v="SG2"/>
    <m/>
    <x v="0"/>
    <x v="3"/>
    <x v="0"/>
    <x v="1"/>
    <x v="0"/>
    <x v="0"/>
    <x v="0"/>
    <m/>
    <x v="0"/>
    <x v="0"/>
    <n v="-4.6737000000000001E-2"/>
    <m/>
    <x v="0"/>
    <x v="0"/>
    <x v="0"/>
    <x v="0"/>
    <x v="1"/>
  </r>
  <r>
    <s v="Singapore"/>
    <x v="2"/>
    <s v="SG2"/>
    <m/>
    <x v="3"/>
    <x v="0"/>
    <x v="3"/>
    <x v="3"/>
    <x v="0"/>
    <x v="0"/>
    <x v="0"/>
    <m/>
    <x v="0"/>
    <x v="0"/>
    <n v="-7.0105500000000001E-2"/>
    <m/>
    <x v="4"/>
    <x v="1"/>
    <x v="0"/>
    <x v="1"/>
    <x v="0"/>
  </r>
  <r>
    <s v="Singapore"/>
    <x v="2"/>
    <s v="SG3"/>
    <m/>
    <x v="0"/>
    <x v="0"/>
    <x v="4"/>
    <x v="1"/>
    <x v="0"/>
    <x v="0"/>
    <x v="0"/>
    <m/>
    <x v="0"/>
    <x v="0"/>
    <n v="1.5161482800000001"/>
    <m/>
    <x v="1"/>
    <x v="3"/>
    <x v="0"/>
    <x v="1"/>
    <x v="0"/>
  </r>
  <r>
    <s v="Singapore"/>
    <x v="1"/>
    <s v="SG2"/>
    <m/>
    <x v="5"/>
    <x v="1"/>
    <x v="1"/>
    <x v="1"/>
    <x v="0"/>
    <x v="0"/>
    <x v="0"/>
    <m/>
    <x v="0"/>
    <x v="0"/>
    <n v="5.4126275489999998"/>
    <m/>
    <x v="5"/>
    <x v="2"/>
    <x v="0"/>
    <x v="5"/>
    <x v="0"/>
  </r>
  <r>
    <s v="Singapore"/>
    <x v="0"/>
    <s v="SG3"/>
    <m/>
    <x v="0"/>
    <x v="3"/>
    <x v="2"/>
    <x v="3"/>
    <x v="0"/>
    <x v="0"/>
    <x v="0"/>
    <m/>
    <x v="0"/>
    <x v="0"/>
    <n v="-1.09053"/>
    <m/>
    <x v="4"/>
    <x v="3"/>
    <x v="0"/>
    <x v="1"/>
    <x v="0"/>
  </r>
  <r>
    <s v="Singapore"/>
    <x v="5"/>
    <s v="SG1"/>
    <m/>
    <x v="0"/>
    <x v="0"/>
    <x v="3"/>
    <x v="0"/>
    <x v="0"/>
    <x v="0"/>
    <x v="0"/>
    <m/>
    <x v="0"/>
    <x v="0"/>
    <n v="-0.19537623900000001"/>
    <m/>
    <x v="3"/>
    <x v="1"/>
    <x v="0"/>
    <x v="1"/>
    <x v="1"/>
  </r>
  <r>
    <s v="Singapore"/>
    <x v="2"/>
    <s v="SG2"/>
    <m/>
    <x v="2"/>
    <x v="2"/>
    <x v="1"/>
    <x v="0"/>
    <x v="0"/>
    <x v="0"/>
    <x v="0"/>
    <m/>
    <x v="0"/>
    <x v="0"/>
    <n v="-4.6737000000000001E-2"/>
    <m/>
    <x v="0"/>
    <x v="2"/>
    <x v="0"/>
    <x v="0"/>
    <x v="0"/>
  </r>
  <r>
    <s v="Singapore"/>
    <x v="5"/>
    <s v="SG4"/>
    <m/>
    <x v="1"/>
    <x v="4"/>
    <x v="0"/>
    <x v="0"/>
    <x v="0"/>
    <x v="0"/>
    <x v="0"/>
    <m/>
    <x v="0"/>
    <x v="0"/>
    <n v="0.12463200000000001"/>
    <m/>
    <x v="0"/>
    <x v="0"/>
    <x v="0"/>
    <x v="5"/>
    <x v="2"/>
  </r>
  <r>
    <s v="Singapore"/>
    <x v="1"/>
    <s v="SG4"/>
    <m/>
    <x v="2"/>
    <x v="2"/>
    <x v="3"/>
    <x v="1"/>
    <x v="0"/>
    <x v="0"/>
    <x v="0"/>
    <m/>
    <x v="0"/>
    <x v="0"/>
    <n v="-7.7895000000000003"/>
    <m/>
    <x v="1"/>
    <x v="1"/>
    <x v="0"/>
    <x v="5"/>
    <x v="1"/>
  </r>
  <r>
    <s v="Singapore"/>
    <x v="5"/>
    <s v="SG1"/>
    <m/>
    <x v="0"/>
    <x v="4"/>
    <x v="4"/>
    <x v="3"/>
    <x v="0"/>
    <x v="0"/>
    <x v="0"/>
    <m/>
    <x v="0"/>
    <x v="0"/>
    <n v="-4.6737000000000001E-2"/>
    <m/>
    <x v="0"/>
    <x v="3"/>
    <x v="0"/>
    <x v="4"/>
    <x v="0"/>
  </r>
  <r>
    <s v="Singapore"/>
    <x v="4"/>
    <s v="SG1"/>
    <m/>
    <x v="2"/>
    <x v="0"/>
    <x v="1"/>
    <x v="5"/>
    <x v="0"/>
    <x v="0"/>
    <x v="0"/>
    <m/>
    <x v="0"/>
    <x v="0"/>
    <n v="43.621200000000002"/>
    <m/>
    <x v="1"/>
    <x v="3"/>
    <x v="0"/>
    <x v="5"/>
    <x v="2"/>
  </r>
  <r>
    <s v="Singapore"/>
    <x v="5"/>
    <s v="SG4"/>
    <m/>
    <x v="5"/>
    <x v="0"/>
    <x v="2"/>
    <x v="5"/>
    <x v="0"/>
    <x v="0"/>
    <x v="0"/>
    <m/>
    <x v="0"/>
    <x v="0"/>
    <n v="-6.2316000000000003E-2"/>
    <m/>
    <x v="0"/>
    <x v="0"/>
    <x v="0"/>
    <x v="0"/>
    <x v="2"/>
  </r>
  <r>
    <s v="Singapore"/>
    <x v="5"/>
    <s v="SG3"/>
    <m/>
    <x v="4"/>
    <x v="4"/>
    <x v="3"/>
    <x v="3"/>
    <x v="0"/>
    <x v="0"/>
    <x v="0"/>
    <m/>
    <x v="0"/>
    <x v="0"/>
    <n v="-1.2463200000000001"/>
    <m/>
    <x v="4"/>
    <x v="2"/>
    <x v="0"/>
    <x v="4"/>
    <x v="1"/>
  </r>
  <r>
    <s v="Singapore"/>
    <x v="2"/>
    <s v="SG4"/>
    <m/>
    <x v="0"/>
    <x v="3"/>
    <x v="1"/>
    <x v="2"/>
    <x v="0"/>
    <x v="0"/>
    <x v="0"/>
    <m/>
    <x v="0"/>
    <x v="0"/>
    <n v="0.37389600000000001"/>
    <m/>
    <x v="1"/>
    <x v="0"/>
    <x v="0"/>
    <x v="1"/>
    <x v="2"/>
  </r>
  <r>
    <s v="Singapore"/>
    <x v="2"/>
    <s v="SG2"/>
    <m/>
    <x v="4"/>
    <x v="4"/>
    <x v="0"/>
    <x v="3"/>
    <x v="0"/>
    <x v="0"/>
    <x v="0"/>
    <m/>
    <x v="0"/>
    <x v="0"/>
    <n v="1.900638"/>
    <m/>
    <x v="1"/>
    <x v="3"/>
    <x v="0"/>
    <x v="0"/>
    <x v="0"/>
  </r>
  <r>
    <s v="Singapore"/>
    <x v="2"/>
    <s v="SG3"/>
    <m/>
    <x v="5"/>
    <x v="0"/>
    <x v="4"/>
    <x v="1"/>
    <x v="0"/>
    <x v="0"/>
    <x v="0"/>
    <m/>
    <x v="0"/>
    <x v="0"/>
    <n v="4.2904877580000003"/>
    <m/>
    <x v="1"/>
    <x v="2"/>
    <x v="0"/>
    <x v="0"/>
    <x v="2"/>
  </r>
  <r>
    <s v="Singapore"/>
    <x v="0"/>
    <s v="SG3"/>
    <m/>
    <x v="1"/>
    <x v="3"/>
    <x v="2"/>
    <x v="1"/>
    <x v="0"/>
    <x v="0"/>
    <x v="0"/>
    <m/>
    <x v="0"/>
    <x v="0"/>
    <n v="-0.21810600000000002"/>
    <m/>
    <x v="4"/>
    <x v="2"/>
    <x v="0"/>
    <x v="5"/>
    <x v="2"/>
  </r>
  <r>
    <s v="Singapore"/>
    <x v="3"/>
    <s v="SG2"/>
    <m/>
    <x v="1"/>
    <x v="1"/>
    <x v="1"/>
    <x v="4"/>
    <x v="0"/>
    <x v="0"/>
    <x v="0"/>
    <m/>
    <x v="0"/>
    <x v="0"/>
    <n v="0.10905300000000001"/>
    <m/>
    <x v="0"/>
    <x v="3"/>
    <x v="0"/>
    <x v="3"/>
    <x v="1"/>
  </r>
  <r>
    <s v="Singapore"/>
    <x v="3"/>
    <s v="SG4"/>
    <m/>
    <x v="1"/>
    <x v="0"/>
    <x v="3"/>
    <x v="2"/>
    <x v="0"/>
    <x v="0"/>
    <x v="0"/>
    <m/>
    <x v="0"/>
    <x v="0"/>
    <n v="1.40211"/>
    <m/>
    <x v="1"/>
    <x v="0"/>
    <x v="0"/>
    <x v="4"/>
    <x v="0"/>
  </r>
  <r>
    <s v="Singapore"/>
    <x v="4"/>
    <s v="SG3"/>
    <m/>
    <x v="5"/>
    <x v="3"/>
    <x v="3"/>
    <x v="0"/>
    <x v="0"/>
    <x v="0"/>
    <x v="0"/>
    <m/>
    <x v="0"/>
    <x v="0"/>
    <n v="1.5423210000000001"/>
    <m/>
    <x v="1"/>
    <x v="0"/>
    <x v="0"/>
    <x v="0"/>
    <x v="1"/>
  </r>
  <r>
    <s v="Singapore"/>
    <x v="0"/>
    <s v="SG2"/>
    <m/>
    <x v="2"/>
    <x v="0"/>
    <x v="0"/>
    <x v="1"/>
    <x v="0"/>
    <x v="0"/>
    <x v="0"/>
    <m/>
    <x v="0"/>
    <x v="0"/>
    <n v="-0.12626779500000002"/>
    <m/>
    <x v="4"/>
    <x v="3"/>
    <x v="0"/>
    <x v="2"/>
    <x v="0"/>
  </r>
  <r>
    <s v="Singapore"/>
    <x v="2"/>
    <s v="SG4"/>
    <m/>
    <x v="5"/>
    <x v="4"/>
    <x v="0"/>
    <x v="3"/>
    <x v="0"/>
    <x v="0"/>
    <x v="0"/>
    <m/>
    <x v="0"/>
    <x v="0"/>
    <n v="-9.3474000000000002E-2"/>
    <m/>
    <x v="0"/>
    <x v="0"/>
    <x v="0"/>
    <x v="0"/>
    <x v="2"/>
  </r>
  <r>
    <s v="Singapore"/>
    <x v="4"/>
    <s v="SG2"/>
    <m/>
    <x v="5"/>
    <x v="1"/>
    <x v="1"/>
    <x v="5"/>
    <x v="0"/>
    <x v="0"/>
    <x v="0"/>
    <m/>
    <x v="0"/>
    <x v="0"/>
    <n v="4.3699095000000003"/>
    <m/>
    <x v="1"/>
    <x v="1"/>
    <x v="0"/>
    <x v="4"/>
    <x v="2"/>
  </r>
  <r>
    <s v="Singapore"/>
    <x v="3"/>
    <s v="SG2"/>
    <m/>
    <x v="4"/>
    <x v="2"/>
    <x v="2"/>
    <x v="4"/>
    <x v="0"/>
    <x v="0"/>
    <x v="0"/>
    <m/>
    <x v="0"/>
    <x v="0"/>
    <n v="0.233685"/>
    <m/>
    <x v="0"/>
    <x v="1"/>
    <x v="0"/>
    <x v="5"/>
    <x v="2"/>
  </r>
  <r>
    <s v="Singapore"/>
    <x v="1"/>
    <s v="SG2"/>
    <m/>
    <x v="5"/>
    <x v="3"/>
    <x v="4"/>
    <x v="4"/>
    <x v="0"/>
    <x v="0"/>
    <x v="0"/>
    <m/>
    <x v="0"/>
    <x v="0"/>
    <n v="2.6484300000000003"/>
    <m/>
    <x v="1"/>
    <x v="0"/>
    <x v="0"/>
    <x v="4"/>
    <x v="2"/>
  </r>
  <r>
    <s v="Singapore"/>
    <x v="5"/>
    <s v="SG1"/>
    <m/>
    <x v="2"/>
    <x v="4"/>
    <x v="2"/>
    <x v="4"/>
    <x v="0"/>
    <x v="0"/>
    <x v="0"/>
    <m/>
    <x v="0"/>
    <x v="0"/>
    <n v="-0.77895000000000003"/>
    <m/>
    <x v="0"/>
    <x v="1"/>
    <x v="0"/>
    <x v="2"/>
    <x v="0"/>
  </r>
  <r>
    <s v="Singapore"/>
    <x v="2"/>
    <s v="SG1"/>
    <m/>
    <x v="3"/>
    <x v="0"/>
    <x v="2"/>
    <x v="3"/>
    <x v="0"/>
    <x v="0"/>
    <x v="0"/>
    <m/>
    <x v="0"/>
    <x v="0"/>
    <n v="-4.6737000000000002"/>
    <m/>
    <x v="4"/>
    <x v="0"/>
    <x v="0"/>
    <x v="4"/>
    <x v="1"/>
  </r>
  <r>
    <s v="Singapore"/>
    <x v="4"/>
    <s v="SG4"/>
    <m/>
    <x v="5"/>
    <x v="4"/>
    <x v="0"/>
    <x v="0"/>
    <x v="0"/>
    <x v="0"/>
    <x v="0"/>
    <m/>
    <x v="0"/>
    <x v="0"/>
    <n v="-8.8800299999999999E-2"/>
    <m/>
    <x v="3"/>
    <x v="2"/>
    <x v="0"/>
    <x v="3"/>
    <x v="2"/>
  </r>
  <r>
    <s v="Singapore"/>
    <x v="2"/>
    <s v="SG3"/>
    <m/>
    <x v="0"/>
    <x v="2"/>
    <x v="1"/>
    <x v="5"/>
    <x v="0"/>
    <x v="0"/>
    <x v="0"/>
    <m/>
    <x v="0"/>
    <x v="0"/>
    <n v="2.5088577390000002"/>
    <m/>
    <x v="7"/>
    <x v="1"/>
    <x v="0"/>
    <x v="2"/>
    <x v="2"/>
  </r>
  <r>
    <s v="Singapore"/>
    <x v="3"/>
    <s v="SG2"/>
    <m/>
    <x v="0"/>
    <x v="0"/>
    <x v="4"/>
    <x v="3"/>
    <x v="0"/>
    <x v="0"/>
    <x v="0"/>
    <m/>
    <x v="0"/>
    <x v="0"/>
    <n v="2.570535"/>
    <m/>
    <x v="1"/>
    <x v="3"/>
    <x v="0"/>
    <x v="2"/>
    <x v="2"/>
  </r>
  <r>
    <s v="Singapore"/>
    <x v="4"/>
    <s v="SG3"/>
    <m/>
    <x v="3"/>
    <x v="0"/>
    <x v="4"/>
    <x v="2"/>
    <x v="0"/>
    <x v="0"/>
    <x v="0"/>
    <m/>
    <x v="0"/>
    <x v="0"/>
    <n v="-3.4323808590000002"/>
    <m/>
    <x v="2"/>
    <x v="2"/>
    <x v="0"/>
    <x v="4"/>
    <x v="2"/>
  </r>
  <r>
    <s v="Singapore"/>
    <x v="0"/>
    <s v="SG2"/>
    <m/>
    <x v="5"/>
    <x v="0"/>
    <x v="0"/>
    <x v="0"/>
    <x v="0"/>
    <x v="0"/>
    <x v="0"/>
    <m/>
    <x v="0"/>
    <x v="0"/>
    <n v="-0.87242400000000009"/>
    <m/>
    <x v="4"/>
    <x v="0"/>
    <x v="0"/>
    <x v="4"/>
    <x v="1"/>
  </r>
  <r>
    <s v="Singapore"/>
    <x v="4"/>
    <s v="SG1"/>
    <m/>
    <x v="0"/>
    <x v="3"/>
    <x v="1"/>
    <x v="5"/>
    <x v="0"/>
    <x v="0"/>
    <x v="0"/>
    <m/>
    <x v="0"/>
    <x v="0"/>
    <n v="-0.10905300000000001"/>
    <m/>
    <x v="0"/>
    <x v="1"/>
    <x v="0"/>
    <x v="1"/>
    <x v="1"/>
  </r>
  <r>
    <s v="Singapore"/>
    <x v="2"/>
    <s v="SG4"/>
    <m/>
    <x v="3"/>
    <x v="4"/>
    <x v="2"/>
    <x v="4"/>
    <x v="0"/>
    <x v="0"/>
    <x v="0"/>
    <m/>
    <x v="0"/>
    <x v="0"/>
    <n v="89.329721157000009"/>
    <m/>
    <x v="1"/>
    <x v="2"/>
    <x v="0"/>
    <x v="3"/>
    <x v="2"/>
  </r>
  <r>
    <s v="Singapore"/>
    <x v="5"/>
    <s v="SG4"/>
    <m/>
    <x v="0"/>
    <x v="3"/>
    <x v="4"/>
    <x v="2"/>
    <x v="0"/>
    <x v="0"/>
    <x v="0"/>
    <m/>
    <x v="0"/>
    <x v="0"/>
    <n v="-7.0105500000000001E-2"/>
    <m/>
    <x v="4"/>
    <x v="2"/>
    <x v="0"/>
    <x v="4"/>
    <x v="0"/>
  </r>
  <r>
    <s v="Singapore"/>
    <x v="5"/>
    <s v="SG3"/>
    <m/>
    <x v="2"/>
    <x v="1"/>
    <x v="3"/>
    <x v="1"/>
    <x v="0"/>
    <x v="0"/>
    <x v="0"/>
    <m/>
    <x v="0"/>
    <x v="0"/>
    <n v="-0.1838322"/>
    <m/>
    <x v="4"/>
    <x v="2"/>
    <x v="0"/>
    <x v="0"/>
    <x v="1"/>
  </r>
  <r>
    <s v="Singapore"/>
    <x v="3"/>
    <s v="SG1"/>
    <m/>
    <x v="5"/>
    <x v="2"/>
    <x v="1"/>
    <x v="2"/>
    <x v="0"/>
    <x v="0"/>
    <x v="0"/>
    <m/>
    <x v="0"/>
    <x v="0"/>
    <n v="-0.77011670700000001"/>
    <m/>
    <x v="4"/>
    <x v="3"/>
    <x v="0"/>
    <x v="1"/>
    <x v="1"/>
  </r>
  <r>
    <s v="Singapore"/>
    <x v="5"/>
    <s v="SG2"/>
    <m/>
    <x v="0"/>
    <x v="1"/>
    <x v="0"/>
    <x v="1"/>
    <x v="0"/>
    <x v="0"/>
    <x v="0"/>
    <m/>
    <x v="0"/>
    <x v="0"/>
    <n v="0.11431870199999999"/>
    <m/>
    <x v="8"/>
    <x v="2"/>
    <x v="0"/>
    <x v="5"/>
    <x v="0"/>
  </r>
  <r>
    <s v="Singapore"/>
    <x v="5"/>
    <s v="SG3"/>
    <m/>
    <x v="2"/>
    <x v="4"/>
    <x v="2"/>
    <x v="3"/>
    <x v="0"/>
    <x v="0"/>
    <x v="0"/>
    <m/>
    <x v="0"/>
    <x v="0"/>
    <n v="2.3368500000000001"/>
    <m/>
    <x v="1"/>
    <x v="1"/>
    <x v="0"/>
    <x v="0"/>
    <x v="1"/>
  </r>
  <r>
    <s v="Singapore"/>
    <x v="1"/>
    <s v="SG2"/>
    <m/>
    <x v="0"/>
    <x v="4"/>
    <x v="3"/>
    <x v="5"/>
    <x v="0"/>
    <x v="0"/>
    <x v="0"/>
    <m/>
    <x v="0"/>
    <x v="0"/>
    <n v="-0.42063300000000003"/>
    <m/>
    <x v="0"/>
    <x v="1"/>
    <x v="0"/>
    <x v="2"/>
    <x v="0"/>
  </r>
  <r>
    <s v="Singapore"/>
    <x v="1"/>
    <s v="SG3"/>
    <m/>
    <x v="3"/>
    <x v="2"/>
    <x v="3"/>
    <x v="4"/>
    <x v="0"/>
    <x v="0"/>
    <x v="0"/>
    <m/>
    <x v="0"/>
    <x v="0"/>
    <n v="-3.1158000000000002E-2"/>
    <m/>
    <x v="0"/>
    <x v="2"/>
    <x v="0"/>
    <x v="1"/>
    <x v="1"/>
  </r>
  <r>
    <s v="Singapore"/>
    <x v="0"/>
    <s v="SG3"/>
    <m/>
    <x v="3"/>
    <x v="1"/>
    <x v="0"/>
    <x v="3"/>
    <x v="0"/>
    <x v="0"/>
    <x v="0"/>
    <m/>
    <x v="0"/>
    <x v="0"/>
    <n v="-12.787243200000001"/>
    <m/>
    <x v="8"/>
    <x v="1"/>
    <x v="0"/>
    <x v="0"/>
    <x v="0"/>
  </r>
  <r>
    <s v="Singapore"/>
    <x v="4"/>
    <s v="SG1"/>
    <m/>
    <x v="3"/>
    <x v="3"/>
    <x v="0"/>
    <x v="1"/>
    <x v="0"/>
    <x v="0"/>
    <x v="0"/>
    <m/>
    <x v="0"/>
    <x v="0"/>
    <n v="-0.56863350000000001"/>
    <m/>
    <x v="0"/>
    <x v="0"/>
    <x v="0"/>
    <x v="5"/>
    <x v="0"/>
  </r>
  <r>
    <s v="Singapore"/>
    <x v="5"/>
    <s v="SG3"/>
    <m/>
    <x v="4"/>
    <x v="4"/>
    <x v="0"/>
    <x v="3"/>
    <x v="0"/>
    <x v="0"/>
    <x v="0"/>
    <m/>
    <x v="0"/>
    <x v="0"/>
    <n v="-3.3448113000000004"/>
    <m/>
    <x v="3"/>
    <x v="2"/>
    <x v="0"/>
    <x v="0"/>
    <x v="1"/>
  </r>
  <r>
    <s v="Singapore"/>
    <x v="3"/>
    <s v="SG1"/>
    <m/>
    <x v="0"/>
    <x v="2"/>
    <x v="4"/>
    <x v="2"/>
    <x v="0"/>
    <x v="0"/>
    <x v="0"/>
    <m/>
    <x v="0"/>
    <x v="0"/>
    <n v="-0.37389600000000001"/>
    <m/>
    <x v="4"/>
    <x v="3"/>
    <x v="0"/>
    <x v="1"/>
    <x v="1"/>
  </r>
  <r>
    <s v="Singapore"/>
    <x v="2"/>
    <s v="SG1"/>
    <m/>
    <x v="2"/>
    <x v="3"/>
    <x v="1"/>
    <x v="4"/>
    <x v="0"/>
    <x v="0"/>
    <x v="0"/>
    <m/>
    <x v="0"/>
    <x v="0"/>
    <n v="-0.20252700000000001"/>
    <m/>
    <x v="2"/>
    <x v="3"/>
    <x v="0"/>
    <x v="0"/>
    <x v="0"/>
  </r>
  <r>
    <s v="Singapore"/>
    <x v="2"/>
    <s v="SG4"/>
    <m/>
    <x v="3"/>
    <x v="2"/>
    <x v="0"/>
    <x v="2"/>
    <x v="0"/>
    <x v="0"/>
    <x v="0"/>
    <m/>
    <x v="0"/>
    <x v="0"/>
    <n v="-0.140211"/>
    <m/>
    <x v="0"/>
    <x v="1"/>
    <x v="0"/>
    <x v="1"/>
    <x v="0"/>
  </r>
  <r>
    <s v="Singapore"/>
    <x v="1"/>
    <s v="SG3"/>
    <m/>
    <x v="1"/>
    <x v="2"/>
    <x v="3"/>
    <x v="1"/>
    <x v="0"/>
    <x v="0"/>
    <x v="0"/>
    <m/>
    <x v="0"/>
    <x v="0"/>
    <n v="-0.77895000000000003"/>
    <m/>
    <x v="4"/>
    <x v="3"/>
    <x v="0"/>
    <x v="2"/>
    <x v="2"/>
  </r>
  <r>
    <s v="Singapore"/>
    <x v="2"/>
    <s v="SG4"/>
    <m/>
    <x v="1"/>
    <x v="3"/>
    <x v="1"/>
    <x v="3"/>
    <x v="0"/>
    <x v="0"/>
    <x v="0"/>
    <m/>
    <x v="0"/>
    <x v="0"/>
    <n v="-0.92129532300000005"/>
    <m/>
    <x v="0"/>
    <x v="0"/>
    <x v="0"/>
    <x v="3"/>
    <x v="0"/>
  </r>
  <r>
    <s v="Singapore"/>
    <x v="0"/>
    <s v="SG3"/>
    <m/>
    <x v="4"/>
    <x v="1"/>
    <x v="4"/>
    <x v="5"/>
    <x v="0"/>
    <x v="0"/>
    <x v="0"/>
    <m/>
    <x v="0"/>
    <x v="0"/>
    <n v="0.7290972"/>
    <m/>
    <x v="3"/>
    <x v="1"/>
    <x v="0"/>
    <x v="0"/>
    <x v="2"/>
  </r>
  <r>
    <s v="Singapore"/>
    <x v="2"/>
    <s v="SG3"/>
    <m/>
    <x v="0"/>
    <x v="4"/>
    <x v="1"/>
    <x v="2"/>
    <x v="0"/>
    <x v="0"/>
    <x v="0"/>
    <m/>
    <x v="0"/>
    <x v="0"/>
    <n v="-1.074951"/>
    <m/>
    <x v="4"/>
    <x v="0"/>
    <x v="0"/>
    <x v="5"/>
    <x v="2"/>
  </r>
  <r>
    <s v="Singapore"/>
    <x v="3"/>
    <s v="SG1"/>
    <m/>
    <x v="2"/>
    <x v="2"/>
    <x v="1"/>
    <x v="1"/>
    <x v="0"/>
    <x v="0"/>
    <x v="0"/>
    <m/>
    <x v="0"/>
    <x v="0"/>
    <n v="0.37389600000000001"/>
    <m/>
    <x v="1"/>
    <x v="0"/>
    <x v="0"/>
    <x v="0"/>
    <x v="0"/>
  </r>
  <r>
    <s v="Singapore"/>
    <x v="2"/>
    <s v="SG2"/>
    <m/>
    <x v="2"/>
    <x v="3"/>
    <x v="1"/>
    <x v="4"/>
    <x v="0"/>
    <x v="0"/>
    <x v="0"/>
    <m/>
    <x v="0"/>
    <x v="0"/>
    <n v="-1.2151620000000001"/>
    <m/>
    <x v="0"/>
    <x v="2"/>
    <x v="0"/>
    <x v="4"/>
    <x v="2"/>
  </r>
  <r>
    <s v="Singapore"/>
    <x v="2"/>
    <s v="SG1"/>
    <m/>
    <x v="1"/>
    <x v="4"/>
    <x v="3"/>
    <x v="0"/>
    <x v="0"/>
    <x v="0"/>
    <x v="0"/>
    <m/>
    <x v="0"/>
    <x v="0"/>
    <n v="-0.15390494100000002"/>
    <m/>
    <x v="4"/>
    <x v="3"/>
    <x v="0"/>
    <x v="5"/>
    <x v="1"/>
  </r>
  <r>
    <s v="Singapore"/>
    <x v="2"/>
    <s v="SG3"/>
    <m/>
    <x v="3"/>
    <x v="4"/>
    <x v="2"/>
    <x v="3"/>
    <x v="0"/>
    <x v="0"/>
    <x v="0"/>
    <m/>
    <x v="0"/>
    <x v="0"/>
    <n v="11.392424172000002"/>
    <m/>
    <x v="7"/>
    <x v="3"/>
    <x v="0"/>
    <x v="2"/>
    <x v="1"/>
  </r>
  <r>
    <s v="Singapore"/>
    <x v="5"/>
    <s v="SG3"/>
    <m/>
    <x v="1"/>
    <x v="0"/>
    <x v="0"/>
    <x v="0"/>
    <x v="0"/>
    <x v="0"/>
    <x v="0"/>
    <m/>
    <x v="0"/>
    <x v="0"/>
    <n v="-0.280422"/>
    <m/>
    <x v="0"/>
    <x v="1"/>
    <x v="0"/>
    <x v="3"/>
    <x v="2"/>
  </r>
  <r>
    <s v="Singapore"/>
    <x v="3"/>
    <s v="SG2"/>
    <m/>
    <x v="0"/>
    <x v="4"/>
    <x v="0"/>
    <x v="1"/>
    <x v="0"/>
    <x v="0"/>
    <x v="0"/>
    <m/>
    <x v="0"/>
    <x v="0"/>
    <n v="1.049790915"/>
    <m/>
    <x v="1"/>
    <x v="3"/>
    <x v="0"/>
    <x v="0"/>
    <x v="2"/>
  </r>
  <r>
    <s v="Singapore"/>
    <x v="4"/>
    <s v="SG3"/>
    <m/>
    <x v="2"/>
    <x v="0"/>
    <x v="4"/>
    <x v="2"/>
    <x v="0"/>
    <x v="0"/>
    <x v="0"/>
    <m/>
    <x v="0"/>
    <x v="0"/>
    <n v="-0.21810600000000002"/>
    <m/>
    <x v="4"/>
    <x v="1"/>
    <x v="0"/>
    <x v="4"/>
    <x v="0"/>
  </r>
  <r>
    <s v="Singapore"/>
    <x v="2"/>
    <s v="SG3"/>
    <m/>
    <x v="3"/>
    <x v="3"/>
    <x v="0"/>
    <x v="4"/>
    <x v="0"/>
    <x v="0"/>
    <x v="0"/>
    <m/>
    <x v="0"/>
    <x v="0"/>
    <n v="0.21810600000000002"/>
    <m/>
    <x v="4"/>
    <x v="3"/>
    <x v="0"/>
    <x v="4"/>
    <x v="1"/>
  </r>
  <r>
    <s v="Singapore"/>
    <x v="4"/>
    <s v="SG1"/>
    <m/>
    <x v="4"/>
    <x v="3"/>
    <x v="3"/>
    <x v="2"/>
    <x v="0"/>
    <x v="0"/>
    <x v="0"/>
    <m/>
    <x v="0"/>
    <x v="0"/>
    <n v="-10.244049345000001"/>
    <m/>
    <x v="9"/>
    <x v="1"/>
    <x v="0"/>
    <x v="5"/>
    <x v="1"/>
  </r>
  <r>
    <s v="Singapore"/>
    <x v="1"/>
    <s v="SG1"/>
    <m/>
    <x v="5"/>
    <x v="0"/>
    <x v="4"/>
    <x v="3"/>
    <x v="0"/>
    <x v="0"/>
    <x v="0"/>
    <m/>
    <x v="0"/>
    <x v="0"/>
    <n v="0.42063300000000003"/>
    <m/>
    <x v="4"/>
    <x v="3"/>
    <x v="0"/>
    <x v="0"/>
    <x v="2"/>
  </r>
  <r>
    <s v="Singapore"/>
    <x v="5"/>
    <s v="SG4"/>
    <m/>
    <x v="1"/>
    <x v="4"/>
    <x v="0"/>
    <x v="3"/>
    <x v="0"/>
    <x v="0"/>
    <x v="0"/>
    <m/>
    <x v="0"/>
    <x v="0"/>
    <n v="0.15579000000000001"/>
    <m/>
    <x v="1"/>
    <x v="1"/>
    <x v="0"/>
    <x v="3"/>
    <x v="2"/>
  </r>
  <r>
    <s v="Singapore"/>
    <x v="5"/>
    <s v="SG1"/>
    <m/>
    <x v="2"/>
    <x v="3"/>
    <x v="4"/>
    <x v="4"/>
    <x v="0"/>
    <x v="0"/>
    <x v="0"/>
    <m/>
    <x v="0"/>
    <x v="0"/>
    <n v="1.1450565000000001"/>
    <m/>
    <x v="1"/>
    <x v="3"/>
    <x v="0"/>
    <x v="2"/>
    <x v="0"/>
  </r>
  <r>
    <s v="Singapore"/>
    <x v="4"/>
    <s v="SG1"/>
    <m/>
    <x v="0"/>
    <x v="3"/>
    <x v="3"/>
    <x v="1"/>
    <x v="0"/>
    <x v="0"/>
    <x v="0"/>
    <m/>
    <x v="0"/>
    <x v="0"/>
    <n v="-0.15579000000000001"/>
    <m/>
    <x v="0"/>
    <x v="0"/>
    <x v="0"/>
    <x v="2"/>
    <x v="2"/>
  </r>
  <r>
    <s v="Singapore"/>
    <x v="3"/>
    <s v="SG4"/>
    <m/>
    <x v="3"/>
    <x v="3"/>
    <x v="1"/>
    <x v="3"/>
    <x v="0"/>
    <x v="0"/>
    <x v="0"/>
    <m/>
    <x v="0"/>
    <x v="0"/>
    <n v="-0.15579000000000001"/>
    <m/>
    <x v="4"/>
    <x v="2"/>
    <x v="0"/>
    <x v="4"/>
    <x v="1"/>
  </r>
  <r>
    <s v="Singapore"/>
    <x v="5"/>
    <s v="SG3"/>
    <m/>
    <x v="0"/>
    <x v="1"/>
    <x v="3"/>
    <x v="5"/>
    <x v="0"/>
    <x v="0"/>
    <x v="0"/>
    <m/>
    <x v="0"/>
    <x v="0"/>
    <n v="-1.5579000000000001"/>
    <m/>
    <x v="0"/>
    <x v="1"/>
    <x v="0"/>
    <x v="5"/>
    <x v="1"/>
  </r>
  <r>
    <s v="Singapore"/>
    <x v="3"/>
    <s v="SG1"/>
    <m/>
    <x v="4"/>
    <x v="4"/>
    <x v="0"/>
    <x v="0"/>
    <x v="0"/>
    <x v="0"/>
    <x v="0"/>
    <m/>
    <x v="0"/>
    <x v="0"/>
    <n v="3.1158000000000001"/>
    <m/>
    <x v="5"/>
    <x v="0"/>
    <x v="0"/>
    <x v="3"/>
    <x v="1"/>
  </r>
  <r>
    <s v="Singapore"/>
    <x v="5"/>
    <s v="SG2"/>
    <m/>
    <x v="1"/>
    <x v="3"/>
    <x v="0"/>
    <x v="0"/>
    <x v="0"/>
    <x v="0"/>
    <x v="0"/>
    <m/>
    <x v="0"/>
    <x v="0"/>
    <n v="-0.12463200000000001"/>
    <m/>
    <x v="4"/>
    <x v="2"/>
    <x v="0"/>
    <x v="0"/>
    <x v="2"/>
  </r>
  <r>
    <s v="Singapore"/>
    <x v="3"/>
    <s v="SG4"/>
    <m/>
    <x v="0"/>
    <x v="2"/>
    <x v="1"/>
    <x v="4"/>
    <x v="0"/>
    <x v="0"/>
    <x v="0"/>
    <m/>
    <x v="0"/>
    <x v="0"/>
    <n v="-0.140211"/>
    <m/>
    <x v="4"/>
    <x v="2"/>
    <x v="0"/>
    <x v="0"/>
    <x v="0"/>
  </r>
  <r>
    <s v="Singapore"/>
    <x v="1"/>
    <s v="SG3"/>
    <m/>
    <x v="3"/>
    <x v="0"/>
    <x v="3"/>
    <x v="1"/>
    <x v="0"/>
    <x v="0"/>
    <x v="0"/>
    <m/>
    <x v="0"/>
    <x v="0"/>
    <n v="1.5579000000000001"/>
    <m/>
    <x v="1"/>
    <x v="1"/>
    <x v="0"/>
    <x v="0"/>
    <x v="2"/>
  </r>
  <r>
    <s v="Singapore"/>
    <x v="1"/>
    <s v="SG1"/>
    <m/>
    <x v="3"/>
    <x v="3"/>
    <x v="0"/>
    <x v="2"/>
    <x v="0"/>
    <x v="0"/>
    <x v="0"/>
    <m/>
    <x v="0"/>
    <x v="0"/>
    <n v="-0.10905300000000001"/>
    <m/>
    <x v="0"/>
    <x v="0"/>
    <x v="0"/>
    <x v="2"/>
    <x v="0"/>
  </r>
  <r>
    <s v="Singapore"/>
    <x v="1"/>
    <s v="SG4"/>
    <m/>
    <x v="4"/>
    <x v="2"/>
    <x v="3"/>
    <x v="5"/>
    <x v="0"/>
    <x v="0"/>
    <x v="0"/>
    <m/>
    <x v="0"/>
    <x v="0"/>
    <n v="-0.15579000000000001"/>
    <m/>
    <x v="4"/>
    <x v="0"/>
    <x v="0"/>
    <x v="5"/>
    <x v="2"/>
  </r>
  <r>
    <s v="Singapore"/>
    <x v="0"/>
    <s v="SG4"/>
    <m/>
    <x v="2"/>
    <x v="0"/>
    <x v="3"/>
    <x v="3"/>
    <x v="0"/>
    <x v="0"/>
    <x v="0"/>
    <m/>
    <x v="0"/>
    <x v="0"/>
    <n v="-0.15579000000000001"/>
    <m/>
    <x v="0"/>
    <x v="1"/>
    <x v="0"/>
    <x v="4"/>
    <x v="2"/>
  </r>
  <r>
    <s v="Singapore"/>
    <x v="0"/>
    <s v="SG1"/>
    <m/>
    <x v="5"/>
    <x v="3"/>
    <x v="0"/>
    <x v="5"/>
    <x v="0"/>
    <x v="0"/>
    <x v="0"/>
    <m/>
    <x v="0"/>
    <x v="0"/>
    <n v="-4.5346885830000003"/>
    <m/>
    <x v="0"/>
    <x v="2"/>
    <x v="0"/>
    <x v="1"/>
    <x v="1"/>
  </r>
  <r>
    <s v="Singapore"/>
    <x v="1"/>
    <s v="SG1"/>
    <m/>
    <x v="3"/>
    <x v="1"/>
    <x v="3"/>
    <x v="5"/>
    <x v="0"/>
    <x v="0"/>
    <x v="0"/>
    <m/>
    <x v="0"/>
    <x v="0"/>
    <n v="-2.149902"/>
    <m/>
    <x v="4"/>
    <x v="1"/>
    <x v="0"/>
    <x v="1"/>
    <x v="2"/>
  </r>
  <r>
    <s v="Singapore"/>
    <x v="2"/>
    <s v="SG4"/>
    <m/>
    <x v="3"/>
    <x v="0"/>
    <x v="3"/>
    <x v="1"/>
    <x v="0"/>
    <x v="0"/>
    <x v="0"/>
    <m/>
    <x v="0"/>
    <x v="0"/>
    <n v="-0.12463200000000001"/>
    <m/>
    <x v="4"/>
    <x v="3"/>
    <x v="0"/>
    <x v="0"/>
    <x v="1"/>
  </r>
  <r>
    <s v="Singapore"/>
    <x v="3"/>
    <s v="SG2"/>
    <m/>
    <x v="3"/>
    <x v="1"/>
    <x v="4"/>
    <x v="0"/>
    <x v="0"/>
    <x v="0"/>
    <x v="0"/>
    <m/>
    <x v="0"/>
    <x v="0"/>
    <n v="-9.3474000000000002E-2"/>
    <m/>
    <x v="6"/>
    <x v="1"/>
    <x v="0"/>
    <x v="0"/>
    <x v="1"/>
  </r>
  <r>
    <s v="Singapore"/>
    <x v="2"/>
    <s v="SG4"/>
    <m/>
    <x v="4"/>
    <x v="1"/>
    <x v="4"/>
    <x v="2"/>
    <x v="0"/>
    <x v="0"/>
    <x v="0"/>
    <m/>
    <x v="0"/>
    <x v="0"/>
    <n v="-29.537706105000002"/>
    <m/>
    <x v="1"/>
    <x v="0"/>
    <x v="0"/>
    <x v="1"/>
    <x v="1"/>
  </r>
  <r>
    <s v="Singapore"/>
    <x v="1"/>
    <s v="SG2"/>
    <m/>
    <x v="2"/>
    <x v="4"/>
    <x v="0"/>
    <x v="3"/>
    <x v="0"/>
    <x v="0"/>
    <x v="0"/>
    <m/>
    <x v="0"/>
    <x v="0"/>
    <n v="0.15579000000000001"/>
    <m/>
    <x v="1"/>
    <x v="3"/>
    <x v="0"/>
    <x v="4"/>
    <x v="0"/>
  </r>
  <r>
    <s v="Singapore"/>
    <x v="5"/>
    <s v="SG3"/>
    <m/>
    <x v="1"/>
    <x v="4"/>
    <x v="3"/>
    <x v="2"/>
    <x v="0"/>
    <x v="0"/>
    <x v="0"/>
    <m/>
    <x v="0"/>
    <x v="0"/>
    <n v="66.310003809000008"/>
    <m/>
    <x v="8"/>
    <x v="3"/>
    <x v="0"/>
    <x v="2"/>
    <x v="0"/>
  </r>
  <r>
    <s v="Singapore"/>
    <x v="4"/>
    <s v="SG3"/>
    <m/>
    <x v="0"/>
    <x v="0"/>
    <x v="4"/>
    <x v="1"/>
    <x v="0"/>
    <x v="0"/>
    <x v="0"/>
    <m/>
    <x v="0"/>
    <x v="0"/>
    <n v="-0.22277970000000002"/>
    <m/>
    <x v="2"/>
    <x v="1"/>
    <x v="0"/>
    <x v="2"/>
    <x v="2"/>
  </r>
  <r>
    <s v="Singapore"/>
    <x v="3"/>
    <s v="SG3"/>
    <m/>
    <x v="0"/>
    <x v="1"/>
    <x v="2"/>
    <x v="5"/>
    <x v="0"/>
    <x v="0"/>
    <x v="0"/>
    <m/>
    <x v="0"/>
    <x v="0"/>
    <n v="-0.82880280000000006"/>
    <m/>
    <x v="3"/>
    <x v="3"/>
    <x v="0"/>
    <x v="1"/>
    <x v="1"/>
  </r>
  <r>
    <s v="Singapore"/>
    <x v="1"/>
    <s v="SG1"/>
    <m/>
    <x v="1"/>
    <x v="0"/>
    <x v="1"/>
    <x v="0"/>
    <x v="0"/>
    <x v="0"/>
    <x v="0"/>
    <m/>
    <x v="0"/>
    <x v="0"/>
    <n v="4.6737000000000002"/>
    <m/>
    <x v="8"/>
    <x v="3"/>
    <x v="0"/>
    <x v="0"/>
    <x v="1"/>
  </r>
  <r>
    <s v="Singapore"/>
    <x v="2"/>
    <s v="SG4"/>
    <m/>
    <x v="0"/>
    <x v="3"/>
    <x v="1"/>
    <x v="2"/>
    <x v="0"/>
    <x v="0"/>
    <x v="0"/>
    <m/>
    <x v="0"/>
    <x v="0"/>
    <n v="1.0360035000000001"/>
    <m/>
    <x v="1"/>
    <x v="0"/>
    <x v="0"/>
    <x v="2"/>
    <x v="2"/>
  </r>
  <r>
    <s v="Singapore"/>
    <x v="4"/>
    <s v="SG3"/>
    <m/>
    <x v="0"/>
    <x v="1"/>
    <x v="1"/>
    <x v="5"/>
    <x v="0"/>
    <x v="0"/>
    <x v="0"/>
    <m/>
    <x v="0"/>
    <x v="0"/>
    <n v="-80.886012210000004"/>
    <m/>
    <x v="6"/>
    <x v="0"/>
    <x v="0"/>
    <x v="2"/>
    <x v="1"/>
  </r>
  <r>
    <s v="Singapore"/>
    <x v="3"/>
    <s v="SG3"/>
    <m/>
    <x v="0"/>
    <x v="3"/>
    <x v="1"/>
    <x v="0"/>
    <x v="0"/>
    <x v="0"/>
    <x v="0"/>
    <m/>
    <x v="0"/>
    <x v="0"/>
    <n v="0.224399916"/>
    <m/>
    <x v="8"/>
    <x v="3"/>
    <x v="0"/>
    <x v="1"/>
    <x v="0"/>
  </r>
  <r>
    <s v="Singapore"/>
    <x v="5"/>
    <s v="SG3"/>
    <m/>
    <x v="2"/>
    <x v="1"/>
    <x v="4"/>
    <x v="4"/>
    <x v="0"/>
    <x v="0"/>
    <x v="0"/>
    <m/>
    <x v="0"/>
    <x v="0"/>
    <n v="-1.5579000000000001E-2"/>
    <m/>
    <x v="0"/>
    <x v="3"/>
    <x v="0"/>
    <x v="2"/>
    <x v="1"/>
  </r>
  <r>
    <s v="Singapore"/>
    <x v="1"/>
    <s v="SG3"/>
    <m/>
    <x v="5"/>
    <x v="3"/>
    <x v="3"/>
    <x v="5"/>
    <x v="0"/>
    <x v="0"/>
    <x v="0"/>
    <m/>
    <x v="0"/>
    <x v="0"/>
    <n v="4.36212"/>
    <m/>
    <x v="1"/>
    <x v="0"/>
    <x v="0"/>
    <x v="3"/>
    <x v="1"/>
  </r>
  <r>
    <s v="Singapore"/>
    <x v="4"/>
    <s v="SG3"/>
    <m/>
    <x v="5"/>
    <x v="1"/>
    <x v="0"/>
    <x v="4"/>
    <x v="0"/>
    <x v="0"/>
    <x v="0"/>
    <m/>
    <x v="0"/>
    <x v="0"/>
    <n v="-0.1838322"/>
    <m/>
    <x v="4"/>
    <x v="2"/>
    <x v="0"/>
    <x v="5"/>
    <x v="0"/>
  </r>
  <r>
    <s v="Singapore"/>
    <x v="2"/>
    <s v="SG3"/>
    <m/>
    <x v="5"/>
    <x v="4"/>
    <x v="0"/>
    <x v="1"/>
    <x v="0"/>
    <x v="0"/>
    <x v="0"/>
    <m/>
    <x v="0"/>
    <x v="0"/>
    <n v="-9.3474000000000005E-3"/>
    <m/>
    <x v="3"/>
    <x v="0"/>
    <x v="0"/>
    <x v="2"/>
    <x v="2"/>
  </r>
  <r>
    <s v="Singapore"/>
    <x v="0"/>
    <s v="SG4"/>
    <m/>
    <x v="0"/>
    <x v="2"/>
    <x v="2"/>
    <x v="5"/>
    <x v="0"/>
    <x v="0"/>
    <x v="0"/>
    <m/>
    <x v="0"/>
    <x v="0"/>
    <n v="0.17839512900000001"/>
    <m/>
    <x v="1"/>
    <x v="2"/>
    <x v="0"/>
    <x v="2"/>
    <x v="1"/>
  </r>
  <r>
    <s v="Singapore"/>
    <x v="1"/>
    <s v="SG4"/>
    <m/>
    <x v="0"/>
    <x v="4"/>
    <x v="3"/>
    <x v="4"/>
    <x v="0"/>
    <x v="0"/>
    <x v="0"/>
    <m/>
    <x v="0"/>
    <x v="0"/>
    <n v="-1.2151620000000001"/>
    <m/>
    <x v="4"/>
    <x v="2"/>
    <x v="0"/>
    <x v="2"/>
    <x v="1"/>
  </r>
  <r>
    <s v="Singapore"/>
    <x v="4"/>
    <s v="SG4"/>
    <m/>
    <x v="0"/>
    <x v="0"/>
    <x v="3"/>
    <x v="4"/>
    <x v="0"/>
    <x v="0"/>
    <x v="0"/>
    <m/>
    <x v="0"/>
    <x v="0"/>
    <n v="-9.3474000000000002E-2"/>
    <m/>
    <x v="0"/>
    <x v="0"/>
    <x v="0"/>
    <x v="2"/>
    <x v="0"/>
  </r>
  <r>
    <s v="Singapore"/>
    <x v="5"/>
    <s v="SG3"/>
    <m/>
    <x v="2"/>
    <x v="2"/>
    <x v="0"/>
    <x v="5"/>
    <x v="0"/>
    <x v="0"/>
    <x v="0"/>
    <m/>
    <x v="0"/>
    <x v="0"/>
    <n v="2.96001"/>
    <m/>
    <x v="1"/>
    <x v="2"/>
    <x v="0"/>
    <x v="2"/>
    <x v="1"/>
  </r>
  <r>
    <s v="Singapore"/>
    <x v="2"/>
    <s v="SG2"/>
    <m/>
    <x v="4"/>
    <x v="3"/>
    <x v="4"/>
    <x v="5"/>
    <x v="0"/>
    <x v="0"/>
    <x v="0"/>
    <m/>
    <x v="0"/>
    <x v="0"/>
    <n v="6.0373921860000008"/>
    <m/>
    <x v="1"/>
    <x v="3"/>
    <x v="0"/>
    <x v="0"/>
    <x v="1"/>
  </r>
  <r>
    <s v="Singapore"/>
    <x v="1"/>
    <s v="SG4"/>
    <m/>
    <x v="3"/>
    <x v="3"/>
    <x v="1"/>
    <x v="5"/>
    <x v="0"/>
    <x v="0"/>
    <x v="0"/>
    <m/>
    <x v="0"/>
    <x v="0"/>
    <n v="-0.15579000000000001"/>
    <m/>
    <x v="0"/>
    <x v="3"/>
    <x v="0"/>
    <x v="3"/>
    <x v="2"/>
  </r>
  <r>
    <s v="Singapore"/>
    <x v="0"/>
    <s v="SG4"/>
    <m/>
    <x v="1"/>
    <x v="0"/>
    <x v="1"/>
    <x v="4"/>
    <x v="0"/>
    <x v="0"/>
    <x v="0"/>
    <m/>
    <x v="0"/>
    <x v="0"/>
    <n v="-0.77895000000000003"/>
    <m/>
    <x v="4"/>
    <x v="2"/>
    <x v="0"/>
    <x v="2"/>
    <x v="0"/>
  </r>
  <r>
    <s v="Singapore"/>
    <x v="3"/>
    <s v="SG4"/>
    <m/>
    <x v="4"/>
    <x v="4"/>
    <x v="0"/>
    <x v="3"/>
    <x v="0"/>
    <x v="0"/>
    <x v="0"/>
    <m/>
    <x v="0"/>
    <x v="0"/>
    <n v="-0.233685"/>
    <m/>
    <x v="0"/>
    <x v="2"/>
    <x v="0"/>
    <x v="1"/>
    <x v="1"/>
  </r>
  <r>
    <s v="Singapore"/>
    <x v="2"/>
    <s v="SG3"/>
    <m/>
    <x v="3"/>
    <x v="0"/>
    <x v="2"/>
    <x v="3"/>
    <x v="0"/>
    <x v="0"/>
    <x v="0"/>
    <m/>
    <x v="0"/>
    <x v="0"/>
    <n v="-6.5182536000000013E-2"/>
    <m/>
    <x v="4"/>
    <x v="1"/>
    <x v="0"/>
    <x v="3"/>
    <x v="1"/>
  </r>
  <r>
    <s v="Singapore"/>
    <x v="5"/>
    <s v="SG2"/>
    <m/>
    <x v="2"/>
    <x v="1"/>
    <x v="4"/>
    <x v="5"/>
    <x v="0"/>
    <x v="0"/>
    <x v="0"/>
    <m/>
    <x v="0"/>
    <x v="0"/>
    <n v="0.21031650000000002"/>
    <m/>
    <x v="1"/>
    <x v="1"/>
    <x v="0"/>
    <x v="3"/>
    <x v="0"/>
  </r>
  <r>
    <s v="Singapore"/>
    <x v="1"/>
    <s v="SG1"/>
    <m/>
    <x v="3"/>
    <x v="2"/>
    <x v="4"/>
    <x v="5"/>
    <x v="0"/>
    <x v="0"/>
    <x v="0"/>
    <m/>
    <x v="0"/>
    <x v="0"/>
    <n v="-0.31158000000000002"/>
    <m/>
    <x v="0"/>
    <x v="0"/>
    <x v="0"/>
    <x v="0"/>
    <x v="2"/>
  </r>
  <r>
    <s v="Singapore"/>
    <x v="0"/>
    <s v="SG2"/>
    <m/>
    <x v="5"/>
    <x v="1"/>
    <x v="3"/>
    <x v="0"/>
    <x v="0"/>
    <x v="0"/>
    <x v="0"/>
    <m/>
    <x v="0"/>
    <x v="0"/>
    <n v="-0.1838322"/>
    <m/>
    <x v="4"/>
    <x v="2"/>
    <x v="0"/>
    <x v="2"/>
    <x v="2"/>
  </r>
  <r>
    <s v="Singapore"/>
    <x v="2"/>
    <s v="SG3"/>
    <m/>
    <x v="4"/>
    <x v="2"/>
    <x v="4"/>
    <x v="0"/>
    <x v="0"/>
    <x v="0"/>
    <x v="0"/>
    <m/>
    <x v="0"/>
    <x v="0"/>
    <n v="-0.77895000000000003"/>
    <m/>
    <x v="4"/>
    <x v="1"/>
    <x v="0"/>
    <x v="5"/>
    <x v="1"/>
  </r>
  <r>
    <s v="Singapore"/>
    <x v="3"/>
    <s v="SG3"/>
    <m/>
    <x v="4"/>
    <x v="1"/>
    <x v="2"/>
    <x v="0"/>
    <x v="0"/>
    <x v="0"/>
    <x v="0"/>
    <m/>
    <x v="0"/>
    <x v="0"/>
    <n v="74.904657686999997"/>
    <m/>
    <x v="7"/>
    <x v="1"/>
    <x v="0"/>
    <x v="4"/>
    <x v="0"/>
  </r>
  <r>
    <s v="Singapore"/>
    <x v="3"/>
    <s v="SG2"/>
    <m/>
    <x v="5"/>
    <x v="2"/>
    <x v="1"/>
    <x v="1"/>
    <x v="0"/>
    <x v="0"/>
    <x v="0"/>
    <m/>
    <x v="0"/>
    <x v="0"/>
    <n v="-0.15423210000000001"/>
    <m/>
    <x v="3"/>
    <x v="1"/>
    <x v="0"/>
    <x v="1"/>
    <x v="1"/>
  </r>
  <r>
    <s v="Singapore"/>
    <x v="1"/>
    <s v="SG4"/>
    <m/>
    <x v="3"/>
    <x v="2"/>
    <x v="3"/>
    <x v="3"/>
    <x v="0"/>
    <x v="0"/>
    <x v="0"/>
    <m/>
    <x v="0"/>
    <x v="0"/>
    <n v="-3.7389600000000002E-2"/>
    <m/>
    <x v="3"/>
    <x v="1"/>
    <x v="0"/>
    <x v="5"/>
    <x v="1"/>
  </r>
  <r>
    <s v="Singapore"/>
    <x v="0"/>
    <s v="SG2"/>
    <m/>
    <x v="3"/>
    <x v="2"/>
    <x v="4"/>
    <x v="5"/>
    <x v="0"/>
    <x v="0"/>
    <x v="0"/>
    <m/>
    <x v="0"/>
    <x v="0"/>
    <n v="-7.7895000000000004E-3"/>
    <m/>
    <x v="0"/>
    <x v="1"/>
    <x v="0"/>
    <x v="2"/>
    <x v="2"/>
  </r>
  <r>
    <s v="Singapore"/>
    <x v="3"/>
    <s v="SG2"/>
    <m/>
    <x v="1"/>
    <x v="3"/>
    <x v="0"/>
    <x v="3"/>
    <x v="0"/>
    <x v="0"/>
    <x v="0"/>
    <m/>
    <x v="0"/>
    <x v="0"/>
    <n v="-0.81010800000000005"/>
    <m/>
    <x v="4"/>
    <x v="1"/>
    <x v="0"/>
    <x v="0"/>
    <x v="1"/>
  </r>
  <r>
    <s v="Singapore"/>
    <x v="2"/>
    <s v="SG4"/>
    <m/>
    <x v="1"/>
    <x v="3"/>
    <x v="0"/>
    <x v="4"/>
    <x v="0"/>
    <x v="0"/>
    <x v="0"/>
    <m/>
    <x v="0"/>
    <x v="0"/>
    <n v="-0.280422"/>
    <m/>
    <x v="0"/>
    <x v="0"/>
    <x v="0"/>
    <x v="0"/>
    <x v="2"/>
  </r>
  <r>
    <s v="Singapore"/>
    <x v="0"/>
    <s v="SG2"/>
    <m/>
    <x v="5"/>
    <x v="0"/>
    <x v="4"/>
    <x v="4"/>
    <x v="0"/>
    <x v="0"/>
    <x v="0"/>
    <m/>
    <x v="0"/>
    <x v="0"/>
    <n v="-3.1158000000000002E-2"/>
    <m/>
    <x v="0"/>
    <x v="1"/>
    <x v="0"/>
    <x v="2"/>
    <x v="0"/>
  </r>
  <r>
    <s v="Singapore"/>
    <x v="2"/>
    <s v="SG1"/>
    <m/>
    <x v="4"/>
    <x v="2"/>
    <x v="3"/>
    <x v="3"/>
    <x v="0"/>
    <x v="0"/>
    <x v="0"/>
    <m/>
    <x v="0"/>
    <x v="0"/>
    <n v="0.25925013899999999"/>
    <m/>
    <x v="8"/>
    <x v="1"/>
    <x v="0"/>
    <x v="3"/>
    <x v="1"/>
  </r>
  <r>
    <s v="Singapore"/>
    <x v="0"/>
    <s v="SG2"/>
    <m/>
    <x v="4"/>
    <x v="1"/>
    <x v="4"/>
    <x v="1"/>
    <x v="0"/>
    <x v="0"/>
    <x v="0"/>
    <m/>
    <x v="0"/>
    <x v="0"/>
    <n v="-3.7389600000000001"/>
    <m/>
    <x v="8"/>
    <x v="1"/>
    <x v="0"/>
    <x v="4"/>
    <x v="1"/>
  </r>
  <r>
    <s v="Singapore"/>
    <x v="1"/>
    <s v="SG1"/>
    <m/>
    <x v="0"/>
    <x v="1"/>
    <x v="3"/>
    <x v="1"/>
    <x v="0"/>
    <x v="0"/>
    <x v="0"/>
    <m/>
    <x v="0"/>
    <x v="0"/>
    <n v="-144.78669251100001"/>
    <m/>
    <x v="1"/>
    <x v="3"/>
    <x v="0"/>
    <x v="4"/>
    <x v="2"/>
  </r>
  <r>
    <s v="Singapore"/>
    <x v="0"/>
    <s v="SG2"/>
    <m/>
    <x v="5"/>
    <x v="4"/>
    <x v="0"/>
    <x v="2"/>
    <x v="0"/>
    <x v="0"/>
    <x v="0"/>
    <m/>
    <x v="0"/>
    <x v="0"/>
    <n v="-0.15579000000000001"/>
    <m/>
    <x v="0"/>
    <x v="1"/>
    <x v="0"/>
    <x v="5"/>
    <x v="0"/>
  </r>
  <r>
    <s v="Singapore"/>
    <x v="1"/>
    <s v="SG1"/>
    <m/>
    <x v="5"/>
    <x v="1"/>
    <x v="2"/>
    <x v="2"/>
    <x v="0"/>
    <x v="0"/>
    <x v="0"/>
    <m/>
    <x v="0"/>
    <x v="0"/>
    <n v="-0.1838322"/>
    <m/>
    <x v="4"/>
    <x v="3"/>
    <x v="0"/>
    <x v="1"/>
    <x v="1"/>
  </r>
  <r>
    <s v="Singapore"/>
    <x v="1"/>
    <s v="SG1"/>
    <m/>
    <x v="5"/>
    <x v="2"/>
    <x v="2"/>
    <x v="4"/>
    <x v="0"/>
    <x v="0"/>
    <x v="0"/>
    <m/>
    <x v="0"/>
    <x v="0"/>
    <n v="-0.81010800000000005"/>
    <m/>
    <x v="4"/>
    <x v="3"/>
    <x v="0"/>
    <x v="0"/>
    <x v="1"/>
  </r>
  <r>
    <s v="Singapore"/>
    <x v="2"/>
    <s v="SG4"/>
    <m/>
    <x v="5"/>
    <x v="3"/>
    <x v="4"/>
    <x v="1"/>
    <x v="0"/>
    <x v="0"/>
    <x v="0"/>
    <m/>
    <x v="0"/>
    <x v="0"/>
    <n v="1.480005"/>
    <m/>
    <x v="11"/>
    <x v="3"/>
    <x v="0"/>
    <x v="3"/>
    <x v="0"/>
  </r>
  <r>
    <s v="Singapore"/>
    <x v="2"/>
    <s v="SG2"/>
    <m/>
    <x v="3"/>
    <x v="1"/>
    <x v="1"/>
    <x v="0"/>
    <x v="0"/>
    <x v="0"/>
    <x v="0"/>
    <m/>
    <x v="0"/>
    <x v="0"/>
    <n v="-0.1838322"/>
    <m/>
    <x v="4"/>
    <x v="1"/>
    <x v="0"/>
    <x v="4"/>
    <x v="0"/>
  </r>
  <r>
    <s v="Singapore"/>
    <x v="5"/>
    <s v="SG3"/>
    <m/>
    <x v="0"/>
    <x v="4"/>
    <x v="4"/>
    <x v="0"/>
    <x v="0"/>
    <x v="0"/>
    <x v="0"/>
    <m/>
    <x v="0"/>
    <x v="0"/>
    <n v="-0.50631749999999998"/>
    <m/>
    <x v="2"/>
    <x v="1"/>
    <x v="0"/>
    <x v="2"/>
    <x v="2"/>
  </r>
  <r>
    <s v="Singapore"/>
    <x v="1"/>
    <s v="SG4"/>
    <m/>
    <x v="1"/>
    <x v="3"/>
    <x v="2"/>
    <x v="0"/>
    <x v="0"/>
    <x v="0"/>
    <x v="0"/>
    <m/>
    <x v="0"/>
    <x v="0"/>
    <n v="6.2480825820000003"/>
    <m/>
    <x v="7"/>
    <x v="1"/>
    <x v="0"/>
    <x v="1"/>
    <x v="1"/>
  </r>
  <r>
    <s v="Singapore"/>
    <x v="4"/>
    <s v="SG2"/>
    <m/>
    <x v="0"/>
    <x v="3"/>
    <x v="2"/>
    <x v="0"/>
    <x v="0"/>
    <x v="0"/>
    <x v="0"/>
    <m/>
    <x v="0"/>
    <x v="0"/>
    <n v="-33.099158979000002"/>
    <m/>
    <x v="2"/>
    <x v="0"/>
    <x v="0"/>
    <x v="5"/>
    <x v="1"/>
  </r>
  <r>
    <s v="Singapore"/>
    <x v="4"/>
    <s v="SG1"/>
    <m/>
    <x v="3"/>
    <x v="3"/>
    <x v="0"/>
    <x v="1"/>
    <x v="0"/>
    <x v="0"/>
    <x v="0"/>
    <m/>
    <x v="0"/>
    <x v="0"/>
    <n v="0.16389108000000002"/>
    <m/>
    <x v="8"/>
    <x v="2"/>
    <x v="0"/>
    <x v="1"/>
    <x v="1"/>
  </r>
  <r>
    <s v="Singapore"/>
    <x v="0"/>
    <s v="SG4"/>
    <m/>
    <x v="1"/>
    <x v="0"/>
    <x v="1"/>
    <x v="5"/>
    <x v="0"/>
    <x v="0"/>
    <x v="0"/>
    <m/>
    <x v="0"/>
    <x v="0"/>
    <n v="-0.1838322"/>
    <m/>
    <x v="4"/>
    <x v="0"/>
    <x v="0"/>
    <x v="1"/>
    <x v="1"/>
  </r>
  <r>
    <s v="Singapore"/>
    <x v="5"/>
    <s v="SG1"/>
    <m/>
    <x v="4"/>
    <x v="4"/>
    <x v="0"/>
    <x v="1"/>
    <x v="0"/>
    <x v="0"/>
    <x v="0"/>
    <m/>
    <x v="0"/>
    <x v="0"/>
    <n v="0.15579000000000001"/>
    <m/>
    <x v="1"/>
    <x v="3"/>
    <x v="0"/>
    <x v="3"/>
    <x v="2"/>
  </r>
  <r>
    <s v="Singapore"/>
    <x v="5"/>
    <s v="SG2"/>
    <m/>
    <x v="3"/>
    <x v="0"/>
    <x v="2"/>
    <x v="5"/>
    <x v="0"/>
    <x v="0"/>
    <x v="0"/>
    <m/>
    <x v="0"/>
    <x v="0"/>
    <n v="-0.21810600000000002"/>
    <m/>
    <x v="4"/>
    <x v="0"/>
    <x v="0"/>
    <x v="3"/>
    <x v="0"/>
  </r>
  <r>
    <s v="Singapore"/>
    <x v="5"/>
    <s v="SG2"/>
    <m/>
    <x v="2"/>
    <x v="2"/>
    <x v="0"/>
    <x v="4"/>
    <x v="0"/>
    <x v="0"/>
    <x v="0"/>
    <m/>
    <x v="0"/>
    <x v="0"/>
    <n v="-11.528460000000001"/>
    <m/>
    <x v="7"/>
    <x v="3"/>
    <x v="0"/>
    <x v="5"/>
    <x v="1"/>
  </r>
  <r>
    <s v="Singapore"/>
    <x v="5"/>
    <s v="SG3"/>
    <m/>
    <x v="1"/>
    <x v="4"/>
    <x v="0"/>
    <x v="3"/>
    <x v="0"/>
    <x v="0"/>
    <x v="0"/>
    <m/>
    <x v="0"/>
    <x v="0"/>
    <n v="-2.3564328030000001"/>
    <m/>
    <x v="0"/>
    <x v="1"/>
    <x v="0"/>
    <x v="0"/>
    <x v="2"/>
  </r>
  <r>
    <s v="Singapore"/>
    <x v="4"/>
    <s v="SG2"/>
    <m/>
    <x v="1"/>
    <x v="3"/>
    <x v="2"/>
    <x v="5"/>
    <x v="0"/>
    <x v="0"/>
    <x v="0"/>
    <m/>
    <x v="0"/>
    <x v="0"/>
    <n v="-0.31158000000000002"/>
    <m/>
    <x v="4"/>
    <x v="1"/>
    <x v="0"/>
    <x v="4"/>
    <x v="2"/>
  </r>
  <r>
    <s v="Singapore"/>
    <x v="1"/>
    <s v="SG1"/>
    <m/>
    <x v="2"/>
    <x v="4"/>
    <x v="1"/>
    <x v="1"/>
    <x v="0"/>
    <x v="0"/>
    <x v="0"/>
    <m/>
    <x v="0"/>
    <x v="0"/>
    <n v="-0.18087218999999999"/>
    <m/>
    <x v="4"/>
    <x v="3"/>
    <x v="0"/>
    <x v="0"/>
    <x v="2"/>
  </r>
  <r>
    <s v="Singapore"/>
    <x v="3"/>
    <s v="SG2"/>
    <m/>
    <x v="1"/>
    <x v="2"/>
    <x v="3"/>
    <x v="2"/>
    <x v="0"/>
    <x v="0"/>
    <x v="0"/>
    <m/>
    <x v="0"/>
    <x v="0"/>
    <n v="-1.5579000000000001E-2"/>
    <m/>
    <x v="0"/>
    <x v="0"/>
    <x v="0"/>
    <x v="1"/>
    <x v="1"/>
  </r>
  <r>
    <s v="Singapore"/>
    <x v="4"/>
    <s v="SG1"/>
    <m/>
    <x v="0"/>
    <x v="4"/>
    <x v="4"/>
    <x v="4"/>
    <x v="0"/>
    <x v="0"/>
    <x v="0"/>
    <m/>
    <x v="0"/>
    <x v="0"/>
    <n v="0.1838322"/>
    <m/>
    <x v="4"/>
    <x v="3"/>
    <x v="0"/>
    <x v="2"/>
    <x v="0"/>
  </r>
  <r>
    <s v="Singapore"/>
    <x v="0"/>
    <s v="SG4"/>
    <m/>
    <x v="5"/>
    <x v="0"/>
    <x v="2"/>
    <x v="0"/>
    <x v="0"/>
    <x v="0"/>
    <x v="0"/>
    <m/>
    <x v="0"/>
    <x v="0"/>
    <n v="2.149902"/>
    <m/>
    <x v="1"/>
    <x v="2"/>
    <x v="0"/>
    <x v="0"/>
    <x v="0"/>
  </r>
  <r>
    <s v="Singapore"/>
    <x v="2"/>
    <s v="SG2"/>
    <m/>
    <x v="3"/>
    <x v="3"/>
    <x v="0"/>
    <x v="1"/>
    <x v="0"/>
    <x v="0"/>
    <x v="0"/>
    <m/>
    <x v="0"/>
    <x v="0"/>
    <n v="-4.2374879999999999"/>
    <m/>
    <x v="4"/>
    <x v="0"/>
    <x v="0"/>
    <x v="0"/>
    <x v="2"/>
  </r>
  <r>
    <s v="Singapore"/>
    <x v="2"/>
    <s v="SG4"/>
    <m/>
    <x v="3"/>
    <x v="2"/>
    <x v="1"/>
    <x v="5"/>
    <x v="0"/>
    <x v="0"/>
    <x v="0"/>
    <m/>
    <x v="0"/>
    <x v="0"/>
    <n v="-103.29500160000001"/>
    <m/>
    <x v="4"/>
    <x v="1"/>
    <x v="0"/>
    <x v="1"/>
    <x v="2"/>
  </r>
  <r>
    <s v="Singapore"/>
    <x v="4"/>
    <s v="SG1"/>
    <m/>
    <x v="0"/>
    <x v="4"/>
    <x v="4"/>
    <x v="1"/>
    <x v="0"/>
    <x v="0"/>
    <x v="0"/>
    <m/>
    <x v="0"/>
    <x v="0"/>
    <n v="3.2435478000000004E-2"/>
    <m/>
    <x v="0"/>
    <x v="3"/>
    <x v="0"/>
    <x v="4"/>
    <x v="0"/>
  </r>
  <r>
    <s v="Singapore"/>
    <x v="1"/>
    <s v="SG1"/>
    <m/>
    <x v="2"/>
    <x v="4"/>
    <x v="1"/>
    <x v="0"/>
    <x v="0"/>
    <x v="0"/>
    <x v="0"/>
    <m/>
    <x v="0"/>
    <x v="0"/>
    <n v="-2.0971826640000004"/>
    <m/>
    <x v="4"/>
    <x v="3"/>
    <x v="0"/>
    <x v="2"/>
    <x v="0"/>
  </r>
  <r>
    <s v="Singapore"/>
    <x v="3"/>
    <s v="SG3"/>
    <m/>
    <x v="4"/>
    <x v="0"/>
    <x v="2"/>
    <x v="2"/>
    <x v="0"/>
    <x v="0"/>
    <x v="0"/>
    <m/>
    <x v="0"/>
    <x v="0"/>
    <n v="-0.1838322"/>
    <m/>
    <x v="4"/>
    <x v="0"/>
    <x v="0"/>
    <x v="0"/>
    <x v="0"/>
  </r>
  <r>
    <s v="Singapore"/>
    <x v="4"/>
    <s v="SG1"/>
    <m/>
    <x v="0"/>
    <x v="0"/>
    <x v="1"/>
    <x v="5"/>
    <x v="0"/>
    <x v="0"/>
    <x v="0"/>
    <m/>
    <x v="0"/>
    <x v="0"/>
    <n v="-1.6357950000000001"/>
    <m/>
    <x v="4"/>
    <x v="1"/>
    <x v="0"/>
    <x v="2"/>
    <x v="2"/>
  </r>
  <r>
    <s v="Singapore"/>
    <x v="3"/>
    <s v="SG2"/>
    <m/>
    <x v="3"/>
    <x v="0"/>
    <x v="0"/>
    <x v="2"/>
    <x v="0"/>
    <x v="0"/>
    <x v="0"/>
    <m/>
    <x v="0"/>
    <x v="0"/>
    <n v="-1.6030791"/>
    <m/>
    <x v="2"/>
    <x v="3"/>
    <x v="0"/>
    <x v="0"/>
    <x v="2"/>
  </r>
  <r>
    <s v="Singapore"/>
    <x v="1"/>
    <s v="SG2"/>
    <m/>
    <x v="1"/>
    <x v="3"/>
    <x v="1"/>
    <x v="1"/>
    <x v="0"/>
    <x v="0"/>
    <x v="0"/>
    <m/>
    <x v="0"/>
    <x v="0"/>
    <n v="6.5431799999999998E-2"/>
    <m/>
    <x v="3"/>
    <x v="2"/>
    <x v="0"/>
    <x v="5"/>
    <x v="2"/>
  </r>
  <r>
    <s v="Singapore"/>
    <x v="2"/>
    <s v="SG4"/>
    <m/>
    <x v="0"/>
    <x v="2"/>
    <x v="2"/>
    <x v="1"/>
    <x v="0"/>
    <x v="0"/>
    <x v="0"/>
    <m/>
    <x v="0"/>
    <x v="0"/>
    <n v="-0.46737000000000001"/>
    <m/>
    <x v="0"/>
    <x v="0"/>
    <x v="0"/>
    <x v="5"/>
    <x v="0"/>
  </r>
  <r>
    <s v="Singapore"/>
    <x v="0"/>
    <s v="SG2"/>
    <m/>
    <x v="2"/>
    <x v="0"/>
    <x v="3"/>
    <x v="0"/>
    <x v="0"/>
    <x v="0"/>
    <x v="0"/>
    <m/>
    <x v="0"/>
    <x v="0"/>
    <n v="0.233685"/>
    <m/>
    <x v="1"/>
    <x v="2"/>
    <x v="0"/>
    <x v="2"/>
    <x v="0"/>
  </r>
  <r>
    <s v="Singapore"/>
    <x v="0"/>
    <s v="SG3"/>
    <m/>
    <x v="1"/>
    <x v="2"/>
    <x v="0"/>
    <x v="4"/>
    <x v="0"/>
    <x v="0"/>
    <x v="0"/>
    <m/>
    <x v="0"/>
    <x v="0"/>
    <n v="-67.768650000000008"/>
    <m/>
    <x v="7"/>
    <x v="1"/>
    <x v="0"/>
    <x v="5"/>
    <x v="1"/>
  </r>
  <r>
    <s v="Singapore"/>
    <x v="5"/>
    <s v="SG3"/>
    <m/>
    <x v="1"/>
    <x v="1"/>
    <x v="2"/>
    <x v="0"/>
    <x v="0"/>
    <x v="0"/>
    <x v="0"/>
    <m/>
    <x v="0"/>
    <x v="0"/>
    <n v="-1.5579000000000001E-2"/>
    <m/>
    <x v="0"/>
    <x v="3"/>
    <x v="0"/>
    <x v="3"/>
    <x v="2"/>
  </r>
  <r>
    <s v="Singapore"/>
    <x v="1"/>
    <s v="SG2"/>
    <m/>
    <x v="3"/>
    <x v="3"/>
    <x v="2"/>
    <x v="1"/>
    <x v="0"/>
    <x v="0"/>
    <x v="0"/>
    <m/>
    <x v="0"/>
    <x v="0"/>
    <n v="-0.15579000000000001"/>
    <m/>
    <x v="0"/>
    <x v="0"/>
    <x v="0"/>
    <x v="2"/>
    <x v="2"/>
  </r>
  <r>
    <s v="Singapore"/>
    <x v="2"/>
    <s v="SG3"/>
    <m/>
    <x v="0"/>
    <x v="2"/>
    <x v="0"/>
    <x v="1"/>
    <x v="0"/>
    <x v="0"/>
    <x v="0"/>
    <m/>
    <x v="0"/>
    <x v="0"/>
    <n v="4.36212"/>
    <m/>
    <x v="1"/>
    <x v="1"/>
    <x v="0"/>
    <x v="1"/>
    <x v="0"/>
  </r>
  <r>
    <s v="Singapore"/>
    <x v="2"/>
    <s v="SG4"/>
    <m/>
    <x v="3"/>
    <x v="3"/>
    <x v="3"/>
    <x v="4"/>
    <x v="0"/>
    <x v="0"/>
    <x v="0"/>
    <m/>
    <x v="0"/>
    <x v="0"/>
    <n v="-5.2195725810000004"/>
    <m/>
    <x v="2"/>
    <x v="3"/>
    <x v="0"/>
    <x v="2"/>
    <x v="1"/>
  </r>
  <r>
    <s v="Singapore"/>
    <x v="0"/>
    <s v="SG2"/>
    <m/>
    <x v="3"/>
    <x v="4"/>
    <x v="3"/>
    <x v="5"/>
    <x v="0"/>
    <x v="0"/>
    <x v="0"/>
    <m/>
    <x v="0"/>
    <x v="0"/>
    <n v="-6.2316000000000003E-3"/>
    <m/>
    <x v="6"/>
    <x v="3"/>
    <x v="0"/>
    <x v="3"/>
    <x v="0"/>
  </r>
  <r>
    <s v="Singapore"/>
    <x v="5"/>
    <s v="SG4"/>
    <m/>
    <x v="0"/>
    <x v="3"/>
    <x v="0"/>
    <x v="5"/>
    <x v="0"/>
    <x v="0"/>
    <x v="0"/>
    <m/>
    <x v="0"/>
    <x v="0"/>
    <n v="-1.5579000000000001E-2"/>
    <m/>
    <x v="0"/>
    <x v="2"/>
    <x v="0"/>
    <x v="4"/>
    <x v="2"/>
  </r>
  <r>
    <s v="Singapore"/>
    <x v="0"/>
    <s v="SG1"/>
    <m/>
    <x v="1"/>
    <x v="4"/>
    <x v="1"/>
    <x v="0"/>
    <x v="0"/>
    <x v="0"/>
    <x v="0"/>
    <m/>
    <x v="0"/>
    <x v="0"/>
    <n v="-0.233685"/>
    <m/>
    <x v="0"/>
    <x v="1"/>
    <x v="0"/>
    <x v="2"/>
    <x v="1"/>
  </r>
  <r>
    <s v="Singapore"/>
    <x v="5"/>
    <s v="SG3"/>
    <m/>
    <x v="2"/>
    <x v="3"/>
    <x v="3"/>
    <x v="2"/>
    <x v="0"/>
    <x v="0"/>
    <x v="0"/>
    <m/>
    <x v="0"/>
    <x v="0"/>
    <n v="0.66989700000000008"/>
    <m/>
    <x v="1"/>
    <x v="1"/>
    <x v="0"/>
    <x v="3"/>
    <x v="1"/>
  </r>
  <r>
    <s v="Singapore"/>
    <x v="2"/>
    <s v="SG2"/>
    <m/>
    <x v="1"/>
    <x v="2"/>
    <x v="4"/>
    <x v="0"/>
    <x v="0"/>
    <x v="0"/>
    <x v="0"/>
    <m/>
    <x v="0"/>
    <x v="0"/>
    <n v="2.897694"/>
    <m/>
    <x v="1"/>
    <x v="0"/>
    <x v="0"/>
    <x v="3"/>
    <x v="0"/>
  </r>
  <r>
    <s v="Singapore"/>
    <x v="5"/>
    <s v="SG3"/>
    <m/>
    <x v="4"/>
    <x v="0"/>
    <x v="1"/>
    <x v="4"/>
    <x v="0"/>
    <x v="0"/>
    <x v="0"/>
    <m/>
    <x v="0"/>
    <x v="0"/>
    <n v="-2.7263250000000001"/>
    <m/>
    <x v="1"/>
    <x v="2"/>
    <x v="0"/>
    <x v="2"/>
    <x v="1"/>
  </r>
  <r>
    <s v="Singapore"/>
    <x v="0"/>
    <s v="SG1"/>
    <m/>
    <x v="2"/>
    <x v="0"/>
    <x v="3"/>
    <x v="4"/>
    <x v="0"/>
    <x v="0"/>
    <x v="0"/>
    <m/>
    <x v="0"/>
    <x v="0"/>
    <n v="0.74467620000000001"/>
    <m/>
    <x v="1"/>
    <x v="3"/>
    <x v="0"/>
    <x v="0"/>
    <x v="2"/>
  </r>
  <r>
    <s v="Singapore"/>
    <x v="2"/>
    <s v="SG2"/>
    <m/>
    <x v="2"/>
    <x v="1"/>
    <x v="3"/>
    <x v="1"/>
    <x v="0"/>
    <x v="0"/>
    <x v="0"/>
    <m/>
    <x v="0"/>
    <x v="0"/>
    <n v="0.82568700000000006"/>
    <m/>
    <x v="1"/>
    <x v="3"/>
    <x v="0"/>
    <x v="4"/>
    <x v="0"/>
  </r>
  <r>
    <s v="Singapore"/>
    <x v="3"/>
    <s v="SG4"/>
    <m/>
    <x v="2"/>
    <x v="2"/>
    <x v="3"/>
    <x v="4"/>
    <x v="0"/>
    <x v="0"/>
    <x v="0"/>
    <m/>
    <x v="0"/>
    <x v="0"/>
    <n v="-1.0886449410000001"/>
    <m/>
    <x v="8"/>
    <x v="1"/>
    <x v="0"/>
    <x v="0"/>
    <x v="1"/>
  </r>
  <r>
    <s v="Singapore"/>
    <x v="3"/>
    <s v="SG2"/>
    <m/>
    <x v="2"/>
    <x v="1"/>
    <x v="1"/>
    <x v="5"/>
    <x v="0"/>
    <x v="0"/>
    <x v="0"/>
    <m/>
    <x v="0"/>
    <x v="0"/>
    <n v="-0.233685"/>
    <m/>
    <x v="0"/>
    <x v="2"/>
    <x v="0"/>
    <x v="0"/>
    <x v="1"/>
  </r>
  <r>
    <s v="Singapore"/>
    <x v="0"/>
    <s v="SG3"/>
    <m/>
    <x v="1"/>
    <x v="2"/>
    <x v="4"/>
    <x v="3"/>
    <x v="0"/>
    <x v="0"/>
    <x v="0"/>
    <m/>
    <x v="0"/>
    <x v="0"/>
    <n v="-7.9047846000000005E-2"/>
    <m/>
    <x v="3"/>
    <x v="1"/>
    <x v="0"/>
    <x v="1"/>
    <x v="0"/>
  </r>
  <r>
    <s v="Singapore"/>
    <x v="2"/>
    <s v="SG4"/>
    <m/>
    <x v="1"/>
    <x v="4"/>
    <x v="3"/>
    <x v="1"/>
    <x v="0"/>
    <x v="0"/>
    <x v="0"/>
    <m/>
    <x v="0"/>
    <x v="0"/>
    <n v="-0.51088214700000001"/>
    <m/>
    <x v="0"/>
    <x v="0"/>
    <x v="0"/>
    <x v="0"/>
    <x v="0"/>
  </r>
  <r>
    <s v="Singapore"/>
    <x v="4"/>
    <s v="SG2"/>
    <m/>
    <x v="3"/>
    <x v="1"/>
    <x v="4"/>
    <x v="0"/>
    <x v="0"/>
    <x v="0"/>
    <x v="0"/>
    <m/>
    <x v="0"/>
    <x v="0"/>
    <n v="0.34273800000000004"/>
    <m/>
    <x v="1"/>
    <x v="2"/>
    <x v="0"/>
    <x v="3"/>
    <x v="0"/>
  </r>
  <r>
    <s v="Singapore"/>
    <x v="0"/>
    <s v="SG4"/>
    <m/>
    <x v="0"/>
    <x v="0"/>
    <x v="3"/>
    <x v="4"/>
    <x v="0"/>
    <x v="0"/>
    <x v="0"/>
    <m/>
    <x v="0"/>
    <x v="0"/>
    <n v="-6.2316000000000003E-3"/>
    <m/>
    <x v="6"/>
    <x v="0"/>
    <x v="0"/>
    <x v="5"/>
    <x v="1"/>
  </r>
  <r>
    <s v="Singapore"/>
    <x v="5"/>
    <s v="SG2"/>
    <m/>
    <x v="1"/>
    <x v="3"/>
    <x v="3"/>
    <x v="0"/>
    <x v="0"/>
    <x v="0"/>
    <x v="0"/>
    <m/>
    <x v="0"/>
    <x v="0"/>
    <n v="1.6357950000000001"/>
    <m/>
    <x v="3"/>
    <x v="2"/>
    <x v="0"/>
    <x v="1"/>
    <x v="2"/>
  </r>
  <r>
    <s v="Singapore"/>
    <x v="3"/>
    <s v="SG1"/>
    <m/>
    <x v="1"/>
    <x v="2"/>
    <x v="0"/>
    <x v="2"/>
    <x v="0"/>
    <x v="0"/>
    <x v="0"/>
    <m/>
    <x v="0"/>
    <x v="0"/>
    <n v="-2.2589550000000003"/>
    <m/>
    <x v="1"/>
    <x v="2"/>
    <x v="0"/>
    <x v="0"/>
    <x v="1"/>
  </r>
  <r>
    <s v="Singapore"/>
    <x v="0"/>
    <s v="SG2"/>
    <m/>
    <x v="5"/>
    <x v="3"/>
    <x v="1"/>
    <x v="1"/>
    <x v="0"/>
    <x v="0"/>
    <x v="0"/>
    <m/>
    <x v="0"/>
    <x v="0"/>
    <n v="-2.0971826640000004"/>
    <m/>
    <x v="4"/>
    <x v="2"/>
    <x v="0"/>
    <x v="5"/>
    <x v="1"/>
  </r>
  <r>
    <s v="Singapore"/>
    <x v="3"/>
    <s v="SG4"/>
    <m/>
    <x v="2"/>
    <x v="3"/>
    <x v="2"/>
    <x v="3"/>
    <x v="0"/>
    <x v="0"/>
    <x v="0"/>
    <m/>
    <x v="0"/>
    <x v="0"/>
    <n v="1.4021100000000002E-2"/>
    <m/>
    <x v="3"/>
    <x v="0"/>
    <x v="0"/>
    <x v="2"/>
    <x v="1"/>
  </r>
  <r>
    <s v="Singapore"/>
    <x v="4"/>
    <s v="SG4"/>
    <m/>
    <x v="2"/>
    <x v="4"/>
    <x v="1"/>
    <x v="3"/>
    <x v="0"/>
    <x v="0"/>
    <x v="0"/>
    <m/>
    <x v="0"/>
    <x v="0"/>
    <n v="14.239206000000001"/>
    <m/>
    <x v="1"/>
    <x v="2"/>
    <x v="0"/>
    <x v="3"/>
    <x v="2"/>
  </r>
  <r>
    <s v="Singapore"/>
    <x v="1"/>
    <s v="SG4"/>
    <m/>
    <x v="5"/>
    <x v="0"/>
    <x v="2"/>
    <x v="4"/>
    <x v="0"/>
    <x v="0"/>
    <x v="0"/>
    <m/>
    <x v="0"/>
    <x v="0"/>
    <n v="-6.1069680000000002"/>
    <m/>
    <x v="0"/>
    <x v="2"/>
    <x v="0"/>
    <x v="5"/>
    <x v="0"/>
  </r>
  <r>
    <s v="Singapore"/>
    <x v="4"/>
    <s v="SG3"/>
    <m/>
    <x v="4"/>
    <x v="4"/>
    <x v="1"/>
    <x v="2"/>
    <x v="0"/>
    <x v="0"/>
    <x v="0"/>
    <m/>
    <x v="0"/>
    <x v="0"/>
    <n v="-3.1158000000000001"/>
    <m/>
    <x v="4"/>
    <x v="1"/>
    <x v="0"/>
    <x v="2"/>
    <x v="1"/>
  </r>
  <r>
    <s v="Singapore"/>
    <x v="5"/>
    <s v="SG2"/>
    <m/>
    <x v="2"/>
    <x v="1"/>
    <x v="1"/>
    <x v="0"/>
    <x v="0"/>
    <x v="0"/>
    <x v="0"/>
    <m/>
    <x v="0"/>
    <x v="0"/>
    <n v="7.3361511000000004E-2"/>
    <m/>
    <x v="4"/>
    <x v="3"/>
    <x v="0"/>
    <x v="2"/>
    <x v="2"/>
  </r>
  <r>
    <s v="Singapore"/>
    <x v="1"/>
    <s v="SG2"/>
    <m/>
    <x v="5"/>
    <x v="2"/>
    <x v="4"/>
    <x v="5"/>
    <x v="0"/>
    <x v="0"/>
    <x v="0"/>
    <m/>
    <x v="0"/>
    <x v="0"/>
    <n v="-0.62316000000000005"/>
    <m/>
    <x v="4"/>
    <x v="2"/>
    <x v="0"/>
    <x v="4"/>
    <x v="2"/>
  </r>
  <r>
    <s v="Singapore"/>
    <x v="2"/>
    <s v="SG3"/>
    <m/>
    <x v="2"/>
    <x v="0"/>
    <x v="1"/>
    <x v="5"/>
    <x v="0"/>
    <x v="0"/>
    <x v="0"/>
    <m/>
    <x v="0"/>
    <x v="0"/>
    <n v="0.5530545"/>
    <m/>
    <x v="1"/>
    <x v="1"/>
    <x v="0"/>
    <x v="2"/>
    <x v="1"/>
  </r>
  <r>
    <s v="Singapore"/>
    <x v="0"/>
    <s v="SG3"/>
    <m/>
    <x v="1"/>
    <x v="4"/>
    <x v="4"/>
    <x v="5"/>
    <x v="0"/>
    <x v="0"/>
    <x v="0"/>
    <m/>
    <x v="0"/>
    <x v="0"/>
    <n v="-0.15579000000000001"/>
    <m/>
    <x v="0"/>
    <x v="1"/>
    <x v="0"/>
    <x v="0"/>
    <x v="2"/>
  </r>
  <r>
    <s v="Singapore"/>
    <x v="1"/>
    <s v="SG3"/>
    <m/>
    <x v="2"/>
    <x v="3"/>
    <x v="2"/>
    <x v="3"/>
    <x v="0"/>
    <x v="0"/>
    <x v="0"/>
    <m/>
    <x v="0"/>
    <x v="0"/>
    <n v="-2.1031650000000002"/>
    <m/>
    <x v="4"/>
    <x v="3"/>
    <x v="0"/>
    <x v="4"/>
    <x v="2"/>
  </r>
  <r>
    <s v="Singapore"/>
    <x v="1"/>
    <s v="SG1"/>
    <m/>
    <x v="5"/>
    <x v="2"/>
    <x v="2"/>
    <x v="3"/>
    <x v="0"/>
    <x v="0"/>
    <x v="0"/>
    <m/>
    <x v="0"/>
    <x v="0"/>
    <n v="-1.5579000000000001E-2"/>
    <m/>
    <x v="0"/>
    <x v="0"/>
    <x v="0"/>
    <x v="2"/>
    <x v="2"/>
  </r>
  <r>
    <s v="Singapore"/>
    <x v="2"/>
    <s v="SG3"/>
    <m/>
    <x v="3"/>
    <x v="3"/>
    <x v="3"/>
    <x v="2"/>
    <x v="0"/>
    <x v="0"/>
    <x v="0"/>
    <m/>
    <x v="0"/>
    <x v="0"/>
    <n v="-0.1838322"/>
    <m/>
    <x v="4"/>
    <x v="3"/>
    <x v="0"/>
    <x v="5"/>
    <x v="1"/>
  </r>
  <r>
    <s v="Singapore"/>
    <x v="5"/>
    <s v="SG2"/>
    <m/>
    <x v="1"/>
    <x v="1"/>
    <x v="1"/>
    <x v="4"/>
    <x v="0"/>
    <x v="0"/>
    <x v="0"/>
    <m/>
    <x v="0"/>
    <x v="0"/>
    <n v="0.21810600000000002"/>
    <m/>
    <x v="4"/>
    <x v="1"/>
    <x v="0"/>
    <x v="0"/>
    <x v="2"/>
  </r>
  <r>
    <s v="Singapore"/>
    <x v="4"/>
    <s v="SG1"/>
    <m/>
    <x v="0"/>
    <x v="2"/>
    <x v="1"/>
    <x v="4"/>
    <x v="0"/>
    <x v="0"/>
    <x v="0"/>
    <m/>
    <x v="0"/>
    <x v="0"/>
    <n v="-17.970594605999999"/>
    <m/>
    <x v="3"/>
    <x v="1"/>
    <x v="0"/>
    <x v="4"/>
    <x v="1"/>
  </r>
  <r>
    <s v="Singapore"/>
    <x v="4"/>
    <s v="SG4"/>
    <m/>
    <x v="0"/>
    <x v="2"/>
    <x v="4"/>
    <x v="5"/>
    <x v="0"/>
    <x v="0"/>
    <x v="0"/>
    <m/>
    <x v="0"/>
    <x v="0"/>
    <n v="174.48480000000001"/>
    <m/>
    <x v="5"/>
    <x v="3"/>
    <x v="0"/>
    <x v="2"/>
    <x v="2"/>
  </r>
  <r>
    <s v="Singapore"/>
    <x v="3"/>
    <s v="SG4"/>
    <m/>
    <x v="2"/>
    <x v="0"/>
    <x v="4"/>
    <x v="4"/>
    <x v="0"/>
    <x v="0"/>
    <x v="0"/>
    <m/>
    <x v="0"/>
    <x v="0"/>
    <n v="0.15579000000000001"/>
    <m/>
    <x v="1"/>
    <x v="0"/>
    <x v="0"/>
    <x v="3"/>
    <x v="2"/>
  </r>
  <r>
    <s v="Singapore"/>
    <x v="0"/>
    <s v="SG3"/>
    <m/>
    <x v="5"/>
    <x v="4"/>
    <x v="2"/>
    <x v="5"/>
    <x v="0"/>
    <x v="0"/>
    <x v="0"/>
    <m/>
    <x v="0"/>
    <x v="0"/>
    <n v="1.0801232280000002"/>
    <m/>
    <x v="1"/>
    <x v="2"/>
    <x v="0"/>
    <x v="0"/>
    <x v="2"/>
  </r>
  <r>
    <s v="Singapore"/>
    <x v="3"/>
    <s v="SG3"/>
    <m/>
    <x v="5"/>
    <x v="2"/>
    <x v="3"/>
    <x v="0"/>
    <x v="0"/>
    <x v="0"/>
    <x v="0"/>
    <m/>
    <x v="0"/>
    <x v="0"/>
    <n v="0.21810600000000002"/>
    <m/>
    <x v="4"/>
    <x v="0"/>
    <x v="0"/>
    <x v="4"/>
    <x v="2"/>
  </r>
  <r>
    <s v="Singapore"/>
    <x v="1"/>
    <s v="SG2"/>
    <m/>
    <x v="0"/>
    <x v="0"/>
    <x v="1"/>
    <x v="2"/>
    <x v="0"/>
    <x v="0"/>
    <x v="0"/>
    <m/>
    <x v="0"/>
    <x v="0"/>
    <n v="0.15579000000000001"/>
    <m/>
    <x v="1"/>
    <x v="3"/>
    <x v="0"/>
    <x v="0"/>
    <x v="2"/>
  </r>
  <r>
    <s v="Singapore"/>
    <x v="2"/>
    <s v="SG4"/>
    <m/>
    <x v="5"/>
    <x v="0"/>
    <x v="4"/>
    <x v="3"/>
    <x v="0"/>
    <x v="0"/>
    <x v="0"/>
    <m/>
    <x v="0"/>
    <x v="0"/>
    <n v="-0.55735430399999997"/>
    <m/>
    <x v="0"/>
    <x v="0"/>
    <x v="0"/>
    <x v="3"/>
    <x v="2"/>
  </r>
  <r>
    <s v="Singapore"/>
    <x v="1"/>
    <s v="SG3"/>
    <m/>
    <x v="2"/>
    <x v="4"/>
    <x v="3"/>
    <x v="4"/>
    <x v="0"/>
    <x v="0"/>
    <x v="0"/>
    <m/>
    <x v="0"/>
    <x v="0"/>
    <n v="1.1365659450000001"/>
    <m/>
    <x v="1"/>
    <x v="3"/>
    <x v="0"/>
    <x v="4"/>
    <x v="2"/>
  </r>
  <r>
    <s v="Singapore"/>
    <x v="4"/>
    <s v="SG1"/>
    <m/>
    <x v="4"/>
    <x v="3"/>
    <x v="4"/>
    <x v="3"/>
    <x v="0"/>
    <x v="0"/>
    <x v="0"/>
    <m/>
    <x v="0"/>
    <x v="0"/>
    <n v="0.1838322"/>
    <m/>
    <x v="4"/>
    <x v="0"/>
    <x v="0"/>
    <x v="4"/>
    <x v="0"/>
  </r>
  <r>
    <s v="Singapore"/>
    <x v="3"/>
    <s v="SG2"/>
    <m/>
    <x v="5"/>
    <x v="0"/>
    <x v="4"/>
    <x v="3"/>
    <x v="0"/>
    <x v="0"/>
    <x v="0"/>
    <m/>
    <x v="0"/>
    <x v="0"/>
    <n v="-1.5579000000000001E-2"/>
    <m/>
    <x v="0"/>
    <x v="1"/>
    <x v="0"/>
    <x v="3"/>
    <x v="1"/>
  </r>
  <r>
    <s v="Singapore"/>
    <x v="5"/>
    <s v="SG4"/>
    <m/>
    <x v="5"/>
    <x v="0"/>
    <x v="3"/>
    <x v="0"/>
    <x v="0"/>
    <x v="0"/>
    <x v="0"/>
    <m/>
    <x v="0"/>
    <x v="0"/>
    <n v="7.7895000000000003"/>
    <m/>
    <x v="7"/>
    <x v="1"/>
    <x v="0"/>
    <x v="5"/>
    <x v="0"/>
  </r>
  <r>
    <s v="Singapore"/>
    <x v="4"/>
    <s v="SG1"/>
    <m/>
    <x v="5"/>
    <x v="4"/>
    <x v="1"/>
    <x v="5"/>
    <x v="0"/>
    <x v="0"/>
    <x v="0"/>
    <m/>
    <x v="0"/>
    <x v="0"/>
    <n v="-0.12463200000000001"/>
    <m/>
    <x v="0"/>
    <x v="2"/>
    <x v="0"/>
    <x v="3"/>
    <x v="2"/>
  </r>
  <r>
    <s v="Singapore"/>
    <x v="5"/>
    <s v="SG2"/>
    <m/>
    <x v="1"/>
    <x v="1"/>
    <x v="1"/>
    <x v="1"/>
    <x v="0"/>
    <x v="0"/>
    <x v="0"/>
    <m/>
    <x v="0"/>
    <x v="0"/>
    <n v="0.280141578"/>
    <m/>
    <x v="0"/>
    <x v="2"/>
    <x v="0"/>
    <x v="3"/>
    <x v="0"/>
  </r>
  <r>
    <s v="Singapore"/>
    <x v="3"/>
    <s v="SG2"/>
    <m/>
    <x v="2"/>
    <x v="3"/>
    <x v="4"/>
    <x v="3"/>
    <x v="0"/>
    <x v="0"/>
    <x v="0"/>
    <m/>
    <x v="0"/>
    <x v="0"/>
    <n v="0.62316000000000005"/>
    <m/>
    <x v="1"/>
    <x v="3"/>
    <x v="0"/>
    <x v="3"/>
    <x v="1"/>
  </r>
  <r>
    <s v="Singapore"/>
    <x v="4"/>
    <s v="SG3"/>
    <m/>
    <x v="1"/>
    <x v="4"/>
    <x v="2"/>
    <x v="0"/>
    <x v="0"/>
    <x v="0"/>
    <x v="0"/>
    <m/>
    <x v="0"/>
    <x v="0"/>
    <n v="2.7263250000000001"/>
    <m/>
    <x v="1"/>
    <x v="1"/>
    <x v="0"/>
    <x v="1"/>
    <x v="1"/>
  </r>
  <r>
    <s v="Singapore"/>
    <x v="3"/>
    <s v="SG2"/>
    <m/>
    <x v="4"/>
    <x v="2"/>
    <x v="4"/>
    <x v="3"/>
    <x v="0"/>
    <x v="0"/>
    <x v="0"/>
    <m/>
    <x v="0"/>
    <x v="0"/>
    <n v="1.5579000000000001"/>
    <m/>
    <x v="1"/>
    <x v="0"/>
    <x v="0"/>
    <x v="5"/>
    <x v="1"/>
  </r>
  <r>
    <s v="Singapore"/>
    <x v="4"/>
    <s v="SG3"/>
    <m/>
    <x v="5"/>
    <x v="1"/>
    <x v="3"/>
    <x v="3"/>
    <x v="0"/>
    <x v="0"/>
    <x v="0"/>
    <m/>
    <x v="0"/>
    <x v="0"/>
    <n v="0.70105499999999998"/>
    <m/>
    <x v="1"/>
    <x v="1"/>
    <x v="0"/>
    <x v="0"/>
    <x v="0"/>
  </r>
  <r>
    <s v="Singapore"/>
    <x v="5"/>
    <s v="SG4"/>
    <m/>
    <x v="0"/>
    <x v="4"/>
    <x v="1"/>
    <x v="3"/>
    <x v="0"/>
    <x v="0"/>
    <x v="0"/>
    <m/>
    <x v="0"/>
    <x v="0"/>
    <n v="8.4329127000000004E-2"/>
    <m/>
    <x v="3"/>
    <x v="0"/>
    <x v="0"/>
    <x v="3"/>
    <x v="1"/>
  </r>
  <r>
    <s v="Singapore"/>
    <x v="2"/>
    <s v="SG2"/>
    <m/>
    <x v="5"/>
    <x v="0"/>
    <x v="2"/>
    <x v="0"/>
    <x v="0"/>
    <x v="0"/>
    <x v="0"/>
    <m/>
    <x v="0"/>
    <x v="0"/>
    <n v="-1.0469088"/>
    <m/>
    <x v="3"/>
    <x v="3"/>
    <x v="0"/>
    <x v="1"/>
    <x v="2"/>
  </r>
  <r>
    <s v="Singapore"/>
    <x v="3"/>
    <s v="SG1"/>
    <m/>
    <x v="4"/>
    <x v="3"/>
    <x v="1"/>
    <x v="2"/>
    <x v="0"/>
    <x v="0"/>
    <x v="0"/>
    <m/>
    <x v="0"/>
    <x v="0"/>
    <n v="-0.16202160000000002"/>
    <m/>
    <x v="2"/>
    <x v="3"/>
    <x v="0"/>
    <x v="0"/>
    <x v="0"/>
  </r>
  <r>
    <s v="Singapore"/>
    <x v="1"/>
    <s v="SG4"/>
    <m/>
    <x v="5"/>
    <x v="0"/>
    <x v="0"/>
    <x v="1"/>
    <x v="0"/>
    <x v="0"/>
    <x v="0"/>
    <m/>
    <x v="0"/>
    <x v="0"/>
    <n v="-0.10905300000000001"/>
    <m/>
    <x v="0"/>
    <x v="1"/>
    <x v="0"/>
    <x v="5"/>
    <x v="2"/>
  </r>
  <r>
    <s v="Singapore"/>
    <x v="5"/>
    <s v="SG4"/>
    <m/>
    <x v="3"/>
    <x v="2"/>
    <x v="1"/>
    <x v="0"/>
    <x v="0"/>
    <x v="0"/>
    <x v="0"/>
    <m/>
    <x v="0"/>
    <x v="0"/>
    <n v="1.3008465"/>
    <m/>
    <x v="1"/>
    <x v="0"/>
    <x v="0"/>
    <x v="0"/>
    <x v="1"/>
  </r>
  <r>
    <s v="Singapore"/>
    <x v="2"/>
    <s v="SG4"/>
    <m/>
    <x v="5"/>
    <x v="3"/>
    <x v="4"/>
    <x v="1"/>
    <x v="0"/>
    <x v="0"/>
    <x v="0"/>
    <m/>
    <x v="0"/>
    <x v="0"/>
    <n v="-0.37389600000000001"/>
    <m/>
    <x v="4"/>
    <x v="1"/>
    <x v="0"/>
    <x v="1"/>
    <x v="0"/>
  </r>
  <r>
    <s v="Singapore"/>
    <x v="1"/>
    <s v="SG1"/>
    <m/>
    <x v="5"/>
    <x v="0"/>
    <x v="1"/>
    <x v="1"/>
    <x v="0"/>
    <x v="0"/>
    <x v="0"/>
    <m/>
    <x v="0"/>
    <x v="0"/>
    <n v="-4.6113840000000001"/>
    <m/>
    <x v="6"/>
    <x v="3"/>
    <x v="0"/>
    <x v="2"/>
    <x v="0"/>
  </r>
  <r>
    <s v="Singapore"/>
    <x v="1"/>
    <s v="SG4"/>
    <m/>
    <x v="0"/>
    <x v="2"/>
    <x v="3"/>
    <x v="5"/>
    <x v="0"/>
    <x v="0"/>
    <x v="0"/>
    <m/>
    <x v="0"/>
    <x v="0"/>
    <n v="-4.6737000000000001E-2"/>
    <m/>
    <x v="0"/>
    <x v="1"/>
    <x v="0"/>
    <x v="5"/>
    <x v="0"/>
  </r>
  <r>
    <s v="Singapore"/>
    <x v="5"/>
    <s v="SG1"/>
    <m/>
    <x v="2"/>
    <x v="1"/>
    <x v="2"/>
    <x v="3"/>
    <x v="0"/>
    <x v="0"/>
    <x v="0"/>
    <m/>
    <x v="0"/>
    <x v="0"/>
    <n v="-3.8511288000000001"/>
    <m/>
    <x v="3"/>
    <x v="3"/>
    <x v="0"/>
    <x v="2"/>
    <x v="2"/>
  </r>
  <r>
    <s v="Singapore"/>
    <x v="5"/>
    <s v="SG3"/>
    <m/>
    <x v="3"/>
    <x v="0"/>
    <x v="4"/>
    <x v="2"/>
    <x v="0"/>
    <x v="0"/>
    <x v="0"/>
    <m/>
    <x v="0"/>
    <x v="0"/>
    <n v="-0.20252700000000001"/>
    <m/>
    <x v="2"/>
    <x v="1"/>
    <x v="0"/>
    <x v="1"/>
    <x v="0"/>
  </r>
  <r>
    <s v="Singapore"/>
    <x v="2"/>
    <s v="SG1"/>
    <m/>
    <x v="0"/>
    <x v="2"/>
    <x v="2"/>
    <x v="5"/>
    <x v="0"/>
    <x v="0"/>
    <x v="0"/>
    <m/>
    <x v="0"/>
    <x v="0"/>
    <n v="0.21031650000000002"/>
    <m/>
    <x v="1"/>
    <x v="3"/>
    <x v="0"/>
    <x v="5"/>
    <x v="1"/>
  </r>
  <r>
    <s v="Singapore"/>
    <x v="3"/>
    <s v="SG4"/>
    <m/>
    <x v="2"/>
    <x v="2"/>
    <x v="1"/>
    <x v="5"/>
    <x v="0"/>
    <x v="0"/>
    <x v="0"/>
    <m/>
    <x v="0"/>
    <x v="0"/>
    <n v="2.3368500000000001"/>
    <m/>
    <x v="1"/>
    <x v="3"/>
    <x v="0"/>
    <x v="1"/>
    <x v="1"/>
  </r>
  <r>
    <s v="Singapore"/>
    <x v="0"/>
    <s v="SG1"/>
    <m/>
    <x v="1"/>
    <x v="4"/>
    <x v="4"/>
    <x v="3"/>
    <x v="0"/>
    <x v="0"/>
    <x v="0"/>
    <m/>
    <x v="0"/>
    <x v="0"/>
    <n v="-0.280422"/>
    <m/>
    <x v="1"/>
    <x v="2"/>
    <x v="0"/>
    <x v="5"/>
    <x v="2"/>
  </r>
  <r>
    <s v="Singapore"/>
    <x v="2"/>
    <s v="SG1"/>
    <m/>
    <x v="0"/>
    <x v="2"/>
    <x v="3"/>
    <x v="3"/>
    <x v="0"/>
    <x v="0"/>
    <x v="0"/>
    <m/>
    <x v="0"/>
    <x v="0"/>
    <n v="-0.1838322"/>
    <m/>
    <x v="4"/>
    <x v="2"/>
    <x v="0"/>
    <x v="0"/>
    <x v="0"/>
  </r>
  <r>
    <s v="Singapore"/>
    <x v="4"/>
    <s v="SG2"/>
    <m/>
    <x v="3"/>
    <x v="4"/>
    <x v="1"/>
    <x v="0"/>
    <x v="0"/>
    <x v="0"/>
    <x v="0"/>
    <m/>
    <x v="0"/>
    <x v="0"/>
    <n v="-3.3873108120000004"/>
    <m/>
    <x v="0"/>
    <x v="2"/>
    <x v="0"/>
    <x v="4"/>
    <x v="0"/>
  </r>
  <r>
    <s v="Singapore"/>
    <x v="3"/>
    <s v="SG2"/>
    <m/>
    <x v="2"/>
    <x v="3"/>
    <x v="2"/>
    <x v="2"/>
    <x v="0"/>
    <x v="0"/>
    <x v="0"/>
    <m/>
    <x v="0"/>
    <x v="0"/>
    <n v="-6.6054960000000005"/>
    <m/>
    <x v="2"/>
    <x v="1"/>
    <x v="0"/>
    <x v="1"/>
    <x v="2"/>
  </r>
  <r>
    <s v="Singapore"/>
    <x v="5"/>
    <s v="SG4"/>
    <m/>
    <x v="0"/>
    <x v="2"/>
    <x v="2"/>
    <x v="1"/>
    <x v="0"/>
    <x v="0"/>
    <x v="0"/>
    <m/>
    <x v="0"/>
    <x v="0"/>
    <n v="-1.5579000000000001E-2"/>
    <m/>
    <x v="0"/>
    <x v="2"/>
    <x v="0"/>
    <x v="1"/>
    <x v="1"/>
  </r>
  <r>
    <s v="Singapore"/>
    <x v="0"/>
    <s v="SG3"/>
    <m/>
    <x v="2"/>
    <x v="3"/>
    <x v="3"/>
    <x v="1"/>
    <x v="0"/>
    <x v="0"/>
    <x v="0"/>
    <m/>
    <x v="0"/>
    <x v="0"/>
    <n v="62.120639340000004"/>
    <m/>
    <x v="3"/>
    <x v="1"/>
    <x v="0"/>
    <x v="4"/>
    <x v="0"/>
  </r>
  <r>
    <s v="Singapore"/>
    <x v="0"/>
    <s v="SG1"/>
    <m/>
    <x v="4"/>
    <x v="1"/>
    <x v="1"/>
    <x v="5"/>
    <x v="0"/>
    <x v="0"/>
    <x v="0"/>
    <m/>
    <x v="0"/>
    <x v="0"/>
    <n v="0.1838322"/>
    <m/>
    <x v="4"/>
    <x v="3"/>
    <x v="0"/>
    <x v="0"/>
    <x v="2"/>
  </r>
  <r>
    <s v="Singapore"/>
    <x v="3"/>
    <s v="SG4"/>
    <m/>
    <x v="5"/>
    <x v="4"/>
    <x v="0"/>
    <x v="1"/>
    <x v="0"/>
    <x v="0"/>
    <x v="0"/>
    <m/>
    <x v="0"/>
    <x v="0"/>
    <n v="-9.3474000000000002E-2"/>
    <m/>
    <x v="0"/>
    <x v="2"/>
    <x v="0"/>
    <x v="2"/>
    <x v="0"/>
  </r>
  <r>
    <s v="Singapore"/>
    <x v="2"/>
    <s v="SG2"/>
    <m/>
    <x v="2"/>
    <x v="2"/>
    <x v="2"/>
    <x v="3"/>
    <x v="0"/>
    <x v="0"/>
    <x v="0"/>
    <m/>
    <x v="0"/>
    <x v="0"/>
    <n v="-7.7895000000000006E-2"/>
    <m/>
    <x v="0"/>
    <x v="2"/>
    <x v="0"/>
    <x v="1"/>
    <x v="2"/>
  </r>
  <r>
    <s v="Singapore"/>
    <x v="1"/>
    <s v="SG2"/>
    <m/>
    <x v="4"/>
    <x v="3"/>
    <x v="2"/>
    <x v="2"/>
    <x v="0"/>
    <x v="0"/>
    <x v="0"/>
    <m/>
    <x v="0"/>
    <x v="0"/>
    <n v="0.70105499999999998"/>
    <m/>
    <x v="1"/>
    <x v="2"/>
    <x v="0"/>
    <x v="2"/>
    <x v="0"/>
  </r>
  <r>
    <s v="Singapore"/>
    <x v="4"/>
    <s v="SG3"/>
    <m/>
    <x v="3"/>
    <x v="3"/>
    <x v="3"/>
    <x v="1"/>
    <x v="0"/>
    <x v="0"/>
    <x v="0"/>
    <m/>
    <x v="0"/>
    <x v="0"/>
    <n v="-62.992066284000003"/>
    <m/>
    <x v="0"/>
    <x v="3"/>
    <x v="0"/>
    <x v="5"/>
    <x v="1"/>
  </r>
  <r>
    <s v="Singapore"/>
    <x v="2"/>
    <s v="SG4"/>
    <m/>
    <x v="1"/>
    <x v="0"/>
    <x v="3"/>
    <x v="0"/>
    <x v="0"/>
    <x v="0"/>
    <x v="0"/>
    <m/>
    <x v="0"/>
    <x v="0"/>
    <n v="-0.140211"/>
    <m/>
    <x v="0"/>
    <x v="0"/>
    <x v="0"/>
    <x v="1"/>
    <x v="2"/>
  </r>
  <r>
    <s v="Singapore"/>
    <x v="1"/>
    <s v="SG2"/>
    <m/>
    <x v="5"/>
    <x v="4"/>
    <x v="3"/>
    <x v="5"/>
    <x v="0"/>
    <x v="0"/>
    <x v="0"/>
    <m/>
    <x v="0"/>
    <x v="0"/>
    <n v="-1.1840195790000001"/>
    <m/>
    <x v="4"/>
    <x v="1"/>
    <x v="0"/>
    <x v="0"/>
    <x v="2"/>
  </r>
  <r>
    <s v="Singapore"/>
    <x v="1"/>
    <s v="SG3"/>
    <m/>
    <x v="4"/>
    <x v="4"/>
    <x v="1"/>
    <x v="5"/>
    <x v="0"/>
    <x v="0"/>
    <x v="0"/>
    <m/>
    <x v="0"/>
    <x v="0"/>
    <n v="-0.30826167300000001"/>
    <m/>
    <x v="2"/>
    <x v="3"/>
    <x v="0"/>
    <x v="4"/>
    <x v="1"/>
  </r>
  <r>
    <s v="Singapore"/>
    <x v="3"/>
    <s v="SG1"/>
    <m/>
    <x v="3"/>
    <x v="4"/>
    <x v="0"/>
    <x v="0"/>
    <x v="0"/>
    <x v="0"/>
    <x v="0"/>
    <m/>
    <x v="0"/>
    <x v="0"/>
    <n v="-0.81789750000000006"/>
    <m/>
    <x v="0"/>
    <x v="1"/>
    <x v="0"/>
    <x v="0"/>
    <x v="0"/>
  </r>
  <r>
    <s v="Singapore"/>
    <x v="3"/>
    <s v="SG3"/>
    <m/>
    <x v="5"/>
    <x v="3"/>
    <x v="0"/>
    <x v="0"/>
    <x v="0"/>
    <x v="0"/>
    <x v="0"/>
    <m/>
    <x v="0"/>
    <x v="0"/>
    <n v="0.233685"/>
    <m/>
    <x v="1"/>
    <x v="0"/>
    <x v="0"/>
    <x v="4"/>
    <x v="2"/>
  </r>
  <r>
    <s v="Singapore"/>
    <x v="2"/>
    <s v="SG1"/>
    <m/>
    <x v="2"/>
    <x v="4"/>
    <x v="4"/>
    <x v="2"/>
    <x v="0"/>
    <x v="0"/>
    <x v="0"/>
    <m/>
    <x v="0"/>
    <x v="0"/>
    <n v="-0.15579000000000001"/>
    <m/>
    <x v="0"/>
    <x v="1"/>
    <x v="0"/>
    <x v="1"/>
    <x v="2"/>
  </r>
  <r>
    <s v="Singapore"/>
    <x v="4"/>
    <s v="SG4"/>
    <m/>
    <x v="0"/>
    <x v="3"/>
    <x v="2"/>
    <x v="2"/>
    <x v="0"/>
    <x v="0"/>
    <x v="0"/>
    <m/>
    <x v="0"/>
    <x v="0"/>
    <n v="0.37389600000000001"/>
    <m/>
    <x v="1"/>
    <x v="3"/>
    <x v="0"/>
    <x v="2"/>
    <x v="1"/>
  </r>
  <r>
    <s v="Singapore"/>
    <x v="3"/>
    <s v="SG3"/>
    <m/>
    <x v="3"/>
    <x v="4"/>
    <x v="3"/>
    <x v="5"/>
    <x v="0"/>
    <x v="0"/>
    <x v="0"/>
    <m/>
    <x v="0"/>
    <x v="0"/>
    <n v="-20.581899848999999"/>
    <m/>
    <x v="4"/>
    <x v="2"/>
    <x v="0"/>
    <x v="2"/>
    <x v="0"/>
  </r>
  <r>
    <s v="Singapore"/>
    <x v="5"/>
    <s v="SG3"/>
    <m/>
    <x v="4"/>
    <x v="1"/>
    <x v="0"/>
    <x v="3"/>
    <x v="0"/>
    <x v="0"/>
    <x v="0"/>
    <m/>
    <x v="0"/>
    <x v="0"/>
    <n v="3.23762778"/>
    <m/>
    <x v="7"/>
    <x v="0"/>
    <x v="0"/>
    <x v="0"/>
    <x v="0"/>
  </r>
  <r>
    <s v="Singapore"/>
    <x v="0"/>
    <s v="SG2"/>
    <m/>
    <x v="4"/>
    <x v="3"/>
    <x v="2"/>
    <x v="0"/>
    <x v="0"/>
    <x v="0"/>
    <x v="0"/>
    <m/>
    <x v="0"/>
    <x v="0"/>
    <n v="-0.93474000000000002"/>
    <m/>
    <x v="4"/>
    <x v="1"/>
    <x v="0"/>
    <x v="5"/>
    <x v="2"/>
  </r>
  <r>
    <s v="Singapore"/>
    <x v="4"/>
    <s v="SG1"/>
    <m/>
    <x v="3"/>
    <x v="3"/>
    <x v="1"/>
    <x v="2"/>
    <x v="0"/>
    <x v="0"/>
    <x v="0"/>
    <m/>
    <x v="0"/>
    <x v="0"/>
    <n v="-2.1031650000000002"/>
    <m/>
    <x v="4"/>
    <x v="0"/>
    <x v="0"/>
    <x v="5"/>
    <x v="0"/>
  </r>
  <r>
    <s v="Singapore"/>
    <x v="4"/>
    <s v="SG1"/>
    <m/>
    <x v="4"/>
    <x v="0"/>
    <x v="0"/>
    <x v="3"/>
    <x v="0"/>
    <x v="0"/>
    <x v="0"/>
    <m/>
    <x v="0"/>
    <x v="0"/>
    <n v="45.371656440000002"/>
    <m/>
    <x v="7"/>
    <x v="3"/>
    <x v="0"/>
    <x v="1"/>
    <x v="0"/>
  </r>
  <r>
    <s v="Singapore"/>
    <x v="1"/>
    <s v="SG3"/>
    <m/>
    <x v="5"/>
    <x v="2"/>
    <x v="4"/>
    <x v="3"/>
    <x v="0"/>
    <x v="0"/>
    <x v="0"/>
    <m/>
    <x v="0"/>
    <x v="0"/>
    <n v="0.17839512900000001"/>
    <m/>
    <x v="1"/>
    <x v="3"/>
    <x v="0"/>
    <x v="5"/>
    <x v="0"/>
  </r>
  <r>
    <s v="Singapore"/>
    <x v="0"/>
    <s v="SG4"/>
    <m/>
    <x v="0"/>
    <x v="4"/>
    <x v="2"/>
    <x v="4"/>
    <x v="0"/>
    <x v="0"/>
    <x v="0"/>
    <m/>
    <x v="0"/>
    <x v="0"/>
    <n v="-1.40211"/>
    <m/>
    <x v="3"/>
    <x v="2"/>
    <x v="0"/>
    <x v="0"/>
    <x v="0"/>
  </r>
  <r>
    <s v="Singapore"/>
    <x v="2"/>
    <s v="SG2"/>
    <m/>
    <x v="1"/>
    <x v="1"/>
    <x v="1"/>
    <x v="1"/>
    <x v="0"/>
    <x v="0"/>
    <x v="0"/>
    <m/>
    <x v="0"/>
    <x v="0"/>
    <n v="-0.81010800000000005"/>
    <m/>
    <x v="0"/>
    <x v="3"/>
    <x v="0"/>
    <x v="2"/>
    <x v="1"/>
  </r>
  <r>
    <s v="Singapore"/>
    <x v="4"/>
    <s v="SG4"/>
    <m/>
    <x v="5"/>
    <x v="1"/>
    <x v="3"/>
    <x v="3"/>
    <x v="0"/>
    <x v="0"/>
    <x v="0"/>
    <m/>
    <x v="0"/>
    <x v="0"/>
    <n v="-9.3474000000000005E-3"/>
    <m/>
    <x v="3"/>
    <x v="2"/>
    <x v="0"/>
    <x v="2"/>
    <x v="0"/>
  </r>
  <r>
    <s v="Singapore"/>
    <x v="4"/>
    <s v="SG4"/>
    <m/>
    <x v="3"/>
    <x v="0"/>
    <x v="2"/>
    <x v="5"/>
    <x v="0"/>
    <x v="0"/>
    <x v="0"/>
    <m/>
    <x v="0"/>
    <x v="0"/>
    <n v="-0.15579000000000001"/>
    <m/>
    <x v="4"/>
    <x v="0"/>
    <x v="0"/>
    <x v="0"/>
    <x v="1"/>
  </r>
  <r>
    <s v="Singapore"/>
    <x v="0"/>
    <s v="SG3"/>
    <m/>
    <x v="1"/>
    <x v="0"/>
    <x v="2"/>
    <x v="1"/>
    <x v="0"/>
    <x v="0"/>
    <x v="0"/>
    <m/>
    <x v="0"/>
    <x v="0"/>
    <n v="0.84126600000000007"/>
    <m/>
    <x v="0"/>
    <x v="0"/>
    <x v="0"/>
    <x v="2"/>
    <x v="1"/>
  </r>
  <r>
    <s v="Singapore"/>
    <x v="3"/>
    <s v="SG1"/>
    <m/>
    <x v="3"/>
    <x v="0"/>
    <x v="0"/>
    <x v="3"/>
    <x v="0"/>
    <x v="0"/>
    <x v="0"/>
    <m/>
    <x v="0"/>
    <x v="0"/>
    <n v="3.4351695000000002"/>
    <m/>
    <x v="1"/>
    <x v="3"/>
    <x v="0"/>
    <x v="3"/>
    <x v="0"/>
  </r>
  <r>
    <s v="Singapore"/>
    <x v="2"/>
    <s v="SG1"/>
    <m/>
    <x v="3"/>
    <x v="1"/>
    <x v="4"/>
    <x v="0"/>
    <x v="0"/>
    <x v="0"/>
    <x v="0"/>
    <m/>
    <x v="0"/>
    <x v="0"/>
    <n v="-3.4273800000000003"/>
    <m/>
    <x v="4"/>
    <x v="1"/>
    <x v="0"/>
    <x v="3"/>
    <x v="2"/>
  </r>
  <r>
    <s v="Singapore"/>
    <x v="0"/>
    <s v="SG3"/>
    <m/>
    <x v="3"/>
    <x v="3"/>
    <x v="3"/>
    <x v="2"/>
    <x v="0"/>
    <x v="0"/>
    <x v="0"/>
    <m/>
    <x v="0"/>
    <x v="0"/>
    <n v="1.262272896"/>
    <m/>
    <x v="1"/>
    <x v="0"/>
    <x v="0"/>
    <x v="0"/>
    <x v="0"/>
  </r>
  <r>
    <s v="Singapore"/>
    <x v="1"/>
    <s v="SG1"/>
    <m/>
    <x v="4"/>
    <x v="4"/>
    <x v="0"/>
    <x v="4"/>
    <x v="0"/>
    <x v="0"/>
    <x v="0"/>
    <m/>
    <x v="0"/>
    <x v="0"/>
    <n v="-0.81010800000000005"/>
    <m/>
    <x v="4"/>
    <x v="3"/>
    <x v="0"/>
    <x v="1"/>
    <x v="2"/>
  </r>
  <r>
    <s v="Singapore"/>
    <x v="4"/>
    <s v="SG2"/>
    <m/>
    <x v="3"/>
    <x v="0"/>
    <x v="4"/>
    <x v="2"/>
    <x v="0"/>
    <x v="0"/>
    <x v="0"/>
    <m/>
    <x v="0"/>
    <x v="0"/>
    <n v="0.37389600000000001"/>
    <m/>
    <x v="1"/>
    <x v="0"/>
    <x v="0"/>
    <x v="0"/>
    <x v="0"/>
  </r>
  <r>
    <s v="Singapore"/>
    <x v="1"/>
    <s v="SG2"/>
    <m/>
    <x v="5"/>
    <x v="4"/>
    <x v="2"/>
    <x v="5"/>
    <x v="0"/>
    <x v="0"/>
    <x v="0"/>
    <m/>
    <x v="0"/>
    <x v="0"/>
    <n v="29.549904462000001"/>
    <m/>
    <x v="7"/>
    <x v="0"/>
    <x v="0"/>
    <x v="1"/>
    <x v="0"/>
  </r>
  <r>
    <s v="Singapore"/>
    <x v="1"/>
    <s v="SG1"/>
    <m/>
    <x v="4"/>
    <x v="1"/>
    <x v="2"/>
    <x v="1"/>
    <x v="0"/>
    <x v="0"/>
    <x v="0"/>
    <m/>
    <x v="0"/>
    <x v="0"/>
    <n v="-0.38168550000000001"/>
    <m/>
    <x v="0"/>
    <x v="1"/>
    <x v="0"/>
    <x v="5"/>
    <x v="1"/>
  </r>
  <r>
    <s v="Singapore"/>
    <x v="1"/>
    <s v="SG2"/>
    <m/>
    <x v="4"/>
    <x v="4"/>
    <x v="1"/>
    <x v="5"/>
    <x v="0"/>
    <x v="0"/>
    <x v="0"/>
    <m/>
    <x v="0"/>
    <x v="0"/>
    <n v="4.1284350000000005"/>
    <m/>
    <x v="6"/>
    <x v="2"/>
    <x v="0"/>
    <x v="4"/>
    <x v="0"/>
  </r>
  <r>
    <s v="Singapore"/>
    <x v="1"/>
    <s v="SG3"/>
    <m/>
    <x v="0"/>
    <x v="2"/>
    <x v="2"/>
    <x v="2"/>
    <x v="0"/>
    <x v="0"/>
    <x v="0"/>
    <m/>
    <x v="0"/>
    <x v="0"/>
    <n v="1.5579000000000001E-5"/>
    <m/>
    <x v="8"/>
    <x v="0"/>
    <x v="0"/>
    <x v="0"/>
    <x v="0"/>
  </r>
  <r>
    <s v="Singapore"/>
    <x v="2"/>
    <s v="SG4"/>
    <m/>
    <x v="4"/>
    <x v="0"/>
    <x v="2"/>
    <x v="4"/>
    <x v="0"/>
    <x v="0"/>
    <x v="0"/>
    <m/>
    <x v="0"/>
    <x v="0"/>
    <n v="0.82568700000000006"/>
    <m/>
    <x v="1"/>
    <x v="3"/>
    <x v="0"/>
    <x v="1"/>
    <x v="2"/>
  </r>
  <r>
    <s v="Singapore"/>
    <x v="2"/>
    <s v="SG4"/>
    <m/>
    <x v="2"/>
    <x v="2"/>
    <x v="2"/>
    <x v="1"/>
    <x v="0"/>
    <x v="0"/>
    <x v="0"/>
    <m/>
    <x v="0"/>
    <x v="0"/>
    <n v="0.140211"/>
    <m/>
    <x v="8"/>
    <x v="2"/>
    <x v="0"/>
    <x v="5"/>
    <x v="0"/>
  </r>
  <r>
    <s v="Singapore"/>
    <x v="5"/>
    <s v="SG4"/>
    <m/>
    <x v="2"/>
    <x v="2"/>
    <x v="2"/>
    <x v="5"/>
    <x v="0"/>
    <x v="0"/>
    <x v="0"/>
    <m/>
    <x v="0"/>
    <x v="0"/>
    <n v="-267.50700900000004"/>
    <m/>
    <x v="5"/>
    <x v="2"/>
    <x v="0"/>
    <x v="1"/>
    <x v="2"/>
  </r>
  <r>
    <s v="Singapore"/>
    <x v="4"/>
    <s v="SG2"/>
    <m/>
    <x v="0"/>
    <x v="3"/>
    <x v="0"/>
    <x v="5"/>
    <x v="0"/>
    <x v="0"/>
    <x v="0"/>
    <m/>
    <x v="0"/>
    <x v="0"/>
    <n v="-0.24926400000000001"/>
    <m/>
    <x v="0"/>
    <x v="1"/>
    <x v="0"/>
    <x v="3"/>
    <x v="0"/>
  </r>
  <r>
    <s v="Singapore"/>
    <x v="1"/>
    <s v="SG2"/>
    <m/>
    <x v="1"/>
    <x v="4"/>
    <x v="1"/>
    <x v="5"/>
    <x v="0"/>
    <x v="0"/>
    <x v="0"/>
    <m/>
    <x v="0"/>
    <x v="0"/>
    <n v="-0.249170526"/>
    <m/>
    <x v="3"/>
    <x v="3"/>
    <x v="0"/>
    <x v="3"/>
    <x v="0"/>
  </r>
  <r>
    <s v="Singapore"/>
    <x v="2"/>
    <s v="SG2"/>
    <m/>
    <x v="5"/>
    <x v="2"/>
    <x v="1"/>
    <x v="0"/>
    <x v="0"/>
    <x v="0"/>
    <x v="0"/>
    <m/>
    <x v="0"/>
    <x v="0"/>
    <n v="0.56863350000000001"/>
    <m/>
    <x v="1"/>
    <x v="3"/>
    <x v="0"/>
    <x v="1"/>
    <x v="0"/>
  </r>
  <r>
    <s v="Singapore"/>
    <x v="3"/>
    <s v="SG4"/>
    <m/>
    <x v="1"/>
    <x v="4"/>
    <x v="3"/>
    <x v="0"/>
    <x v="0"/>
    <x v="0"/>
    <x v="0"/>
    <m/>
    <x v="0"/>
    <x v="0"/>
    <n v="-0.1324215"/>
    <m/>
    <x v="4"/>
    <x v="3"/>
    <x v="0"/>
    <x v="5"/>
    <x v="0"/>
  </r>
  <r>
    <s v="Singapore"/>
    <x v="0"/>
    <s v="SG2"/>
    <m/>
    <x v="3"/>
    <x v="1"/>
    <x v="2"/>
    <x v="2"/>
    <x v="0"/>
    <x v="0"/>
    <x v="0"/>
    <m/>
    <x v="0"/>
    <x v="0"/>
    <n v="-3.1158000000000002E-2"/>
    <m/>
    <x v="0"/>
    <x v="2"/>
    <x v="0"/>
    <x v="3"/>
    <x v="1"/>
  </r>
  <r>
    <s v="Singapore"/>
    <x v="3"/>
    <s v="SG4"/>
    <m/>
    <x v="0"/>
    <x v="1"/>
    <x v="3"/>
    <x v="5"/>
    <x v="0"/>
    <x v="0"/>
    <x v="0"/>
    <m/>
    <x v="0"/>
    <x v="0"/>
    <n v="-5.4526500000000006E-2"/>
    <m/>
    <x v="0"/>
    <x v="3"/>
    <x v="0"/>
    <x v="0"/>
    <x v="0"/>
  </r>
  <r>
    <s v="Singapore"/>
    <x v="4"/>
    <s v="SG4"/>
    <m/>
    <x v="4"/>
    <x v="1"/>
    <x v="2"/>
    <x v="1"/>
    <x v="0"/>
    <x v="0"/>
    <x v="0"/>
    <m/>
    <x v="0"/>
    <x v="0"/>
    <n v="9.4633856549999997"/>
    <m/>
    <x v="8"/>
    <x v="2"/>
    <x v="0"/>
    <x v="0"/>
    <x v="1"/>
  </r>
  <r>
    <s v="Singapore"/>
    <x v="4"/>
    <s v="SG4"/>
    <m/>
    <x v="1"/>
    <x v="2"/>
    <x v="2"/>
    <x v="1"/>
    <x v="0"/>
    <x v="0"/>
    <x v="0"/>
    <m/>
    <x v="0"/>
    <x v="0"/>
    <n v="-9.3474000000000002E-2"/>
    <m/>
    <x v="0"/>
    <x v="1"/>
    <x v="0"/>
    <x v="4"/>
    <x v="2"/>
  </r>
  <r>
    <s v="Singapore"/>
    <x v="0"/>
    <s v="SG4"/>
    <m/>
    <x v="0"/>
    <x v="0"/>
    <x v="0"/>
    <x v="2"/>
    <x v="0"/>
    <x v="0"/>
    <x v="0"/>
    <m/>
    <x v="0"/>
    <x v="0"/>
    <n v="-1.5703632000000001"/>
    <m/>
    <x v="2"/>
    <x v="1"/>
    <x v="0"/>
    <x v="3"/>
    <x v="2"/>
  </r>
  <r>
    <s v="Singapore"/>
    <x v="4"/>
    <s v="SG2"/>
    <m/>
    <x v="2"/>
    <x v="3"/>
    <x v="2"/>
    <x v="1"/>
    <x v="0"/>
    <x v="0"/>
    <x v="0"/>
    <m/>
    <x v="0"/>
    <x v="0"/>
    <n v="0.63454824900000006"/>
    <m/>
    <x v="8"/>
    <x v="2"/>
    <x v="0"/>
    <x v="4"/>
    <x v="1"/>
  </r>
  <r>
    <s v="Singapore"/>
    <x v="0"/>
    <s v="SG3"/>
    <m/>
    <x v="2"/>
    <x v="3"/>
    <x v="2"/>
    <x v="0"/>
    <x v="0"/>
    <x v="0"/>
    <x v="0"/>
    <m/>
    <x v="0"/>
    <x v="0"/>
    <n v="-0.42063300000000003"/>
    <m/>
    <x v="4"/>
    <x v="1"/>
    <x v="0"/>
    <x v="1"/>
    <x v="2"/>
  </r>
  <r>
    <s v="Singapore"/>
    <x v="5"/>
    <s v="SG4"/>
    <m/>
    <x v="3"/>
    <x v="4"/>
    <x v="1"/>
    <x v="4"/>
    <x v="0"/>
    <x v="0"/>
    <x v="0"/>
    <m/>
    <x v="0"/>
    <x v="0"/>
    <n v="0.178410708"/>
    <m/>
    <x v="1"/>
    <x v="0"/>
    <x v="0"/>
    <x v="0"/>
    <x v="1"/>
  </r>
  <r>
    <s v="Singapore"/>
    <x v="0"/>
    <s v="SG1"/>
    <m/>
    <x v="5"/>
    <x v="1"/>
    <x v="2"/>
    <x v="2"/>
    <x v="0"/>
    <x v="0"/>
    <x v="0"/>
    <m/>
    <x v="0"/>
    <x v="0"/>
    <n v="1.0801232280000002"/>
    <m/>
    <x v="1"/>
    <x v="0"/>
    <x v="0"/>
    <x v="2"/>
    <x v="1"/>
  </r>
  <r>
    <s v="Singapore"/>
    <x v="1"/>
    <s v="SG1"/>
    <m/>
    <x v="0"/>
    <x v="0"/>
    <x v="0"/>
    <x v="1"/>
    <x v="0"/>
    <x v="0"/>
    <x v="0"/>
    <m/>
    <x v="0"/>
    <x v="0"/>
    <n v="9.8147700000000004E-2"/>
    <m/>
    <x v="3"/>
    <x v="1"/>
    <x v="0"/>
    <x v="3"/>
    <x v="0"/>
  </r>
  <r>
    <s v="Singapore"/>
    <x v="1"/>
    <s v="SG2"/>
    <m/>
    <x v="4"/>
    <x v="3"/>
    <x v="4"/>
    <x v="3"/>
    <x v="0"/>
    <x v="0"/>
    <x v="0"/>
    <m/>
    <x v="0"/>
    <x v="0"/>
    <n v="0.7244235"/>
    <m/>
    <x v="1"/>
    <x v="3"/>
    <x v="0"/>
    <x v="1"/>
    <x v="0"/>
  </r>
  <r>
    <s v="Singapore"/>
    <x v="1"/>
    <s v="SG1"/>
    <m/>
    <x v="2"/>
    <x v="2"/>
    <x v="4"/>
    <x v="4"/>
    <x v="0"/>
    <x v="0"/>
    <x v="0"/>
    <m/>
    <x v="0"/>
    <x v="0"/>
    <n v="-0.77895000000000003"/>
    <m/>
    <x v="4"/>
    <x v="3"/>
    <x v="0"/>
    <x v="2"/>
    <x v="2"/>
  </r>
  <r>
    <s v="Singapore"/>
    <x v="3"/>
    <s v="SG4"/>
    <m/>
    <x v="2"/>
    <x v="3"/>
    <x v="3"/>
    <x v="4"/>
    <x v="0"/>
    <x v="0"/>
    <x v="0"/>
    <m/>
    <x v="0"/>
    <x v="0"/>
    <n v="-111.97826883"/>
    <m/>
    <x v="2"/>
    <x v="1"/>
    <x v="0"/>
    <x v="1"/>
    <x v="0"/>
  </r>
  <r>
    <s v="Singapore"/>
    <x v="1"/>
    <s v="SG4"/>
    <m/>
    <x v="1"/>
    <x v="1"/>
    <x v="4"/>
    <x v="4"/>
    <x v="0"/>
    <x v="0"/>
    <x v="0"/>
    <m/>
    <x v="0"/>
    <x v="0"/>
    <n v="0.12463200000000001"/>
    <m/>
    <x v="0"/>
    <x v="3"/>
    <x v="0"/>
    <x v="1"/>
    <x v="0"/>
  </r>
  <r>
    <s v="Singapore"/>
    <x v="1"/>
    <s v="SG2"/>
    <m/>
    <x v="1"/>
    <x v="2"/>
    <x v="3"/>
    <x v="2"/>
    <x v="0"/>
    <x v="0"/>
    <x v="0"/>
    <m/>
    <x v="0"/>
    <x v="0"/>
    <n v="0.233685"/>
    <m/>
    <x v="1"/>
    <x v="0"/>
    <x v="0"/>
    <x v="4"/>
    <x v="1"/>
  </r>
  <r>
    <s v="Singapore"/>
    <x v="4"/>
    <s v="SG4"/>
    <m/>
    <x v="5"/>
    <x v="1"/>
    <x v="3"/>
    <x v="2"/>
    <x v="0"/>
    <x v="0"/>
    <x v="0"/>
    <m/>
    <x v="0"/>
    <x v="0"/>
    <n v="-0.37389600000000001"/>
    <m/>
    <x v="4"/>
    <x v="1"/>
    <x v="0"/>
    <x v="3"/>
    <x v="2"/>
  </r>
  <r>
    <s v="Singapore"/>
    <x v="4"/>
    <s v="SG2"/>
    <m/>
    <x v="2"/>
    <x v="3"/>
    <x v="4"/>
    <x v="2"/>
    <x v="0"/>
    <x v="0"/>
    <x v="0"/>
    <m/>
    <x v="0"/>
    <x v="0"/>
    <n v="28.329211917000002"/>
    <m/>
    <x v="1"/>
    <x v="0"/>
    <x v="0"/>
    <x v="1"/>
    <x v="0"/>
  </r>
  <r>
    <s v="Singapore"/>
    <x v="1"/>
    <s v="SG1"/>
    <m/>
    <x v="2"/>
    <x v="1"/>
    <x v="1"/>
    <x v="0"/>
    <x v="0"/>
    <x v="0"/>
    <x v="0"/>
    <m/>
    <x v="0"/>
    <x v="0"/>
    <n v="1.0801232280000002"/>
    <m/>
    <x v="1"/>
    <x v="0"/>
    <x v="0"/>
    <x v="5"/>
    <x v="2"/>
  </r>
  <r>
    <s v="Singapore"/>
    <x v="1"/>
    <s v="SG4"/>
    <m/>
    <x v="1"/>
    <x v="2"/>
    <x v="1"/>
    <x v="3"/>
    <x v="0"/>
    <x v="0"/>
    <x v="0"/>
    <m/>
    <x v="0"/>
    <x v="0"/>
    <n v="-0.21810600000000002"/>
    <m/>
    <x v="1"/>
    <x v="1"/>
    <x v="0"/>
    <x v="1"/>
    <x v="1"/>
  </r>
  <r>
    <s v="Singapore"/>
    <x v="0"/>
    <s v="SG1"/>
    <m/>
    <x v="0"/>
    <x v="3"/>
    <x v="3"/>
    <x v="3"/>
    <x v="0"/>
    <x v="0"/>
    <x v="0"/>
    <m/>
    <x v="0"/>
    <x v="0"/>
    <n v="-0.15579000000000001"/>
    <m/>
    <x v="0"/>
    <x v="3"/>
    <x v="0"/>
    <x v="1"/>
    <x v="0"/>
  </r>
  <r>
    <s v="Singapore"/>
    <x v="3"/>
    <s v="SG1"/>
    <m/>
    <x v="3"/>
    <x v="4"/>
    <x v="0"/>
    <x v="4"/>
    <x v="0"/>
    <x v="0"/>
    <x v="0"/>
    <m/>
    <x v="0"/>
    <x v="0"/>
    <n v="-4.6737000000000001E-2"/>
    <m/>
    <x v="0"/>
    <x v="2"/>
    <x v="0"/>
    <x v="0"/>
    <x v="1"/>
  </r>
  <r>
    <s v="Singapore"/>
    <x v="5"/>
    <s v="SG4"/>
    <m/>
    <x v="5"/>
    <x v="0"/>
    <x v="2"/>
    <x v="5"/>
    <x v="0"/>
    <x v="0"/>
    <x v="0"/>
    <m/>
    <x v="0"/>
    <x v="0"/>
    <n v="0.77895000000000003"/>
    <m/>
    <x v="4"/>
    <x v="2"/>
    <x v="0"/>
    <x v="5"/>
    <x v="1"/>
  </r>
  <r>
    <s v="Singapore"/>
    <x v="1"/>
    <s v="SG2"/>
    <m/>
    <x v="0"/>
    <x v="1"/>
    <x v="3"/>
    <x v="3"/>
    <x v="0"/>
    <x v="0"/>
    <x v="0"/>
    <m/>
    <x v="0"/>
    <x v="0"/>
    <n v="-0.42063300000000003"/>
    <m/>
    <x v="4"/>
    <x v="0"/>
    <x v="0"/>
    <x v="0"/>
    <x v="0"/>
  </r>
  <r>
    <s v="Singapore"/>
    <x v="1"/>
    <s v="SG3"/>
    <m/>
    <x v="4"/>
    <x v="4"/>
    <x v="2"/>
    <x v="5"/>
    <x v="0"/>
    <x v="0"/>
    <x v="0"/>
    <m/>
    <x v="0"/>
    <x v="0"/>
    <n v="-0.264843"/>
    <m/>
    <x v="4"/>
    <x v="2"/>
    <x v="0"/>
    <x v="1"/>
    <x v="1"/>
  </r>
  <r>
    <s v="Singapore"/>
    <x v="3"/>
    <s v="SG1"/>
    <m/>
    <x v="0"/>
    <x v="4"/>
    <x v="0"/>
    <x v="5"/>
    <x v="0"/>
    <x v="0"/>
    <x v="0"/>
    <m/>
    <x v="0"/>
    <x v="0"/>
    <n v="0.15579000000000001"/>
    <m/>
    <x v="1"/>
    <x v="2"/>
    <x v="0"/>
    <x v="5"/>
    <x v="2"/>
  </r>
  <r>
    <s v="Singapore"/>
    <x v="0"/>
    <s v="SG1"/>
    <m/>
    <x v="4"/>
    <x v="2"/>
    <x v="2"/>
    <x v="0"/>
    <x v="0"/>
    <x v="0"/>
    <x v="0"/>
    <m/>
    <x v="0"/>
    <x v="0"/>
    <n v="-7.3330353000000001E-2"/>
    <m/>
    <x v="4"/>
    <x v="0"/>
    <x v="0"/>
    <x v="5"/>
    <x v="0"/>
  </r>
  <r>
    <s v="Singapore"/>
    <x v="4"/>
    <s v="SG1"/>
    <m/>
    <x v="1"/>
    <x v="1"/>
    <x v="4"/>
    <x v="0"/>
    <x v="0"/>
    <x v="0"/>
    <x v="0"/>
    <m/>
    <x v="0"/>
    <x v="0"/>
    <n v="0.69669288000000007"/>
    <m/>
    <x v="0"/>
    <x v="1"/>
    <x v="0"/>
    <x v="2"/>
    <x v="0"/>
  </r>
  <r>
    <s v="Singapore"/>
    <x v="0"/>
    <s v="SG4"/>
    <m/>
    <x v="4"/>
    <x v="2"/>
    <x v="2"/>
    <x v="1"/>
    <x v="0"/>
    <x v="0"/>
    <x v="0"/>
    <m/>
    <x v="0"/>
    <x v="0"/>
    <n v="-1.4021100000000002E-2"/>
    <m/>
    <x v="8"/>
    <x v="3"/>
    <x v="0"/>
    <x v="2"/>
    <x v="2"/>
  </r>
  <r>
    <s v="Singapore"/>
    <x v="0"/>
    <s v="SG1"/>
    <m/>
    <x v="3"/>
    <x v="2"/>
    <x v="3"/>
    <x v="2"/>
    <x v="0"/>
    <x v="0"/>
    <x v="0"/>
    <m/>
    <x v="0"/>
    <x v="0"/>
    <n v="1.0801232280000002"/>
    <m/>
    <x v="1"/>
    <x v="1"/>
    <x v="0"/>
    <x v="2"/>
    <x v="1"/>
  </r>
  <r>
    <s v="Singapore"/>
    <x v="5"/>
    <s v="SG3"/>
    <m/>
    <x v="3"/>
    <x v="2"/>
    <x v="0"/>
    <x v="4"/>
    <x v="0"/>
    <x v="0"/>
    <x v="0"/>
    <m/>
    <x v="0"/>
    <x v="0"/>
    <n v="0.903582"/>
    <m/>
    <x v="1"/>
    <x v="2"/>
    <x v="0"/>
    <x v="1"/>
    <x v="0"/>
  </r>
  <r>
    <s v="Singapore"/>
    <x v="1"/>
    <s v="SG2"/>
    <m/>
    <x v="3"/>
    <x v="1"/>
    <x v="0"/>
    <x v="3"/>
    <x v="0"/>
    <x v="0"/>
    <x v="0"/>
    <m/>
    <x v="0"/>
    <x v="0"/>
    <n v="-0.42063300000000003"/>
    <m/>
    <x v="4"/>
    <x v="2"/>
    <x v="0"/>
    <x v="2"/>
    <x v="1"/>
  </r>
  <r>
    <s v="Singapore"/>
    <x v="0"/>
    <s v="SG2"/>
    <m/>
    <x v="3"/>
    <x v="3"/>
    <x v="1"/>
    <x v="5"/>
    <x v="0"/>
    <x v="0"/>
    <x v="0"/>
    <m/>
    <x v="0"/>
    <x v="0"/>
    <n v="-2.7263250000000001"/>
    <m/>
    <x v="1"/>
    <x v="0"/>
    <x v="0"/>
    <x v="5"/>
    <x v="0"/>
  </r>
  <r>
    <s v="Singapore"/>
    <x v="3"/>
    <s v="SG3"/>
    <m/>
    <x v="2"/>
    <x v="4"/>
    <x v="0"/>
    <x v="4"/>
    <x v="0"/>
    <x v="0"/>
    <x v="0"/>
    <m/>
    <x v="0"/>
    <x v="0"/>
    <n v="-0.12463200000000001"/>
    <m/>
    <x v="4"/>
    <x v="2"/>
    <x v="0"/>
    <x v="5"/>
    <x v="1"/>
  </r>
  <r>
    <s v="Singapore"/>
    <x v="5"/>
    <s v="SG1"/>
    <m/>
    <x v="4"/>
    <x v="0"/>
    <x v="2"/>
    <x v="1"/>
    <x v="0"/>
    <x v="0"/>
    <x v="0"/>
    <m/>
    <x v="0"/>
    <x v="0"/>
    <n v="-2.33685E-2"/>
    <m/>
    <x v="3"/>
    <x v="3"/>
    <x v="0"/>
    <x v="5"/>
    <x v="0"/>
  </r>
  <r>
    <s v="Singapore"/>
    <x v="1"/>
    <s v="SG3"/>
    <m/>
    <x v="1"/>
    <x v="3"/>
    <x v="3"/>
    <x v="3"/>
    <x v="0"/>
    <x v="0"/>
    <x v="0"/>
    <m/>
    <x v="0"/>
    <x v="0"/>
    <n v="-0.66989700000000008"/>
    <m/>
    <x v="4"/>
    <x v="0"/>
    <x v="0"/>
    <x v="5"/>
    <x v="2"/>
  </r>
  <r>
    <s v="Singapore"/>
    <x v="5"/>
    <s v="SG1"/>
    <m/>
    <x v="2"/>
    <x v="1"/>
    <x v="2"/>
    <x v="2"/>
    <x v="0"/>
    <x v="0"/>
    <x v="0"/>
    <m/>
    <x v="0"/>
    <x v="0"/>
    <n v="-2.3306184000000001"/>
    <m/>
    <x v="3"/>
    <x v="1"/>
    <x v="0"/>
    <x v="2"/>
    <x v="2"/>
  </r>
  <r>
    <s v="Singapore"/>
    <x v="2"/>
    <s v="SG2"/>
    <m/>
    <x v="4"/>
    <x v="1"/>
    <x v="4"/>
    <x v="5"/>
    <x v="0"/>
    <x v="0"/>
    <x v="0"/>
    <m/>
    <x v="0"/>
    <x v="0"/>
    <n v="-0.17136900000000002"/>
    <m/>
    <x v="0"/>
    <x v="2"/>
    <x v="0"/>
    <x v="0"/>
    <x v="2"/>
  </r>
  <r>
    <s v="Singapore"/>
    <x v="5"/>
    <s v="SG2"/>
    <m/>
    <x v="0"/>
    <x v="3"/>
    <x v="3"/>
    <x v="4"/>
    <x v="0"/>
    <x v="0"/>
    <x v="0"/>
    <m/>
    <x v="0"/>
    <x v="0"/>
    <n v="-3.1158000000000002E-2"/>
    <m/>
    <x v="0"/>
    <x v="1"/>
    <x v="0"/>
    <x v="1"/>
    <x v="1"/>
  </r>
  <r>
    <s v="Singapore"/>
    <x v="5"/>
    <s v="SG1"/>
    <m/>
    <x v="4"/>
    <x v="3"/>
    <x v="2"/>
    <x v="4"/>
    <x v="0"/>
    <x v="0"/>
    <x v="0"/>
    <m/>
    <x v="0"/>
    <x v="0"/>
    <n v="2.3368500000000001"/>
    <m/>
    <x v="1"/>
    <x v="1"/>
    <x v="0"/>
    <x v="1"/>
    <x v="0"/>
  </r>
  <r>
    <s v="Singapore"/>
    <x v="5"/>
    <s v="SG4"/>
    <m/>
    <x v="1"/>
    <x v="2"/>
    <x v="4"/>
    <x v="1"/>
    <x v="0"/>
    <x v="0"/>
    <x v="0"/>
    <m/>
    <x v="0"/>
    <x v="0"/>
    <n v="-2.775180744"/>
    <m/>
    <x v="4"/>
    <x v="0"/>
    <x v="0"/>
    <x v="3"/>
    <x v="0"/>
  </r>
  <r>
    <s v="Singapore"/>
    <x v="2"/>
    <s v="SG4"/>
    <m/>
    <x v="0"/>
    <x v="0"/>
    <x v="4"/>
    <x v="4"/>
    <x v="0"/>
    <x v="0"/>
    <x v="0"/>
    <m/>
    <x v="0"/>
    <x v="0"/>
    <n v="-2.3368500000000001"/>
    <m/>
    <x v="4"/>
    <x v="0"/>
    <x v="0"/>
    <x v="3"/>
    <x v="0"/>
  </r>
  <r>
    <s v="Singapore"/>
    <x v="4"/>
    <s v="SG3"/>
    <m/>
    <x v="0"/>
    <x v="2"/>
    <x v="4"/>
    <x v="2"/>
    <x v="0"/>
    <x v="0"/>
    <x v="0"/>
    <m/>
    <x v="0"/>
    <x v="0"/>
    <n v="-0.1838322"/>
    <m/>
    <x v="4"/>
    <x v="3"/>
    <x v="0"/>
    <x v="4"/>
    <x v="0"/>
  </r>
  <r>
    <s v="Singapore"/>
    <x v="3"/>
    <s v="SG1"/>
    <m/>
    <x v="4"/>
    <x v="3"/>
    <x v="0"/>
    <x v="5"/>
    <x v="0"/>
    <x v="0"/>
    <x v="0"/>
    <m/>
    <x v="0"/>
    <x v="0"/>
    <n v="-27.159057648000001"/>
    <m/>
    <x v="7"/>
    <x v="3"/>
    <x v="0"/>
    <x v="1"/>
    <x v="2"/>
  </r>
  <r>
    <s v="Singapore"/>
    <x v="3"/>
    <s v="SG1"/>
    <m/>
    <x v="4"/>
    <x v="3"/>
    <x v="1"/>
    <x v="3"/>
    <x v="0"/>
    <x v="0"/>
    <x v="0"/>
    <m/>
    <x v="0"/>
    <x v="0"/>
    <n v="0.280422"/>
    <m/>
    <x v="1"/>
    <x v="3"/>
    <x v="0"/>
    <x v="4"/>
    <x v="1"/>
  </r>
  <r>
    <s v="Singapore"/>
    <x v="0"/>
    <s v="SG1"/>
    <m/>
    <x v="4"/>
    <x v="0"/>
    <x v="4"/>
    <x v="2"/>
    <x v="0"/>
    <x v="0"/>
    <x v="0"/>
    <m/>
    <x v="0"/>
    <x v="0"/>
    <n v="14.40403182"/>
    <m/>
    <x v="7"/>
    <x v="1"/>
    <x v="0"/>
    <x v="1"/>
    <x v="1"/>
  </r>
  <r>
    <s v="Singapore"/>
    <x v="2"/>
    <s v="SG1"/>
    <m/>
    <x v="2"/>
    <x v="4"/>
    <x v="0"/>
    <x v="0"/>
    <x v="0"/>
    <x v="0"/>
    <x v="0"/>
    <m/>
    <x v="0"/>
    <x v="0"/>
    <n v="4.36212"/>
    <m/>
    <x v="1"/>
    <x v="3"/>
    <x v="0"/>
    <x v="4"/>
    <x v="1"/>
  </r>
  <r>
    <s v="Singapore"/>
    <x v="3"/>
    <s v="SG1"/>
    <m/>
    <x v="4"/>
    <x v="1"/>
    <x v="0"/>
    <x v="3"/>
    <x v="0"/>
    <x v="0"/>
    <x v="0"/>
    <m/>
    <x v="0"/>
    <x v="0"/>
    <n v="4.8525780780000005"/>
    <m/>
    <x v="7"/>
    <x v="0"/>
    <x v="0"/>
    <x v="0"/>
    <x v="2"/>
  </r>
  <r>
    <s v="Singapore"/>
    <x v="4"/>
    <s v="SG1"/>
    <m/>
    <x v="2"/>
    <x v="2"/>
    <x v="0"/>
    <x v="4"/>
    <x v="0"/>
    <x v="0"/>
    <x v="0"/>
    <m/>
    <x v="0"/>
    <x v="0"/>
    <n v="-1.3880889000000001"/>
    <m/>
    <x v="3"/>
    <x v="3"/>
    <x v="0"/>
    <x v="1"/>
    <x v="2"/>
  </r>
  <r>
    <s v="Singapore"/>
    <x v="2"/>
    <s v="SG2"/>
    <m/>
    <x v="0"/>
    <x v="3"/>
    <x v="0"/>
    <x v="0"/>
    <x v="0"/>
    <x v="0"/>
    <x v="0"/>
    <m/>
    <x v="0"/>
    <x v="0"/>
    <n v="34.689759299999999"/>
    <m/>
    <x v="4"/>
    <x v="3"/>
    <x v="0"/>
    <x v="4"/>
    <x v="1"/>
  </r>
  <r>
    <s v="Singapore"/>
    <x v="2"/>
    <s v="SG1"/>
    <m/>
    <x v="1"/>
    <x v="0"/>
    <x v="0"/>
    <x v="5"/>
    <x v="0"/>
    <x v="0"/>
    <x v="0"/>
    <m/>
    <x v="0"/>
    <x v="0"/>
    <n v="57.330720000000007"/>
    <m/>
    <x v="2"/>
    <x v="1"/>
    <x v="0"/>
    <x v="5"/>
    <x v="1"/>
  </r>
  <r>
    <s v="Singapore"/>
    <x v="2"/>
    <s v="SG3"/>
    <m/>
    <x v="2"/>
    <x v="2"/>
    <x v="3"/>
    <x v="4"/>
    <x v="0"/>
    <x v="0"/>
    <x v="0"/>
    <m/>
    <x v="0"/>
    <x v="0"/>
    <n v="-1.5579000000000001E-2"/>
    <m/>
    <x v="0"/>
    <x v="0"/>
    <x v="0"/>
    <x v="1"/>
    <x v="1"/>
  </r>
  <r>
    <s v="Singapore"/>
    <x v="2"/>
    <s v="SG4"/>
    <m/>
    <x v="3"/>
    <x v="2"/>
    <x v="2"/>
    <x v="2"/>
    <x v="0"/>
    <x v="0"/>
    <x v="0"/>
    <m/>
    <x v="0"/>
    <x v="0"/>
    <n v="-4.6737000000000001E-2"/>
    <m/>
    <x v="0"/>
    <x v="3"/>
    <x v="0"/>
    <x v="2"/>
    <x v="2"/>
  </r>
  <r>
    <s v="Singapore"/>
    <x v="4"/>
    <s v="SG4"/>
    <m/>
    <x v="3"/>
    <x v="1"/>
    <x v="3"/>
    <x v="3"/>
    <x v="0"/>
    <x v="0"/>
    <x v="0"/>
    <m/>
    <x v="0"/>
    <x v="0"/>
    <n v="-0.1168425"/>
    <m/>
    <x v="0"/>
    <x v="0"/>
    <x v="0"/>
    <x v="4"/>
    <x v="1"/>
  </r>
  <r>
    <s v="Singapore"/>
    <x v="3"/>
    <s v="SG2"/>
    <m/>
    <x v="1"/>
    <x v="3"/>
    <x v="2"/>
    <x v="5"/>
    <x v="0"/>
    <x v="0"/>
    <x v="0"/>
    <m/>
    <x v="0"/>
    <x v="0"/>
    <n v="7.7895000000000003"/>
    <m/>
    <x v="1"/>
    <x v="2"/>
    <x v="0"/>
    <x v="0"/>
    <x v="2"/>
  </r>
  <r>
    <s v="Singapore"/>
    <x v="4"/>
    <s v="SG2"/>
    <m/>
    <x v="2"/>
    <x v="3"/>
    <x v="3"/>
    <x v="5"/>
    <x v="0"/>
    <x v="0"/>
    <x v="0"/>
    <m/>
    <x v="0"/>
    <x v="0"/>
    <n v="1.40211"/>
    <m/>
    <x v="1"/>
    <x v="3"/>
    <x v="0"/>
    <x v="1"/>
    <x v="2"/>
  </r>
  <r>
    <s v="Singapore"/>
    <x v="1"/>
    <s v="SG4"/>
    <m/>
    <x v="3"/>
    <x v="4"/>
    <x v="3"/>
    <x v="1"/>
    <x v="0"/>
    <x v="0"/>
    <x v="0"/>
    <m/>
    <x v="0"/>
    <x v="0"/>
    <n v="-0.15579000000000001"/>
    <m/>
    <x v="4"/>
    <x v="2"/>
    <x v="0"/>
    <x v="5"/>
    <x v="1"/>
  </r>
  <r>
    <s v="Singapore"/>
    <x v="2"/>
    <s v="SG1"/>
    <m/>
    <x v="5"/>
    <x v="0"/>
    <x v="3"/>
    <x v="2"/>
    <x v="0"/>
    <x v="0"/>
    <x v="0"/>
    <m/>
    <x v="0"/>
    <x v="0"/>
    <n v="-6.5656137599999997"/>
    <m/>
    <x v="3"/>
    <x v="2"/>
    <x v="0"/>
    <x v="3"/>
    <x v="1"/>
  </r>
  <r>
    <s v="Singapore"/>
    <x v="5"/>
    <s v="SG3"/>
    <m/>
    <x v="4"/>
    <x v="1"/>
    <x v="1"/>
    <x v="3"/>
    <x v="0"/>
    <x v="0"/>
    <x v="0"/>
    <m/>
    <x v="0"/>
    <x v="0"/>
    <n v="-13.553730000000002"/>
    <m/>
    <x v="3"/>
    <x v="2"/>
    <x v="0"/>
    <x v="5"/>
    <x v="0"/>
  </r>
  <r>
    <s v="Singapore"/>
    <x v="0"/>
    <s v="SG3"/>
    <m/>
    <x v="1"/>
    <x v="4"/>
    <x v="3"/>
    <x v="4"/>
    <x v="0"/>
    <x v="0"/>
    <x v="0"/>
    <m/>
    <x v="0"/>
    <x v="0"/>
    <n v="0.28842960600000001"/>
    <m/>
    <x v="8"/>
    <x v="3"/>
    <x v="0"/>
    <x v="2"/>
    <x v="1"/>
  </r>
  <r>
    <s v="Singapore"/>
    <x v="4"/>
    <s v="SG4"/>
    <m/>
    <x v="3"/>
    <x v="0"/>
    <x v="4"/>
    <x v="1"/>
    <x v="0"/>
    <x v="0"/>
    <x v="0"/>
    <m/>
    <x v="0"/>
    <x v="0"/>
    <n v="-0.140211"/>
    <m/>
    <x v="0"/>
    <x v="0"/>
    <x v="0"/>
    <x v="0"/>
    <x v="2"/>
  </r>
  <r>
    <s v="Singapore"/>
    <x v="5"/>
    <s v="SG2"/>
    <m/>
    <x v="4"/>
    <x v="2"/>
    <x v="0"/>
    <x v="3"/>
    <x v="0"/>
    <x v="0"/>
    <x v="0"/>
    <m/>
    <x v="0"/>
    <x v="0"/>
    <n v="-5131.2081191039997"/>
    <m/>
    <x v="2"/>
    <x v="3"/>
    <x v="0"/>
    <x v="5"/>
    <x v="1"/>
  </r>
  <r>
    <s v="Singapore"/>
    <x v="1"/>
    <s v="SG3"/>
    <m/>
    <x v="0"/>
    <x v="2"/>
    <x v="3"/>
    <x v="4"/>
    <x v="0"/>
    <x v="0"/>
    <x v="0"/>
    <m/>
    <x v="0"/>
    <x v="0"/>
    <n v="1.8379481040000001"/>
    <m/>
    <x v="1"/>
    <x v="1"/>
    <x v="0"/>
    <x v="0"/>
    <x v="2"/>
  </r>
  <r>
    <s v="Singapore"/>
    <x v="1"/>
    <s v="SG3"/>
    <m/>
    <x v="1"/>
    <x v="1"/>
    <x v="3"/>
    <x v="4"/>
    <x v="0"/>
    <x v="0"/>
    <x v="0"/>
    <m/>
    <x v="0"/>
    <x v="0"/>
    <n v="-4.6737000000000001E-2"/>
    <m/>
    <x v="3"/>
    <x v="1"/>
    <x v="0"/>
    <x v="4"/>
    <x v="2"/>
  </r>
  <r>
    <s v="Singapore"/>
    <x v="5"/>
    <s v="SG1"/>
    <m/>
    <x v="5"/>
    <x v="3"/>
    <x v="4"/>
    <x v="0"/>
    <x v="0"/>
    <x v="0"/>
    <x v="0"/>
    <m/>
    <x v="0"/>
    <x v="0"/>
    <n v="0.37389600000000001"/>
    <m/>
    <x v="1"/>
    <x v="3"/>
    <x v="0"/>
    <x v="5"/>
    <x v="2"/>
  </r>
  <r>
    <s v="Singapore"/>
    <x v="4"/>
    <s v="SG3"/>
    <m/>
    <x v="1"/>
    <x v="2"/>
    <x v="2"/>
    <x v="0"/>
    <x v="0"/>
    <x v="0"/>
    <x v="0"/>
    <m/>
    <x v="0"/>
    <x v="0"/>
    <n v="-2.33685E-2"/>
    <m/>
    <x v="0"/>
    <x v="3"/>
    <x v="0"/>
    <x v="4"/>
    <x v="1"/>
  </r>
  <r>
    <s v="Singapore"/>
    <x v="3"/>
    <s v="SG1"/>
    <m/>
    <x v="1"/>
    <x v="3"/>
    <x v="0"/>
    <x v="2"/>
    <x v="0"/>
    <x v="0"/>
    <x v="0"/>
    <m/>
    <x v="0"/>
    <x v="0"/>
    <n v="0.15579000000000001"/>
    <m/>
    <x v="1"/>
    <x v="0"/>
    <x v="0"/>
    <x v="4"/>
    <x v="0"/>
  </r>
  <r>
    <s v="Singapore"/>
    <x v="3"/>
    <s v="SG3"/>
    <m/>
    <x v="4"/>
    <x v="1"/>
    <x v="2"/>
    <x v="4"/>
    <x v="0"/>
    <x v="0"/>
    <x v="0"/>
    <m/>
    <x v="0"/>
    <x v="0"/>
    <n v="-3.1158000000000002E-2"/>
    <m/>
    <x v="0"/>
    <x v="0"/>
    <x v="0"/>
    <x v="2"/>
    <x v="1"/>
  </r>
  <r>
    <s v="Singapore"/>
    <x v="5"/>
    <s v="SG2"/>
    <m/>
    <x v="1"/>
    <x v="3"/>
    <x v="3"/>
    <x v="3"/>
    <x v="0"/>
    <x v="0"/>
    <x v="0"/>
    <m/>
    <x v="0"/>
    <x v="0"/>
    <n v="-0.77895000000000003"/>
    <m/>
    <x v="4"/>
    <x v="2"/>
    <x v="0"/>
    <x v="1"/>
    <x v="1"/>
  </r>
  <r>
    <s v="Singapore"/>
    <x v="4"/>
    <s v="SG3"/>
    <m/>
    <x v="2"/>
    <x v="2"/>
    <x v="3"/>
    <x v="4"/>
    <x v="0"/>
    <x v="0"/>
    <x v="0"/>
    <m/>
    <x v="0"/>
    <x v="0"/>
    <n v="-0.10905300000000001"/>
    <m/>
    <x v="4"/>
    <x v="2"/>
    <x v="0"/>
    <x v="2"/>
    <x v="1"/>
  </r>
  <r>
    <s v="Singapore"/>
    <x v="3"/>
    <s v="SG3"/>
    <m/>
    <x v="2"/>
    <x v="3"/>
    <x v="2"/>
    <x v="5"/>
    <x v="0"/>
    <x v="0"/>
    <x v="0"/>
    <m/>
    <x v="0"/>
    <x v="0"/>
    <n v="-0.31158000000000002"/>
    <m/>
    <x v="0"/>
    <x v="1"/>
    <x v="0"/>
    <x v="2"/>
    <x v="2"/>
  </r>
  <r>
    <s v="Singapore"/>
    <x v="1"/>
    <s v="SG3"/>
    <m/>
    <x v="4"/>
    <x v="0"/>
    <x v="4"/>
    <x v="2"/>
    <x v="0"/>
    <x v="0"/>
    <x v="0"/>
    <m/>
    <x v="0"/>
    <x v="0"/>
    <n v="0.98147700000000004"/>
    <m/>
    <x v="1"/>
    <x v="1"/>
    <x v="0"/>
    <x v="5"/>
    <x v="0"/>
  </r>
  <r>
    <s v="Singapore"/>
    <x v="1"/>
    <s v="SG1"/>
    <m/>
    <x v="2"/>
    <x v="3"/>
    <x v="4"/>
    <x v="4"/>
    <x v="0"/>
    <x v="0"/>
    <x v="0"/>
    <m/>
    <x v="0"/>
    <x v="0"/>
    <n v="0.85684500000000008"/>
    <m/>
    <x v="8"/>
    <x v="1"/>
    <x v="0"/>
    <x v="1"/>
    <x v="2"/>
  </r>
  <r>
    <s v="Singapore"/>
    <x v="3"/>
    <s v="SG2"/>
    <m/>
    <x v="4"/>
    <x v="0"/>
    <x v="0"/>
    <x v="4"/>
    <x v="0"/>
    <x v="0"/>
    <x v="0"/>
    <m/>
    <x v="0"/>
    <x v="0"/>
    <n v="0.12463200000000001"/>
    <m/>
    <x v="0"/>
    <x v="0"/>
    <x v="0"/>
    <x v="1"/>
    <x v="0"/>
  </r>
  <r>
    <s v="Singapore"/>
    <x v="3"/>
    <s v="SG1"/>
    <m/>
    <x v="5"/>
    <x v="1"/>
    <x v="3"/>
    <x v="3"/>
    <x v="0"/>
    <x v="0"/>
    <x v="0"/>
    <m/>
    <x v="0"/>
    <x v="0"/>
    <n v="-7.7895000000000003"/>
    <m/>
    <x v="5"/>
    <x v="0"/>
    <x v="0"/>
    <x v="5"/>
    <x v="0"/>
  </r>
  <r>
    <s v="Singapore"/>
    <x v="3"/>
    <s v="SG3"/>
    <m/>
    <x v="1"/>
    <x v="2"/>
    <x v="2"/>
    <x v="1"/>
    <x v="0"/>
    <x v="0"/>
    <x v="0"/>
    <m/>
    <x v="0"/>
    <x v="0"/>
    <n v="-1.2463200000000001"/>
    <m/>
    <x v="4"/>
    <x v="2"/>
    <x v="0"/>
    <x v="4"/>
    <x v="1"/>
  </r>
  <r>
    <s v="Singapore"/>
    <x v="0"/>
    <s v="SG2"/>
    <m/>
    <x v="4"/>
    <x v="1"/>
    <x v="0"/>
    <x v="5"/>
    <x v="0"/>
    <x v="0"/>
    <x v="0"/>
    <m/>
    <x v="0"/>
    <x v="0"/>
    <n v="-1.9161858420000002"/>
    <m/>
    <x v="4"/>
    <x v="1"/>
    <x v="0"/>
    <x v="1"/>
    <x v="0"/>
  </r>
  <r>
    <s v="Singapore"/>
    <x v="0"/>
    <s v="SG3"/>
    <m/>
    <x v="5"/>
    <x v="4"/>
    <x v="0"/>
    <x v="3"/>
    <x v="0"/>
    <x v="0"/>
    <x v="0"/>
    <m/>
    <x v="0"/>
    <x v="0"/>
    <n v="1.862204607"/>
    <m/>
    <x v="1"/>
    <x v="3"/>
    <x v="0"/>
    <x v="2"/>
    <x v="1"/>
  </r>
  <r>
    <s v="Singapore"/>
    <x v="1"/>
    <s v="SG1"/>
    <m/>
    <x v="4"/>
    <x v="3"/>
    <x v="4"/>
    <x v="2"/>
    <x v="0"/>
    <x v="0"/>
    <x v="0"/>
    <m/>
    <x v="0"/>
    <x v="0"/>
    <n v="-0.35939195100000004"/>
    <m/>
    <x v="0"/>
    <x v="1"/>
    <x v="0"/>
    <x v="1"/>
    <x v="2"/>
  </r>
  <r>
    <s v="Singapore"/>
    <x v="4"/>
    <s v="SG1"/>
    <m/>
    <x v="0"/>
    <x v="2"/>
    <x v="2"/>
    <x v="3"/>
    <x v="0"/>
    <x v="0"/>
    <x v="0"/>
    <m/>
    <x v="0"/>
    <x v="0"/>
    <n v="0.14862366000000002"/>
    <m/>
    <x v="8"/>
    <x v="2"/>
    <x v="0"/>
    <x v="2"/>
    <x v="2"/>
  </r>
  <r>
    <s v="Singapore"/>
    <x v="4"/>
    <s v="SG4"/>
    <m/>
    <x v="3"/>
    <x v="2"/>
    <x v="1"/>
    <x v="1"/>
    <x v="0"/>
    <x v="0"/>
    <x v="0"/>
    <m/>
    <x v="0"/>
    <x v="0"/>
    <n v="0.1838322"/>
    <m/>
    <x v="4"/>
    <x v="0"/>
    <x v="0"/>
    <x v="5"/>
    <x v="0"/>
  </r>
  <r>
    <s v="Singapore"/>
    <x v="0"/>
    <s v="SG3"/>
    <m/>
    <x v="0"/>
    <x v="1"/>
    <x v="2"/>
    <x v="1"/>
    <x v="0"/>
    <x v="0"/>
    <x v="0"/>
    <m/>
    <x v="0"/>
    <x v="0"/>
    <n v="-5.8846868280000004"/>
    <m/>
    <x v="4"/>
    <x v="1"/>
    <x v="0"/>
    <x v="2"/>
    <x v="0"/>
  </r>
  <r>
    <s v="Singapore"/>
    <x v="1"/>
    <s v="SG1"/>
    <m/>
    <x v="1"/>
    <x v="2"/>
    <x v="0"/>
    <x v="2"/>
    <x v="0"/>
    <x v="0"/>
    <x v="0"/>
    <m/>
    <x v="0"/>
    <x v="0"/>
    <n v="1.1450565000000001"/>
    <m/>
    <x v="1"/>
    <x v="1"/>
    <x v="0"/>
    <x v="3"/>
    <x v="1"/>
  </r>
  <r>
    <s v="Singapore"/>
    <x v="4"/>
    <s v="SG4"/>
    <m/>
    <x v="0"/>
    <x v="2"/>
    <x v="1"/>
    <x v="1"/>
    <x v="0"/>
    <x v="0"/>
    <x v="0"/>
    <m/>
    <x v="0"/>
    <x v="0"/>
    <n v="-0.15579000000000001"/>
    <m/>
    <x v="0"/>
    <x v="0"/>
    <x v="0"/>
    <x v="2"/>
    <x v="2"/>
  </r>
  <r>
    <s v="Singapore"/>
    <x v="3"/>
    <s v="SG1"/>
    <m/>
    <x v="0"/>
    <x v="2"/>
    <x v="3"/>
    <x v="0"/>
    <x v="0"/>
    <x v="0"/>
    <x v="0"/>
    <m/>
    <x v="0"/>
    <x v="0"/>
    <n v="-1.959978411"/>
    <m/>
    <x v="4"/>
    <x v="0"/>
    <x v="0"/>
    <x v="0"/>
    <x v="1"/>
  </r>
  <r>
    <s v="Singapore"/>
    <x v="3"/>
    <s v="SG2"/>
    <m/>
    <x v="4"/>
    <x v="2"/>
    <x v="3"/>
    <x v="5"/>
    <x v="0"/>
    <x v="0"/>
    <x v="0"/>
    <m/>
    <x v="0"/>
    <x v="0"/>
    <n v="-1.5579000000000001E-2"/>
    <m/>
    <x v="0"/>
    <x v="2"/>
    <x v="0"/>
    <x v="2"/>
    <x v="2"/>
  </r>
  <r>
    <s v="Singapore"/>
    <x v="1"/>
    <s v="SG1"/>
    <m/>
    <x v="1"/>
    <x v="2"/>
    <x v="0"/>
    <x v="3"/>
    <x v="0"/>
    <x v="0"/>
    <x v="0"/>
    <m/>
    <x v="0"/>
    <x v="0"/>
    <n v="-0.12463200000000001"/>
    <m/>
    <x v="0"/>
    <x v="2"/>
    <x v="0"/>
    <x v="5"/>
    <x v="1"/>
  </r>
  <r>
    <s v="Singapore"/>
    <x v="0"/>
    <s v="SG4"/>
    <m/>
    <x v="2"/>
    <x v="1"/>
    <x v="1"/>
    <x v="1"/>
    <x v="0"/>
    <x v="0"/>
    <x v="0"/>
    <m/>
    <x v="0"/>
    <x v="0"/>
    <n v="-0.233685"/>
    <m/>
    <x v="0"/>
    <x v="3"/>
    <x v="0"/>
    <x v="4"/>
    <x v="0"/>
  </r>
  <r>
    <s v="Singapore"/>
    <x v="0"/>
    <s v="SG1"/>
    <m/>
    <x v="3"/>
    <x v="2"/>
    <x v="2"/>
    <x v="1"/>
    <x v="0"/>
    <x v="0"/>
    <x v="0"/>
    <m/>
    <x v="0"/>
    <x v="0"/>
    <n v="-0.50631749999999998"/>
    <m/>
    <x v="0"/>
    <x v="1"/>
    <x v="0"/>
    <x v="3"/>
    <x v="1"/>
  </r>
  <r>
    <s v="Singapore"/>
    <x v="4"/>
    <s v="SG2"/>
    <m/>
    <x v="5"/>
    <x v="1"/>
    <x v="4"/>
    <x v="5"/>
    <x v="0"/>
    <x v="0"/>
    <x v="0"/>
    <m/>
    <x v="0"/>
    <x v="0"/>
    <n v="4.5271795050000003"/>
    <m/>
    <x v="7"/>
    <x v="1"/>
    <x v="0"/>
    <x v="0"/>
    <x v="1"/>
  </r>
  <r>
    <s v="Singapore"/>
    <x v="1"/>
    <s v="SG1"/>
    <m/>
    <x v="1"/>
    <x v="3"/>
    <x v="4"/>
    <x v="5"/>
    <x v="0"/>
    <x v="0"/>
    <x v="0"/>
    <m/>
    <x v="0"/>
    <x v="0"/>
    <n v="-0.1838322"/>
    <m/>
    <x v="4"/>
    <x v="2"/>
    <x v="0"/>
    <x v="2"/>
    <x v="1"/>
  </r>
  <r>
    <s v="Singapore"/>
    <x v="4"/>
    <s v="SG3"/>
    <m/>
    <x v="4"/>
    <x v="3"/>
    <x v="1"/>
    <x v="1"/>
    <x v="0"/>
    <x v="0"/>
    <x v="0"/>
    <m/>
    <x v="0"/>
    <x v="0"/>
    <n v="-0.280141578"/>
    <m/>
    <x v="0"/>
    <x v="3"/>
    <x v="0"/>
    <x v="0"/>
    <x v="2"/>
  </r>
  <r>
    <s v="Singapore"/>
    <x v="5"/>
    <s v="SG1"/>
    <m/>
    <x v="2"/>
    <x v="3"/>
    <x v="1"/>
    <x v="0"/>
    <x v="0"/>
    <x v="0"/>
    <x v="0"/>
    <m/>
    <x v="0"/>
    <x v="0"/>
    <n v="-0.12463200000000001"/>
    <m/>
    <x v="4"/>
    <x v="3"/>
    <x v="0"/>
    <x v="3"/>
    <x v="2"/>
  </r>
  <r>
    <s v="Singapore"/>
    <x v="3"/>
    <s v="SG1"/>
    <m/>
    <x v="0"/>
    <x v="3"/>
    <x v="4"/>
    <x v="2"/>
    <x v="0"/>
    <x v="0"/>
    <x v="0"/>
    <m/>
    <x v="0"/>
    <x v="0"/>
    <n v="1.2307410000000001"/>
    <m/>
    <x v="1"/>
    <x v="1"/>
    <x v="0"/>
    <x v="4"/>
    <x v="1"/>
  </r>
  <r>
    <s v="Singapore"/>
    <x v="3"/>
    <s v="SG1"/>
    <m/>
    <x v="5"/>
    <x v="4"/>
    <x v="1"/>
    <x v="2"/>
    <x v="0"/>
    <x v="0"/>
    <x v="0"/>
    <m/>
    <x v="0"/>
    <x v="0"/>
    <n v="1.9028657970000002"/>
    <m/>
    <x v="1"/>
    <x v="2"/>
    <x v="0"/>
    <x v="1"/>
    <x v="2"/>
  </r>
  <r>
    <s v="Singapore"/>
    <x v="3"/>
    <s v="SG4"/>
    <m/>
    <x v="0"/>
    <x v="3"/>
    <x v="4"/>
    <x v="3"/>
    <x v="0"/>
    <x v="0"/>
    <x v="0"/>
    <m/>
    <x v="0"/>
    <x v="0"/>
    <n v="0.12463200000000001"/>
    <m/>
    <x v="0"/>
    <x v="3"/>
    <x v="0"/>
    <x v="2"/>
    <x v="1"/>
  </r>
  <r>
    <s v="Singapore"/>
    <x v="2"/>
    <s v="SG3"/>
    <m/>
    <x v="4"/>
    <x v="1"/>
    <x v="4"/>
    <x v="2"/>
    <x v="0"/>
    <x v="0"/>
    <x v="0"/>
    <m/>
    <x v="0"/>
    <x v="0"/>
    <n v="-0.126283374"/>
    <m/>
    <x v="4"/>
    <x v="0"/>
    <x v="0"/>
    <x v="2"/>
    <x v="2"/>
  </r>
  <r>
    <s v="Singapore"/>
    <x v="3"/>
    <s v="SG3"/>
    <m/>
    <x v="2"/>
    <x v="3"/>
    <x v="4"/>
    <x v="5"/>
    <x v="0"/>
    <x v="0"/>
    <x v="0"/>
    <m/>
    <x v="0"/>
    <x v="0"/>
    <n v="4.0505399999999998"/>
    <m/>
    <x v="11"/>
    <x v="3"/>
    <x v="0"/>
    <x v="5"/>
    <x v="0"/>
  </r>
  <r>
    <s v="Singapore"/>
    <x v="0"/>
    <s v="SG3"/>
    <m/>
    <x v="3"/>
    <x v="0"/>
    <x v="3"/>
    <x v="4"/>
    <x v="0"/>
    <x v="0"/>
    <x v="0"/>
    <m/>
    <x v="0"/>
    <x v="0"/>
    <n v="-0.77895000000000003"/>
    <m/>
    <x v="4"/>
    <x v="3"/>
    <x v="0"/>
    <x v="4"/>
    <x v="2"/>
  </r>
  <r>
    <s v="Singapore"/>
    <x v="1"/>
    <s v="SG4"/>
    <m/>
    <x v="5"/>
    <x v="1"/>
    <x v="0"/>
    <x v="1"/>
    <x v="0"/>
    <x v="0"/>
    <x v="0"/>
    <m/>
    <x v="0"/>
    <x v="0"/>
    <n v="-0.233685"/>
    <m/>
    <x v="0"/>
    <x v="1"/>
    <x v="0"/>
    <x v="1"/>
    <x v="2"/>
  </r>
  <r>
    <s v="Singapore"/>
    <x v="2"/>
    <s v="SG2"/>
    <m/>
    <x v="1"/>
    <x v="3"/>
    <x v="1"/>
    <x v="0"/>
    <x v="0"/>
    <x v="0"/>
    <x v="0"/>
    <m/>
    <x v="0"/>
    <x v="0"/>
    <n v="0.70105499999999998"/>
    <m/>
    <x v="1"/>
    <x v="2"/>
    <x v="0"/>
    <x v="4"/>
    <x v="2"/>
  </r>
  <r>
    <s v="Singapore"/>
    <x v="4"/>
    <s v="SG3"/>
    <m/>
    <x v="3"/>
    <x v="3"/>
    <x v="4"/>
    <x v="1"/>
    <x v="0"/>
    <x v="0"/>
    <x v="0"/>
    <m/>
    <x v="0"/>
    <x v="0"/>
    <n v="2.7263250000000001"/>
    <m/>
    <x v="1"/>
    <x v="0"/>
    <x v="0"/>
    <x v="3"/>
    <x v="0"/>
  </r>
  <r>
    <s v="Singapore"/>
    <x v="2"/>
    <s v="SG1"/>
    <m/>
    <x v="1"/>
    <x v="3"/>
    <x v="2"/>
    <x v="4"/>
    <x v="0"/>
    <x v="0"/>
    <x v="0"/>
    <m/>
    <x v="0"/>
    <x v="0"/>
    <n v="0.15189525000000001"/>
    <m/>
    <x v="7"/>
    <x v="2"/>
    <x v="0"/>
    <x v="1"/>
    <x v="2"/>
  </r>
  <r>
    <s v="Singapore"/>
    <x v="3"/>
    <s v="SG3"/>
    <m/>
    <x v="0"/>
    <x v="0"/>
    <x v="3"/>
    <x v="2"/>
    <x v="0"/>
    <x v="0"/>
    <x v="0"/>
    <m/>
    <x v="0"/>
    <x v="0"/>
    <n v="-0.12463200000000001"/>
    <m/>
    <x v="0"/>
    <x v="1"/>
    <x v="0"/>
    <x v="1"/>
    <x v="1"/>
  </r>
  <r>
    <s v="Singapore"/>
    <x v="3"/>
    <s v="SG4"/>
    <m/>
    <x v="0"/>
    <x v="1"/>
    <x v="1"/>
    <x v="1"/>
    <x v="0"/>
    <x v="0"/>
    <x v="0"/>
    <m/>
    <x v="0"/>
    <x v="0"/>
    <n v="-7.0105500000000001E-2"/>
    <m/>
    <x v="4"/>
    <x v="3"/>
    <x v="0"/>
    <x v="5"/>
    <x v="2"/>
  </r>
  <r>
    <s v="Singapore"/>
    <x v="5"/>
    <s v="SG3"/>
    <m/>
    <x v="1"/>
    <x v="0"/>
    <x v="3"/>
    <x v="3"/>
    <x v="0"/>
    <x v="0"/>
    <x v="0"/>
    <m/>
    <x v="0"/>
    <x v="0"/>
    <n v="0.545265"/>
    <m/>
    <x v="0"/>
    <x v="1"/>
    <x v="0"/>
    <x v="0"/>
    <x v="1"/>
  </r>
  <r>
    <s v="Singapore"/>
    <x v="4"/>
    <s v="SG1"/>
    <m/>
    <x v="1"/>
    <x v="2"/>
    <x v="1"/>
    <x v="5"/>
    <x v="0"/>
    <x v="0"/>
    <x v="0"/>
    <m/>
    <x v="0"/>
    <x v="0"/>
    <n v="0.56863350000000001"/>
    <m/>
    <x v="8"/>
    <x v="2"/>
    <x v="0"/>
    <x v="5"/>
    <x v="1"/>
  </r>
  <r>
    <s v="Singapore"/>
    <x v="0"/>
    <s v="SG4"/>
    <m/>
    <x v="1"/>
    <x v="2"/>
    <x v="4"/>
    <x v="3"/>
    <x v="0"/>
    <x v="0"/>
    <x v="0"/>
    <m/>
    <x v="0"/>
    <x v="0"/>
    <n v="0.777781575"/>
    <m/>
    <x v="3"/>
    <x v="1"/>
    <x v="0"/>
    <x v="3"/>
    <x v="1"/>
  </r>
  <r>
    <s v="Singapore"/>
    <x v="4"/>
    <s v="SG4"/>
    <m/>
    <x v="3"/>
    <x v="0"/>
    <x v="0"/>
    <x v="3"/>
    <x v="0"/>
    <x v="0"/>
    <x v="0"/>
    <m/>
    <x v="0"/>
    <x v="0"/>
    <n v="-0.60524414999999998"/>
    <m/>
    <x v="3"/>
    <x v="3"/>
    <x v="0"/>
    <x v="3"/>
    <x v="0"/>
  </r>
  <r>
    <s v="Singapore"/>
    <x v="2"/>
    <s v="SG4"/>
    <m/>
    <x v="2"/>
    <x v="2"/>
    <x v="2"/>
    <x v="5"/>
    <x v="0"/>
    <x v="0"/>
    <x v="0"/>
    <m/>
    <x v="0"/>
    <x v="0"/>
    <n v="20.186473671000002"/>
    <m/>
    <x v="7"/>
    <x v="3"/>
    <x v="0"/>
    <x v="4"/>
    <x v="1"/>
  </r>
  <r>
    <s v="Singapore"/>
    <x v="2"/>
    <s v="SG4"/>
    <m/>
    <x v="0"/>
    <x v="1"/>
    <x v="3"/>
    <x v="5"/>
    <x v="0"/>
    <x v="0"/>
    <x v="0"/>
    <m/>
    <x v="0"/>
    <x v="0"/>
    <n v="1.106109"/>
    <m/>
    <x v="1"/>
    <x v="3"/>
    <x v="0"/>
    <x v="4"/>
    <x v="1"/>
  </r>
  <r>
    <s v="Singapore"/>
    <x v="1"/>
    <s v="SG2"/>
    <m/>
    <x v="1"/>
    <x v="2"/>
    <x v="1"/>
    <x v="2"/>
    <x v="0"/>
    <x v="0"/>
    <x v="0"/>
    <m/>
    <x v="0"/>
    <x v="0"/>
    <n v="0.21810600000000002"/>
    <m/>
    <x v="4"/>
    <x v="0"/>
    <x v="0"/>
    <x v="2"/>
    <x v="0"/>
  </r>
  <r>
    <s v="Singapore"/>
    <x v="0"/>
    <s v="SG3"/>
    <m/>
    <x v="2"/>
    <x v="1"/>
    <x v="0"/>
    <x v="3"/>
    <x v="0"/>
    <x v="0"/>
    <x v="0"/>
    <m/>
    <x v="0"/>
    <x v="0"/>
    <n v="-0.50631749999999998"/>
    <m/>
    <x v="0"/>
    <x v="3"/>
    <x v="0"/>
    <x v="5"/>
    <x v="2"/>
  </r>
  <r>
    <s v="Singapore"/>
    <x v="4"/>
    <s v="SG2"/>
    <m/>
    <x v="5"/>
    <x v="0"/>
    <x v="4"/>
    <x v="5"/>
    <x v="0"/>
    <x v="0"/>
    <x v="0"/>
    <m/>
    <x v="0"/>
    <x v="0"/>
    <n v="-0.12463200000000001"/>
    <m/>
    <x v="0"/>
    <x v="2"/>
    <x v="0"/>
    <x v="5"/>
    <x v="0"/>
  </r>
  <r>
    <s v="Singapore"/>
    <x v="0"/>
    <s v="SG2"/>
    <m/>
    <x v="5"/>
    <x v="0"/>
    <x v="4"/>
    <x v="2"/>
    <x v="0"/>
    <x v="0"/>
    <x v="0"/>
    <m/>
    <x v="0"/>
    <x v="0"/>
    <n v="-15.241917176999999"/>
    <m/>
    <x v="3"/>
    <x v="2"/>
    <x v="0"/>
    <x v="0"/>
    <x v="0"/>
  </r>
  <r>
    <s v="Singapore"/>
    <x v="3"/>
    <s v="SG2"/>
    <m/>
    <x v="3"/>
    <x v="4"/>
    <x v="3"/>
    <x v="5"/>
    <x v="0"/>
    <x v="0"/>
    <x v="0"/>
    <m/>
    <x v="0"/>
    <x v="0"/>
    <n v="-2.3443746569999999"/>
    <m/>
    <x v="0"/>
    <x v="1"/>
    <x v="0"/>
    <x v="1"/>
    <x v="2"/>
  </r>
  <r>
    <s v="Singapore"/>
    <x v="2"/>
    <s v="SG2"/>
    <m/>
    <x v="1"/>
    <x v="4"/>
    <x v="0"/>
    <x v="3"/>
    <x v="0"/>
    <x v="0"/>
    <x v="0"/>
    <m/>
    <x v="0"/>
    <x v="0"/>
    <n v="165.0937788"/>
    <m/>
    <x v="4"/>
    <x v="0"/>
    <x v="0"/>
    <x v="1"/>
    <x v="2"/>
  </r>
  <r>
    <s v="Singapore"/>
    <x v="5"/>
    <s v="SG4"/>
    <m/>
    <x v="5"/>
    <x v="4"/>
    <x v="1"/>
    <x v="2"/>
    <x v="0"/>
    <x v="0"/>
    <x v="0"/>
    <m/>
    <x v="0"/>
    <x v="0"/>
    <n v="-7.0105500000000001E-2"/>
    <m/>
    <x v="4"/>
    <x v="1"/>
    <x v="0"/>
    <x v="5"/>
    <x v="1"/>
  </r>
  <r>
    <s v="Singapore"/>
    <x v="2"/>
    <s v="SG3"/>
    <m/>
    <x v="5"/>
    <x v="1"/>
    <x v="4"/>
    <x v="5"/>
    <x v="0"/>
    <x v="0"/>
    <x v="0"/>
    <m/>
    <x v="0"/>
    <x v="0"/>
    <n v="-0.280422"/>
    <m/>
    <x v="0"/>
    <x v="3"/>
    <x v="0"/>
    <x v="5"/>
    <x v="0"/>
  </r>
  <r>
    <s v="Singapore"/>
    <x v="4"/>
    <s v="SG3"/>
    <m/>
    <x v="0"/>
    <x v="2"/>
    <x v="0"/>
    <x v="3"/>
    <x v="0"/>
    <x v="0"/>
    <x v="0"/>
    <m/>
    <x v="0"/>
    <x v="0"/>
    <n v="-3.7389600000000002E-2"/>
    <m/>
    <x v="3"/>
    <x v="2"/>
    <x v="0"/>
    <x v="2"/>
    <x v="1"/>
  </r>
  <r>
    <s v="Singapore"/>
    <x v="2"/>
    <s v="SG2"/>
    <m/>
    <x v="5"/>
    <x v="0"/>
    <x v="0"/>
    <x v="5"/>
    <x v="0"/>
    <x v="0"/>
    <x v="0"/>
    <m/>
    <x v="0"/>
    <x v="0"/>
    <n v="-4.6737000000000001E-2"/>
    <m/>
    <x v="0"/>
    <x v="0"/>
    <x v="0"/>
    <x v="4"/>
    <x v="1"/>
  </r>
  <r>
    <s v="Singapore"/>
    <x v="0"/>
    <s v="SG2"/>
    <m/>
    <x v="3"/>
    <x v="4"/>
    <x v="0"/>
    <x v="5"/>
    <x v="0"/>
    <x v="0"/>
    <x v="0"/>
    <m/>
    <x v="0"/>
    <x v="0"/>
    <n v="1.2307410000000001"/>
    <m/>
    <x v="1"/>
    <x v="0"/>
    <x v="0"/>
    <x v="1"/>
    <x v="0"/>
  </r>
  <r>
    <s v="Singapore"/>
    <x v="4"/>
    <s v="SG4"/>
    <m/>
    <x v="0"/>
    <x v="1"/>
    <x v="1"/>
    <x v="2"/>
    <x v="0"/>
    <x v="0"/>
    <x v="0"/>
    <m/>
    <x v="0"/>
    <x v="0"/>
    <n v="-305.98520720400001"/>
    <m/>
    <x v="1"/>
    <x v="2"/>
    <x v="0"/>
    <x v="2"/>
    <x v="2"/>
  </r>
  <r>
    <s v="Singapore"/>
    <x v="3"/>
    <s v="SG1"/>
    <m/>
    <x v="5"/>
    <x v="0"/>
    <x v="4"/>
    <x v="0"/>
    <x v="0"/>
    <x v="0"/>
    <x v="0"/>
    <m/>
    <x v="0"/>
    <x v="0"/>
    <n v="1.3242150000000001"/>
    <m/>
    <x v="1"/>
    <x v="0"/>
    <x v="0"/>
    <x v="4"/>
    <x v="1"/>
  </r>
  <r>
    <s v="Singapore"/>
    <x v="2"/>
    <s v="SG3"/>
    <m/>
    <x v="3"/>
    <x v="0"/>
    <x v="2"/>
    <x v="1"/>
    <x v="0"/>
    <x v="0"/>
    <x v="0"/>
    <m/>
    <x v="0"/>
    <x v="0"/>
    <n v="-0.61096164300000011"/>
    <m/>
    <x v="4"/>
    <x v="3"/>
    <x v="0"/>
    <x v="2"/>
    <x v="2"/>
  </r>
  <r>
    <s v="Singapore"/>
    <x v="4"/>
    <s v="SG3"/>
    <m/>
    <x v="0"/>
    <x v="4"/>
    <x v="0"/>
    <x v="5"/>
    <x v="0"/>
    <x v="0"/>
    <x v="0"/>
    <m/>
    <x v="0"/>
    <x v="0"/>
    <n v="1.0801232280000002"/>
    <m/>
    <x v="1"/>
    <x v="0"/>
    <x v="0"/>
    <x v="5"/>
    <x v="0"/>
  </r>
  <r>
    <s v="Singapore"/>
    <x v="1"/>
    <s v="SG1"/>
    <m/>
    <x v="0"/>
    <x v="3"/>
    <x v="2"/>
    <x v="5"/>
    <x v="0"/>
    <x v="0"/>
    <x v="0"/>
    <m/>
    <x v="0"/>
    <x v="0"/>
    <n v="-0.1838322"/>
    <m/>
    <x v="4"/>
    <x v="2"/>
    <x v="0"/>
    <x v="0"/>
    <x v="1"/>
  </r>
  <r>
    <s v="Singapore"/>
    <x v="4"/>
    <s v="SG3"/>
    <m/>
    <x v="5"/>
    <x v="4"/>
    <x v="0"/>
    <x v="0"/>
    <x v="0"/>
    <x v="0"/>
    <x v="0"/>
    <m/>
    <x v="0"/>
    <x v="0"/>
    <n v="-0.15579000000000001"/>
    <m/>
    <x v="4"/>
    <x v="3"/>
    <x v="0"/>
    <x v="2"/>
    <x v="2"/>
  </r>
  <r>
    <s v="Singapore"/>
    <x v="1"/>
    <s v="SG3"/>
    <m/>
    <x v="4"/>
    <x v="1"/>
    <x v="1"/>
    <x v="3"/>
    <x v="0"/>
    <x v="0"/>
    <x v="0"/>
    <m/>
    <x v="0"/>
    <x v="0"/>
    <n v="-0.545265"/>
    <m/>
    <x v="0"/>
    <x v="0"/>
    <x v="0"/>
    <x v="0"/>
    <x v="2"/>
  </r>
  <r>
    <s v="Singapore"/>
    <x v="1"/>
    <s v="SG1"/>
    <m/>
    <x v="0"/>
    <x v="4"/>
    <x v="0"/>
    <x v="5"/>
    <x v="0"/>
    <x v="0"/>
    <x v="0"/>
    <m/>
    <x v="0"/>
    <x v="0"/>
    <n v="14.198202072000001"/>
    <m/>
    <x v="9"/>
    <x v="2"/>
    <x v="0"/>
    <x v="2"/>
    <x v="0"/>
  </r>
  <r>
    <s v="Singapore"/>
    <x v="3"/>
    <s v="SG2"/>
    <m/>
    <x v="2"/>
    <x v="3"/>
    <x v="1"/>
    <x v="2"/>
    <x v="0"/>
    <x v="0"/>
    <x v="0"/>
    <m/>
    <x v="0"/>
    <x v="0"/>
    <n v="-2.0971826640000004"/>
    <m/>
    <x v="4"/>
    <x v="0"/>
    <x v="0"/>
    <x v="0"/>
    <x v="0"/>
  </r>
  <r>
    <s v="Singapore"/>
    <x v="1"/>
    <s v="SG1"/>
    <m/>
    <x v="5"/>
    <x v="2"/>
    <x v="1"/>
    <x v="1"/>
    <x v="0"/>
    <x v="0"/>
    <x v="0"/>
    <m/>
    <x v="0"/>
    <x v="0"/>
    <n v="0.32870132100000005"/>
    <m/>
    <x v="8"/>
    <x v="0"/>
    <x v="0"/>
    <x v="4"/>
    <x v="2"/>
  </r>
  <r>
    <s v="Singapore"/>
    <x v="4"/>
    <s v="SG1"/>
    <m/>
    <x v="0"/>
    <x v="2"/>
    <x v="4"/>
    <x v="0"/>
    <x v="0"/>
    <x v="0"/>
    <x v="0"/>
    <m/>
    <x v="0"/>
    <x v="0"/>
    <n v="-0.15579000000000001"/>
    <m/>
    <x v="4"/>
    <x v="2"/>
    <x v="0"/>
    <x v="5"/>
    <x v="1"/>
  </r>
  <r>
    <s v="Singapore"/>
    <x v="5"/>
    <s v="SG1"/>
    <m/>
    <x v="5"/>
    <x v="1"/>
    <x v="0"/>
    <x v="4"/>
    <x v="0"/>
    <x v="0"/>
    <x v="0"/>
    <m/>
    <x v="0"/>
    <x v="0"/>
    <n v="-0.15579000000000001"/>
    <m/>
    <x v="0"/>
    <x v="1"/>
    <x v="0"/>
    <x v="1"/>
    <x v="1"/>
  </r>
  <r>
    <s v="Singapore"/>
    <x v="4"/>
    <s v="SG3"/>
    <m/>
    <x v="5"/>
    <x v="1"/>
    <x v="2"/>
    <x v="5"/>
    <x v="0"/>
    <x v="0"/>
    <x v="0"/>
    <m/>
    <x v="0"/>
    <x v="0"/>
    <n v="2.0252700000000002E-2"/>
    <m/>
    <x v="2"/>
    <x v="1"/>
    <x v="0"/>
    <x v="3"/>
    <x v="0"/>
  </r>
  <r>
    <s v="Singapore"/>
    <x v="1"/>
    <s v="SG1"/>
    <m/>
    <x v="0"/>
    <x v="1"/>
    <x v="2"/>
    <x v="5"/>
    <x v="0"/>
    <x v="0"/>
    <x v="0"/>
    <m/>
    <x v="0"/>
    <x v="0"/>
    <n v="-2.897694"/>
    <m/>
    <x v="4"/>
    <x v="0"/>
    <x v="0"/>
    <x v="2"/>
    <x v="0"/>
  </r>
  <r>
    <s v="Singapore"/>
    <x v="1"/>
    <s v="SG1"/>
    <m/>
    <x v="5"/>
    <x v="0"/>
    <x v="3"/>
    <x v="4"/>
    <x v="0"/>
    <x v="0"/>
    <x v="0"/>
    <m/>
    <x v="0"/>
    <x v="0"/>
    <n v="-0.10905300000000001"/>
    <m/>
    <x v="4"/>
    <x v="0"/>
    <x v="0"/>
    <x v="1"/>
    <x v="2"/>
  </r>
  <r>
    <s v="Singapore"/>
    <x v="3"/>
    <s v="SG4"/>
    <m/>
    <x v="1"/>
    <x v="3"/>
    <x v="3"/>
    <x v="2"/>
    <x v="0"/>
    <x v="0"/>
    <x v="0"/>
    <m/>
    <x v="0"/>
    <x v="0"/>
    <n v="0.65819717100000008"/>
    <m/>
    <x v="1"/>
    <x v="2"/>
    <x v="0"/>
    <x v="5"/>
    <x v="1"/>
  </r>
  <r>
    <s v="Singapore"/>
    <x v="4"/>
    <s v="SG4"/>
    <m/>
    <x v="4"/>
    <x v="1"/>
    <x v="2"/>
    <x v="5"/>
    <x v="0"/>
    <x v="0"/>
    <x v="0"/>
    <m/>
    <x v="0"/>
    <x v="0"/>
    <n v="-0.51410699999999998"/>
    <m/>
    <x v="0"/>
    <x v="2"/>
    <x v="0"/>
    <x v="5"/>
    <x v="0"/>
  </r>
  <r>
    <s v="Singapore"/>
    <x v="1"/>
    <s v="SG2"/>
    <m/>
    <x v="0"/>
    <x v="1"/>
    <x v="3"/>
    <x v="1"/>
    <x v="0"/>
    <x v="0"/>
    <x v="0"/>
    <m/>
    <x v="0"/>
    <x v="0"/>
    <n v="2.3368500000000001"/>
    <m/>
    <x v="4"/>
    <x v="0"/>
    <x v="0"/>
    <x v="5"/>
    <x v="2"/>
  </r>
  <r>
    <s v="Singapore"/>
    <x v="2"/>
    <s v="SG2"/>
    <m/>
    <x v="2"/>
    <x v="3"/>
    <x v="3"/>
    <x v="5"/>
    <x v="0"/>
    <x v="0"/>
    <x v="0"/>
    <m/>
    <x v="0"/>
    <x v="0"/>
    <n v="-7.7895000000000006E-2"/>
    <m/>
    <x v="0"/>
    <x v="3"/>
    <x v="0"/>
    <x v="2"/>
    <x v="0"/>
  </r>
  <r>
    <s v="Singapore"/>
    <x v="2"/>
    <s v="SG1"/>
    <m/>
    <x v="2"/>
    <x v="2"/>
    <x v="1"/>
    <x v="5"/>
    <x v="0"/>
    <x v="0"/>
    <x v="0"/>
    <m/>
    <x v="0"/>
    <x v="0"/>
    <n v="-1.2463200000000001E-2"/>
    <m/>
    <x v="6"/>
    <x v="3"/>
    <x v="0"/>
    <x v="4"/>
    <x v="0"/>
  </r>
  <r>
    <s v="Singapore"/>
    <x v="0"/>
    <s v="SG2"/>
    <m/>
    <x v="0"/>
    <x v="3"/>
    <x v="4"/>
    <x v="0"/>
    <x v="0"/>
    <x v="0"/>
    <x v="0"/>
    <m/>
    <x v="0"/>
    <x v="0"/>
    <n v="0.27018659700000003"/>
    <m/>
    <x v="1"/>
    <x v="3"/>
    <x v="0"/>
    <x v="1"/>
    <x v="1"/>
  </r>
  <r>
    <s v="Singapore"/>
    <x v="3"/>
    <s v="SG3"/>
    <m/>
    <x v="3"/>
    <x v="4"/>
    <x v="3"/>
    <x v="4"/>
    <x v="0"/>
    <x v="0"/>
    <x v="0"/>
    <m/>
    <x v="0"/>
    <x v="0"/>
    <n v="-69.287602500000006"/>
    <m/>
    <x v="2"/>
    <x v="3"/>
    <x v="0"/>
    <x v="1"/>
    <x v="2"/>
  </r>
  <r>
    <s v="Singapore"/>
    <x v="5"/>
    <s v="SG1"/>
    <m/>
    <x v="0"/>
    <x v="3"/>
    <x v="1"/>
    <x v="5"/>
    <x v="0"/>
    <x v="0"/>
    <x v="0"/>
    <m/>
    <x v="0"/>
    <x v="0"/>
    <n v="0.15579000000000001"/>
    <m/>
    <x v="0"/>
    <x v="1"/>
    <x v="0"/>
    <x v="0"/>
    <x v="2"/>
  </r>
  <r>
    <s v="Singapore"/>
    <x v="2"/>
    <s v="SG3"/>
    <m/>
    <x v="2"/>
    <x v="2"/>
    <x v="0"/>
    <x v="0"/>
    <x v="0"/>
    <x v="0"/>
    <x v="0"/>
    <m/>
    <x v="0"/>
    <x v="0"/>
    <n v="-3.1158000000000002E-2"/>
    <m/>
    <x v="0"/>
    <x v="0"/>
    <x v="0"/>
    <x v="3"/>
    <x v="2"/>
  </r>
  <r>
    <s v="Singapore"/>
    <x v="2"/>
    <s v="SG4"/>
    <m/>
    <x v="4"/>
    <x v="1"/>
    <x v="4"/>
    <x v="5"/>
    <x v="0"/>
    <x v="0"/>
    <x v="0"/>
    <m/>
    <x v="0"/>
    <x v="0"/>
    <n v="0.15579000000000001"/>
    <m/>
    <x v="1"/>
    <x v="2"/>
    <x v="0"/>
    <x v="3"/>
    <x v="1"/>
  </r>
  <r>
    <s v="Singapore"/>
    <x v="3"/>
    <s v="SG4"/>
    <m/>
    <x v="1"/>
    <x v="3"/>
    <x v="1"/>
    <x v="1"/>
    <x v="0"/>
    <x v="0"/>
    <x v="0"/>
    <m/>
    <x v="0"/>
    <x v="0"/>
    <n v="-0.15579000000000001"/>
    <m/>
    <x v="0"/>
    <x v="1"/>
    <x v="0"/>
    <x v="1"/>
    <x v="0"/>
  </r>
  <r>
    <s v="Singapore"/>
    <x v="1"/>
    <s v="SG1"/>
    <m/>
    <x v="1"/>
    <x v="4"/>
    <x v="3"/>
    <x v="1"/>
    <x v="0"/>
    <x v="0"/>
    <x v="0"/>
    <m/>
    <x v="0"/>
    <x v="0"/>
    <n v="251.60085000000001"/>
    <m/>
    <x v="2"/>
    <x v="1"/>
    <x v="0"/>
    <x v="3"/>
    <x v="0"/>
  </r>
  <r>
    <s v="Singapore"/>
    <x v="0"/>
    <s v="SG3"/>
    <m/>
    <x v="0"/>
    <x v="0"/>
    <x v="0"/>
    <x v="0"/>
    <x v="0"/>
    <x v="0"/>
    <x v="0"/>
    <m/>
    <x v="0"/>
    <x v="0"/>
    <n v="-0.545265"/>
    <m/>
    <x v="1"/>
    <x v="3"/>
    <x v="0"/>
    <x v="4"/>
    <x v="2"/>
  </r>
  <r>
    <s v="Singapore"/>
    <x v="3"/>
    <s v="SG4"/>
    <m/>
    <x v="1"/>
    <x v="3"/>
    <x v="2"/>
    <x v="2"/>
    <x v="0"/>
    <x v="0"/>
    <x v="0"/>
    <m/>
    <x v="0"/>
    <x v="0"/>
    <n v="1.1310354"/>
    <m/>
    <x v="3"/>
    <x v="2"/>
    <x v="0"/>
    <x v="5"/>
    <x v="1"/>
  </r>
  <r>
    <s v="Singapore"/>
    <x v="5"/>
    <s v="SG2"/>
    <m/>
    <x v="4"/>
    <x v="2"/>
    <x v="4"/>
    <x v="5"/>
    <x v="0"/>
    <x v="0"/>
    <x v="0"/>
    <m/>
    <x v="0"/>
    <x v="0"/>
    <n v="3.9766176450000006"/>
    <m/>
    <x v="9"/>
    <x v="0"/>
    <x v="0"/>
    <x v="4"/>
    <x v="1"/>
  </r>
  <r>
    <s v="Singapore"/>
    <x v="2"/>
    <s v="SG1"/>
    <m/>
    <x v="4"/>
    <x v="4"/>
    <x v="3"/>
    <x v="5"/>
    <x v="0"/>
    <x v="0"/>
    <x v="0"/>
    <m/>
    <x v="0"/>
    <x v="0"/>
    <n v="0.74467620000000001"/>
    <m/>
    <x v="1"/>
    <x v="2"/>
    <x v="0"/>
    <x v="2"/>
    <x v="2"/>
  </r>
  <r>
    <s v="Singapore"/>
    <x v="2"/>
    <s v="SG1"/>
    <m/>
    <x v="3"/>
    <x v="2"/>
    <x v="3"/>
    <x v="3"/>
    <x v="0"/>
    <x v="0"/>
    <x v="0"/>
    <m/>
    <x v="0"/>
    <x v="0"/>
    <n v="2.33685E-2"/>
    <m/>
    <x v="3"/>
    <x v="2"/>
    <x v="0"/>
    <x v="2"/>
    <x v="2"/>
  </r>
  <r>
    <s v="Singapore"/>
    <x v="0"/>
    <s v="SG1"/>
    <m/>
    <x v="3"/>
    <x v="1"/>
    <x v="1"/>
    <x v="1"/>
    <x v="0"/>
    <x v="0"/>
    <x v="0"/>
    <m/>
    <x v="0"/>
    <x v="0"/>
    <n v="-94.284108000000003"/>
    <m/>
    <x v="5"/>
    <x v="1"/>
    <x v="0"/>
    <x v="3"/>
    <x v="0"/>
  </r>
  <r>
    <s v="Singapore"/>
    <x v="4"/>
    <s v="SG1"/>
    <m/>
    <x v="0"/>
    <x v="2"/>
    <x v="1"/>
    <x v="4"/>
    <x v="0"/>
    <x v="0"/>
    <x v="0"/>
    <m/>
    <x v="0"/>
    <x v="0"/>
    <n v="-12.463200000000001"/>
    <m/>
    <x v="4"/>
    <x v="1"/>
    <x v="0"/>
    <x v="1"/>
    <x v="2"/>
  </r>
  <r>
    <s v="Singapore"/>
    <x v="2"/>
    <s v="SG3"/>
    <m/>
    <x v="0"/>
    <x v="4"/>
    <x v="4"/>
    <x v="2"/>
    <x v="0"/>
    <x v="0"/>
    <x v="0"/>
    <m/>
    <x v="0"/>
    <x v="0"/>
    <n v="0.15579000000000001"/>
    <m/>
    <x v="1"/>
    <x v="2"/>
    <x v="0"/>
    <x v="5"/>
    <x v="0"/>
  </r>
  <r>
    <s v="Singapore"/>
    <x v="5"/>
    <s v="SG4"/>
    <m/>
    <x v="4"/>
    <x v="3"/>
    <x v="4"/>
    <x v="0"/>
    <x v="0"/>
    <x v="0"/>
    <x v="0"/>
    <m/>
    <x v="0"/>
    <x v="0"/>
    <n v="-73.203773625000011"/>
    <m/>
    <x v="7"/>
    <x v="3"/>
    <x v="0"/>
    <x v="5"/>
    <x v="0"/>
  </r>
  <r>
    <s v="Singapore"/>
    <x v="5"/>
    <s v="SG4"/>
    <m/>
    <x v="3"/>
    <x v="4"/>
    <x v="2"/>
    <x v="3"/>
    <x v="0"/>
    <x v="0"/>
    <x v="0"/>
    <m/>
    <x v="0"/>
    <x v="0"/>
    <n v="0.1838322"/>
    <m/>
    <x v="4"/>
    <x v="0"/>
    <x v="0"/>
    <x v="5"/>
    <x v="2"/>
  </r>
  <r>
    <s v="Singapore"/>
    <x v="4"/>
    <s v="SG3"/>
    <m/>
    <x v="3"/>
    <x v="2"/>
    <x v="2"/>
    <x v="2"/>
    <x v="0"/>
    <x v="0"/>
    <x v="0"/>
    <m/>
    <x v="0"/>
    <x v="0"/>
    <n v="-0.24926400000000001"/>
    <m/>
    <x v="0"/>
    <x v="2"/>
    <x v="0"/>
    <x v="3"/>
    <x v="1"/>
  </r>
  <r>
    <s v="Singapore"/>
    <x v="2"/>
    <s v="SG1"/>
    <m/>
    <x v="5"/>
    <x v="0"/>
    <x v="4"/>
    <x v="3"/>
    <x v="0"/>
    <x v="0"/>
    <x v="0"/>
    <m/>
    <x v="0"/>
    <x v="0"/>
    <n v="-0.15579000000000001"/>
    <m/>
    <x v="0"/>
    <x v="1"/>
    <x v="0"/>
    <x v="1"/>
    <x v="2"/>
  </r>
  <r>
    <s v="Singapore"/>
    <x v="5"/>
    <s v="SG1"/>
    <m/>
    <x v="0"/>
    <x v="0"/>
    <x v="4"/>
    <x v="0"/>
    <x v="0"/>
    <x v="0"/>
    <x v="0"/>
    <m/>
    <x v="0"/>
    <x v="0"/>
    <n v="-0.140211"/>
    <m/>
    <x v="0"/>
    <x v="2"/>
    <x v="0"/>
    <x v="1"/>
    <x v="1"/>
  </r>
  <r>
    <s v="Singapore"/>
    <x v="5"/>
    <s v="SG1"/>
    <m/>
    <x v="5"/>
    <x v="1"/>
    <x v="0"/>
    <x v="5"/>
    <x v="0"/>
    <x v="0"/>
    <x v="0"/>
    <m/>
    <x v="0"/>
    <x v="0"/>
    <n v="-0.12226399200000002"/>
    <m/>
    <x v="2"/>
    <x v="0"/>
    <x v="0"/>
    <x v="0"/>
    <x v="0"/>
  </r>
  <r>
    <s v="Singapore"/>
    <x v="0"/>
    <s v="SG3"/>
    <m/>
    <x v="3"/>
    <x v="2"/>
    <x v="1"/>
    <x v="5"/>
    <x v="0"/>
    <x v="0"/>
    <x v="0"/>
    <m/>
    <x v="0"/>
    <x v="0"/>
    <n v="-0.31158000000000002"/>
    <m/>
    <x v="4"/>
    <x v="0"/>
    <x v="0"/>
    <x v="1"/>
    <x v="0"/>
  </r>
  <r>
    <s v="Singapore"/>
    <x v="3"/>
    <s v="SG3"/>
    <m/>
    <x v="5"/>
    <x v="1"/>
    <x v="1"/>
    <x v="3"/>
    <x v="0"/>
    <x v="0"/>
    <x v="0"/>
    <m/>
    <x v="0"/>
    <x v="0"/>
    <n v="-4.6737000000000002"/>
    <m/>
    <x v="4"/>
    <x v="2"/>
    <x v="0"/>
    <x v="4"/>
    <x v="2"/>
  </r>
  <r>
    <s v="Singapore"/>
    <x v="5"/>
    <s v="SG3"/>
    <m/>
    <x v="4"/>
    <x v="4"/>
    <x v="2"/>
    <x v="3"/>
    <x v="0"/>
    <x v="0"/>
    <x v="0"/>
    <m/>
    <x v="0"/>
    <x v="0"/>
    <n v="1.0801232280000002"/>
    <m/>
    <x v="1"/>
    <x v="0"/>
    <x v="0"/>
    <x v="0"/>
    <x v="1"/>
  </r>
  <r>
    <s v="Singapore"/>
    <x v="5"/>
    <s v="SG2"/>
    <m/>
    <x v="3"/>
    <x v="2"/>
    <x v="2"/>
    <x v="4"/>
    <x v="0"/>
    <x v="0"/>
    <x v="0"/>
    <m/>
    <x v="0"/>
    <x v="0"/>
    <n v="-0.12463200000000001"/>
    <m/>
    <x v="3"/>
    <x v="0"/>
    <x v="0"/>
    <x v="2"/>
    <x v="2"/>
  </r>
  <r>
    <s v="Singapore"/>
    <x v="2"/>
    <s v="SG3"/>
    <m/>
    <x v="1"/>
    <x v="2"/>
    <x v="3"/>
    <x v="1"/>
    <x v="0"/>
    <x v="0"/>
    <x v="0"/>
    <m/>
    <x v="0"/>
    <x v="0"/>
    <n v="-7.7895000000000006E-2"/>
    <m/>
    <x v="0"/>
    <x v="3"/>
    <x v="0"/>
    <x v="5"/>
    <x v="2"/>
  </r>
  <r>
    <s v="Singapore"/>
    <x v="4"/>
    <s v="SG4"/>
    <m/>
    <x v="0"/>
    <x v="4"/>
    <x v="4"/>
    <x v="5"/>
    <x v="0"/>
    <x v="0"/>
    <x v="0"/>
    <m/>
    <x v="0"/>
    <x v="0"/>
    <n v="5.4526500000000002"/>
    <m/>
    <x v="1"/>
    <x v="2"/>
    <x v="0"/>
    <x v="0"/>
    <x v="2"/>
  </r>
  <r>
    <s v="Singapore"/>
    <x v="3"/>
    <s v="SG4"/>
    <m/>
    <x v="2"/>
    <x v="0"/>
    <x v="2"/>
    <x v="0"/>
    <x v="0"/>
    <x v="0"/>
    <x v="0"/>
    <m/>
    <x v="0"/>
    <x v="0"/>
    <n v="-4.6737000000000001E-2"/>
    <m/>
    <x v="0"/>
    <x v="2"/>
    <x v="0"/>
    <x v="0"/>
    <x v="2"/>
  </r>
  <r>
    <s v="Singapore"/>
    <x v="1"/>
    <s v="SG1"/>
    <m/>
    <x v="5"/>
    <x v="2"/>
    <x v="3"/>
    <x v="4"/>
    <x v="0"/>
    <x v="0"/>
    <x v="0"/>
    <m/>
    <x v="0"/>
    <x v="0"/>
    <n v="-4.6737000000000001E-2"/>
    <m/>
    <x v="0"/>
    <x v="0"/>
    <x v="0"/>
    <x v="3"/>
    <x v="2"/>
  </r>
  <r>
    <s v="Singapore"/>
    <x v="2"/>
    <s v="SG3"/>
    <m/>
    <x v="2"/>
    <x v="2"/>
    <x v="3"/>
    <x v="0"/>
    <x v="0"/>
    <x v="0"/>
    <x v="0"/>
    <m/>
    <x v="0"/>
    <x v="0"/>
    <n v="-0.15579000000000001"/>
    <m/>
    <x v="0"/>
    <x v="3"/>
    <x v="0"/>
    <x v="5"/>
    <x v="0"/>
  </r>
  <r>
    <s v="Singapore"/>
    <x v="4"/>
    <s v="SG1"/>
    <m/>
    <x v="3"/>
    <x v="1"/>
    <x v="2"/>
    <x v="3"/>
    <x v="0"/>
    <x v="0"/>
    <x v="0"/>
    <m/>
    <x v="0"/>
    <x v="0"/>
    <n v="-4.2063300000000005E-2"/>
    <m/>
    <x v="3"/>
    <x v="0"/>
    <x v="0"/>
    <x v="5"/>
    <x v="2"/>
  </r>
  <r>
    <s v="Singapore"/>
    <x v="1"/>
    <s v="SG2"/>
    <m/>
    <x v="1"/>
    <x v="4"/>
    <x v="1"/>
    <x v="3"/>
    <x v="0"/>
    <x v="0"/>
    <x v="0"/>
    <m/>
    <x v="0"/>
    <x v="0"/>
    <n v="-0.29132730000000001"/>
    <m/>
    <x v="1"/>
    <x v="0"/>
    <x v="0"/>
    <x v="5"/>
    <x v="2"/>
  </r>
  <r>
    <s v="Singapore"/>
    <x v="4"/>
    <s v="SG3"/>
    <m/>
    <x v="0"/>
    <x v="1"/>
    <x v="1"/>
    <x v="2"/>
    <x v="0"/>
    <x v="0"/>
    <x v="0"/>
    <m/>
    <x v="0"/>
    <x v="0"/>
    <n v="9.3474000000000002E-2"/>
    <m/>
    <x v="0"/>
    <x v="2"/>
    <x v="0"/>
    <x v="0"/>
    <x v="2"/>
  </r>
  <r>
    <s v="Singapore"/>
    <x v="5"/>
    <s v="SG4"/>
    <m/>
    <x v="4"/>
    <x v="0"/>
    <x v="3"/>
    <x v="2"/>
    <x v="0"/>
    <x v="0"/>
    <x v="0"/>
    <m/>
    <x v="0"/>
    <x v="0"/>
    <n v="-4.6737000000000001E-2"/>
    <m/>
    <x v="0"/>
    <x v="1"/>
    <x v="0"/>
    <x v="4"/>
    <x v="2"/>
  </r>
  <r>
    <s v="Singapore"/>
    <x v="0"/>
    <s v="SG2"/>
    <m/>
    <x v="2"/>
    <x v="0"/>
    <x v="1"/>
    <x v="1"/>
    <x v="0"/>
    <x v="0"/>
    <x v="0"/>
    <m/>
    <x v="0"/>
    <x v="0"/>
    <n v="-0.24926400000000001"/>
    <m/>
    <x v="0"/>
    <x v="3"/>
    <x v="0"/>
    <x v="2"/>
    <x v="0"/>
  </r>
  <r>
    <s v="Singapore"/>
    <x v="1"/>
    <s v="SG1"/>
    <m/>
    <x v="2"/>
    <x v="2"/>
    <x v="4"/>
    <x v="1"/>
    <x v="0"/>
    <x v="0"/>
    <x v="0"/>
    <m/>
    <x v="0"/>
    <x v="0"/>
    <n v="-0.1838322"/>
    <m/>
    <x v="4"/>
    <x v="0"/>
    <x v="0"/>
    <x v="3"/>
    <x v="2"/>
  </r>
  <r>
    <s v="Singapore"/>
    <x v="4"/>
    <s v="SG1"/>
    <m/>
    <x v="3"/>
    <x v="0"/>
    <x v="0"/>
    <x v="0"/>
    <x v="0"/>
    <x v="0"/>
    <x v="0"/>
    <m/>
    <x v="0"/>
    <x v="0"/>
    <n v="-0.15579000000000001"/>
    <m/>
    <x v="4"/>
    <x v="1"/>
    <x v="0"/>
    <x v="4"/>
    <x v="0"/>
  </r>
  <r>
    <s v="Singapore"/>
    <x v="0"/>
    <s v="SG1"/>
    <m/>
    <x v="5"/>
    <x v="4"/>
    <x v="1"/>
    <x v="2"/>
    <x v="0"/>
    <x v="0"/>
    <x v="0"/>
    <m/>
    <x v="0"/>
    <x v="0"/>
    <n v="-0.545265"/>
    <m/>
    <x v="4"/>
    <x v="3"/>
    <x v="0"/>
    <x v="4"/>
    <x v="2"/>
  </r>
  <r>
    <s v="Singapore"/>
    <x v="1"/>
    <s v="SG1"/>
    <m/>
    <x v="1"/>
    <x v="3"/>
    <x v="1"/>
    <x v="5"/>
    <x v="0"/>
    <x v="0"/>
    <x v="0"/>
    <m/>
    <x v="0"/>
    <x v="0"/>
    <n v="0.21031650000000002"/>
    <m/>
    <x v="1"/>
    <x v="0"/>
    <x v="0"/>
    <x v="5"/>
    <x v="1"/>
  </r>
  <r>
    <s v="Singapore"/>
    <x v="0"/>
    <s v="SG4"/>
    <m/>
    <x v="1"/>
    <x v="1"/>
    <x v="1"/>
    <x v="0"/>
    <x v="0"/>
    <x v="0"/>
    <x v="0"/>
    <m/>
    <x v="0"/>
    <x v="0"/>
    <n v="-0.15579000000000001"/>
    <m/>
    <x v="0"/>
    <x v="1"/>
    <x v="0"/>
    <x v="5"/>
    <x v="2"/>
  </r>
  <r>
    <s v="Singapore"/>
    <x v="1"/>
    <s v="SG2"/>
    <m/>
    <x v="3"/>
    <x v="0"/>
    <x v="0"/>
    <x v="2"/>
    <x v="0"/>
    <x v="0"/>
    <x v="0"/>
    <m/>
    <x v="0"/>
    <x v="0"/>
    <n v="0.70105499999999998"/>
    <m/>
    <x v="1"/>
    <x v="1"/>
    <x v="0"/>
    <x v="5"/>
    <x v="1"/>
  </r>
  <r>
    <s v="Singapore"/>
    <x v="1"/>
    <s v="SG3"/>
    <m/>
    <x v="5"/>
    <x v="0"/>
    <x v="4"/>
    <x v="0"/>
    <x v="0"/>
    <x v="0"/>
    <x v="0"/>
    <m/>
    <x v="0"/>
    <x v="0"/>
    <n v="-0.10905300000000001"/>
    <m/>
    <x v="0"/>
    <x v="0"/>
    <x v="0"/>
    <x v="3"/>
    <x v="0"/>
  </r>
  <r>
    <s v="Singapore"/>
    <x v="3"/>
    <s v="SG2"/>
    <m/>
    <x v="5"/>
    <x v="3"/>
    <x v="1"/>
    <x v="0"/>
    <x v="0"/>
    <x v="0"/>
    <x v="0"/>
    <m/>
    <x v="0"/>
    <x v="0"/>
    <n v="-6.2316000000000003E-2"/>
    <m/>
    <x v="0"/>
    <x v="0"/>
    <x v="0"/>
    <x v="2"/>
    <x v="0"/>
  </r>
  <r>
    <s v="Singapore"/>
    <x v="1"/>
    <s v="SG1"/>
    <m/>
    <x v="4"/>
    <x v="2"/>
    <x v="1"/>
    <x v="1"/>
    <x v="0"/>
    <x v="0"/>
    <x v="0"/>
    <m/>
    <x v="0"/>
    <x v="0"/>
    <n v="7.7895000000000004E-3"/>
    <m/>
    <x v="0"/>
    <x v="3"/>
    <x v="0"/>
    <x v="3"/>
    <x v="0"/>
  </r>
  <r>
    <s v="Singapore"/>
    <x v="1"/>
    <s v="SG1"/>
    <m/>
    <x v="4"/>
    <x v="0"/>
    <x v="4"/>
    <x v="1"/>
    <x v="0"/>
    <x v="0"/>
    <x v="0"/>
    <m/>
    <x v="0"/>
    <x v="0"/>
    <n v="0.60758100000000004"/>
    <m/>
    <x v="7"/>
    <x v="0"/>
    <x v="0"/>
    <x v="2"/>
    <x v="0"/>
  </r>
  <r>
    <s v="Singapore"/>
    <x v="4"/>
    <s v="SG1"/>
    <m/>
    <x v="3"/>
    <x v="4"/>
    <x v="0"/>
    <x v="4"/>
    <x v="0"/>
    <x v="0"/>
    <x v="0"/>
    <m/>
    <x v="0"/>
    <x v="0"/>
    <n v="0.15579000000000001"/>
    <m/>
    <x v="1"/>
    <x v="3"/>
    <x v="0"/>
    <x v="1"/>
    <x v="2"/>
  </r>
  <r>
    <s v="Singapore"/>
    <x v="2"/>
    <s v="SG1"/>
    <m/>
    <x v="1"/>
    <x v="2"/>
    <x v="3"/>
    <x v="5"/>
    <x v="0"/>
    <x v="0"/>
    <x v="0"/>
    <m/>
    <x v="0"/>
    <x v="0"/>
    <n v="-0.15579000000000001"/>
    <m/>
    <x v="0"/>
    <x v="3"/>
    <x v="0"/>
    <x v="3"/>
    <x v="0"/>
  </r>
  <r>
    <s v="Singapore"/>
    <x v="4"/>
    <s v="SG3"/>
    <m/>
    <x v="4"/>
    <x v="4"/>
    <x v="1"/>
    <x v="1"/>
    <x v="0"/>
    <x v="0"/>
    <x v="0"/>
    <m/>
    <x v="0"/>
    <x v="0"/>
    <n v="0.17839512900000001"/>
    <m/>
    <x v="1"/>
    <x v="3"/>
    <x v="0"/>
    <x v="0"/>
    <x v="0"/>
  </r>
  <r>
    <s v="Singapore"/>
    <x v="3"/>
    <s v="SG3"/>
    <m/>
    <x v="4"/>
    <x v="1"/>
    <x v="2"/>
    <x v="3"/>
    <x v="0"/>
    <x v="0"/>
    <x v="0"/>
    <m/>
    <x v="0"/>
    <x v="0"/>
    <n v="1.137267"/>
    <m/>
    <x v="1"/>
    <x v="3"/>
    <x v="0"/>
    <x v="5"/>
    <x v="0"/>
  </r>
  <r>
    <s v="Singapore"/>
    <x v="2"/>
    <s v="SG2"/>
    <m/>
    <x v="3"/>
    <x v="3"/>
    <x v="4"/>
    <x v="2"/>
    <x v="0"/>
    <x v="0"/>
    <x v="0"/>
    <m/>
    <x v="0"/>
    <x v="0"/>
    <n v="-1.5984054000000001E-2"/>
    <m/>
    <x v="8"/>
    <x v="3"/>
    <x v="0"/>
    <x v="1"/>
    <x v="2"/>
  </r>
  <r>
    <s v="Singapore"/>
    <x v="2"/>
    <s v="SG3"/>
    <m/>
    <x v="3"/>
    <x v="2"/>
    <x v="1"/>
    <x v="1"/>
    <x v="0"/>
    <x v="0"/>
    <x v="0"/>
    <m/>
    <x v="0"/>
    <x v="0"/>
    <n v="0.42063300000000003"/>
    <m/>
    <x v="4"/>
    <x v="0"/>
    <x v="0"/>
    <x v="2"/>
    <x v="2"/>
  </r>
  <r>
    <s v="Singapore"/>
    <x v="4"/>
    <s v="SG1"/>
    <m/>
    <x v="2"/>
    <x v="2"/>
    <x v="0"/>
    <x v="4"/>
    <x v="0"/>
    <x v="0"/>
    <x v="0"/>
    <m/>
    <x v="0"/>
    <x v="0"/>
    <n v="1.0801232280000002"/>
    <m/>
    <x v="1"/>
    <x v="1"/>
    <x v="0"/>
    <x v="5"/>
    <x v="2"/>
  </r>
  <r>
    <s v="Singapore"/>
    <x v="4"/>
    <s v="SG4"/>
    <m/>
    <x v="1"/>
    <x v="4"/>
    <x v="1"/>
    <x v="4"/>
    <x v="0"/>
    <x v="0"/>
    <x v="0"/>
    <m/>
    <x v="0"/>
    <x v="0"/>
    <n v="-0.15579000000000001"/>
    <m/>
    <x v="4"/>
    <x v="1"/>
    <x v="0"/>
    <x v="2"/>
    <x v="0"/>
  </r>
  <r>
    <s v="Singapore"/>
    <x v="0"/>
    <s v="SG2"/>
    <m/>
    <x v="0"/>
    <x v="4"/>
    <x v="4"/>
    <x v="3"/>
    <x v="0"/>
    <x v="0"/>
    <x v="0"/>
    <m/>
    <x v="0"/>
    <x v="0"/>
    <n v="-0.38947500000000002"/>
    <m/>
    <x v="4"/>
    <x v="2"/>
    <x v="0"/>
    <x v="0"/>
    <x v="0"/>
  </r>
  <r>
    <s v="Singapore"/>
    <x v="5"/>
    <s v="SG4"/>
    <m/>
    <x v="1"/>
    <x v="2"/>
    <x v="1"/>
    <x v="2"/>
    <x v="0"/>
    <x v="0"/>
    <x v="0"/>
    <m/>
    <x v="0"/>
    <x v="0"/>
    <n v="-18.000615338999999"/>
    <m/>
    <x v="3"/>
    <x v="3"/>
    <x v="0"/>
    <x v="5"/>
    <x v="2"/>
  </r>
  <r>
    <s v="Singapore"/>
    <x v="2"/>
    <s v="SG1"/>
    <m/>
    <x v="5"/>
    <x v="2"/>
    <x v="3"/>
    <x v="0"/>
    <x v="0"/>
    <x v="0"/>
    <x v="0"/>
    <m/>
    <x v="0"/>
    <x v="0"/>
    <n v="2.6951670000000001"/>
    <m/>
    <x v="1"/>
    <x v="2"/>
    <x v="0"/>
    <x v="4"/>
    <x v="0"/>
  </r>
  <r>
    <s v="Singapore"/>
    <x v="2"/>
    <s v="SG3"/>
    <m/>
    <x v="1"/>
    <x v="4"/>
    <x v="3"/>
    <x v="5"/>
    <x v="0"/>
    <x v="0"/>
    <x v="0"/>
    <m/>
    <x v="0"/>
    <x v="0"/>
    <n v="-7.7895000000000006E-2"/>
    <m/>
    <x v="0"/>
    <x v="2"/>
    <x v="0"/>
    <x v="4"/>
    <x v="2"/>
  </r>
  <r>
    <s v="Singapore"/>
    <x v="4"/>
    <s v="SG4"/>
    <m/>
    <x v="2"/>
    <x v="2"/>
    <x v="4"/>
    <x v="1"/>
    <x v="0"/>
    <x v="0"/>
    <x v="0"/>
    <m/>
    <x v="0"/>
    <x v="0"/>
    <n v="-2.33685E-2"/>
    <m/>
    <x v="0"/>
    <x v="1"/>
    <x v="0"/>
    <x v="1"/>
    <x v="2"/>
  </r>
  <r>
    <s v="Singapore"/>
    <x v="2"/>
    <s v="SG3"/>
    <m/>
    <x v="4"/>
    <x v="1"/>
    <x v="1"/>
    <x v="0"/>
    <x v="0"/>
    <x v="0"/>
    <x v="0"/>
    <m/>
    <x v="0"/>
    <x v="0"/>
    <n v="-7.7895000000000004E-3"/>
    <m/>
    <x v="0"/>
    <x v="2"/>
    <x v="0"/>
    <x v="5"/>
    <x v="2"/>
  </r>
  <r>
    <s v="Singapore"/>
    <x v="3"/>
    <s v="SG3"/>
    <m/>
    <x v="0"/>
    <x v="4"/>
    <x v="3"/>
    <x v="5"/>
    <x v="0"/>
    <x v="0"/>
    <x v="0"/>
    <m/>
    <x v="0"/>
    <x v="0"/>
    <n v="-0.18373872600000002"/>
    <m/>
    <x v="0"/>
    <x v="1"/>
    <x v="0"/>
    <x v="2"/>
    <x v="2"/>
  </r>
  <r>
    <s v="Singapore"/>
    <x v="5"/>
    <s v="SG1"/>
    <m/>
    <x v="5"/>
    <x v="4"/>
    <x v="0"/>
    <x v="3"/>
    <x v="0"/>
    <x v="0"/>
    <x v="0"/>
    <m/>
    <x v="0"/>
    <x v="0"/>
    <n v="-0.38947500000000002"/>
    <m/>
    <x v="4"/>
    <x v="0"/>
    <x v="0"/>
    <x v="2"/>
    <x v="1"/>
  </r>
  <r>
    <s v="Singapore"/>
    <x v="0"/>
    <s v="SG1"/>
    <m/>
    <x v="3"/>
    <x v="2"/>
    <x v="4"/>
    <x v="5"/>
    <x v="0"/>
    <x v="0"/>
    <x v="0"/>
    <m/>
    <x v="0"/>
    <x v="0"/>
    <n v="1.40211"/>
    <m/>
    <x v="1"/>
    <x v="0"/>
    <x v="0"/>
    <x v="2"/>
    <x v="2"/>
  </r>
  <r>
    <s v="Singapore"/>
    <x v="1"/>
    <s v="SG2"/>
    <m/>
    <x v="1"/>
    <x v="3"/>
    <x v="3"/>
    <x v="4"/>
    <x v="0"/>
    <x v="0"/>
    <x v="0"/>
    <m/>
    <x v="0"/>
    <x v="0"/>
    <n v="-3.1158000000000002E-2"/>
    <m/>
    <x v="0"/>
    <x v="1"/>
    <x v="0"/>
    <x v="0"/>
    <x v="0"/>
  </r>
  <r>
    <s v="Singapore"/>
    <x v="2"/>
    <s v="SG3"/>
    <m/>
    <x v="3"/>
    <x v="4"/>
    <x v="4"/>
    <x v="2"/>
    <x v="0"/>
    <x v="0"/>
    <x v="0"/>
    <m/>
    <x v="0"/>
    <x v="0"/>
    <n v="-0.15579000000000001"/>
    <m/>
    <x v="0"/>
    <x v="0"/>
    <x v="0"/>
    <x v="3"/>
    <x v="2"/>
  </r>
  <r>
    <s v="Singapore"/>
    <x v="1"/>
    <s v="SG3"/>
    <m/>
    <x v="0"/>
    <x v="0"/>
    <x v="2"/>
    <x v="4"/>
    <x v="0"/>
    <x v="0"/>
    <x v="0"/>
    <m/>
    <x v="0"/>
    <x v="0"/>
    <n v="3.1158000000000001"/>
    <m/>
    <x v="7"/>
    <x v="0"/>
    <x v="0"/>
    <x v="3"/>
    <x v="1"/>
  </r>
  <r>
    <s v="Singapore"/>
    <x v="0"/>
    <s v="SG3"/>
    <m/>
    <x v="1"/>
    <x v="3"/>
    <x v="2"/>
    <x v="1"/>
    <x v="0"/>
    <x v="0"/>
    <x v="0"/>
    <m/>
    <x v="0"/>
    <x v="0"/>
    <n v="-4.6737000000000001E-2"/>
    <m/>
    <x v="0"/>
    <x v="2"/>
    <x v="0"/>
    <x v="3"/>
    <x v="0"/>
  </r>
  <r>
    <s v="Singapore"/>
    <x v="2"/>
    <s v="SG2"/>
    <m/>
    <x v="1"/>
    <x v="0"/>
    <x v="0"/>
    <x v="0"/>
    <x v="0"/>
    <x v="0"/>
    <x v="0"/>
    <m/>
    <x v="0"/>
    <x v="0"/>
    <n v="-2.4926400000000002"/>
    <m/>
    <x v="4"/>
    <x v="2"/>
    <x v="0"/>
    <x v="5"/>
    <x v="0"/>
  </r>
  <r>
    <s v="Singapore"/>
    <x v="3"/>
    <s v="SG3"/>
    <m/>
    <x v="4"/>
    <x v="0"/>
    <x v="0"/>
    <x v="0"/>
    <x v="0"/>
    <x v="0"/>
    <x v="0"/>
    <m/>
    <x v="0"/>
    <x v="0"/>
    <n v="-0.21810600000000002"/>
    <m/>
    <x v="4"/>
    <x v="2"/>
    <x v="0"/>
    <x v="3"/>
    <x v="1"/>
  </r>
  <r>
    <s v="Singapore"/>
    <x v="0"/>
    <s v="SG2"/>
    <m/>
    <x v="0"/>
    <x v="1"/>
    <x v="0"/>
    <x v="2"/>
    <x v="0"/>
    <x v="0"/>
    <x v="0"/>
    <m/>
    <x v="0"/>
    <x v="0"/>
    <n v="2.0252700000000002E-2"/>
    <m/>
    <x v="2"/>
    <x v="0"/>
    <x v="0"/>
    <x v="3"/>
    <x v="1"/>
  </r>
  <r>
    <s v="Singapore"/>
    <x v="0"/>
    <s v="SG4"/>
    <m/>
    <x v="5"/>
    <x v="3"/>
    <x v="2"/>
    <x v="5"/>
    <x v="0"/>
    <x v="0"/>
    <x v="0"/>
    <m/>
    <x v="0"/>
    <x v="0"/>
    <n v="140.09814572400001"/>
    <m/>
    <x v="5"/>
    <x v="2"/>
    <x v="0"/>
    <x v="3"/>
    <x v="1"/>
  </r>
  <r>
    <s v="Singapore"/>
    <x v="4"/>
    <s v="SG1"/>
    <m/>
    <x v="4"/>
    <x v="0"/>
    <x v="3"/>
    <x v="2"/>
    <x v="0"/>
    <x v="0"/>
    <x v="0"/>
    <m/>
    <x v="0"/>
    <x v="0"/>
    <n v="-1.5579000000000001E-2"/>
    <m/>
    <x v="0"/>
    <x v="2"/>
    <x v="0"/>
    <x v="5"/>
    <x v="2"/>
  </r>
  <r>
    <s v="Singapore"/>
    <x v="0"/>
    <s v="SG4"/>
    <m/>
    <x v="4"/>
    <x v="3"/>
    <x v="2"/>
    <x v="4"/>
    <x v="0"/>
    <x v="0"/>
    <x v="0"/>
    <m/>
    <x v="0"/>
    <x v="0"/>
    <n v="0.17984397600000002"/>
    <m/>
    <x v="1"/>
    <x v="0"/>
    <x v="0"/>
    <x v="5"/>
    <x v="1"/>
  </r>
  <r>
    <s v="Singapore"/>
    <x v="4"/>
    <s v="SG1"/>
    <m/>
    <x v="0"/>
    <x v="1"/>
    <x v="2"/>
    <x v="0"/>
    <x v="0"/>
    <x v="0"/>
    <x v="0"/>
    <m/>
    <x v="0"/>
    <x v="0"/>
    <n v="1.3008465"/>
    <m/>
    <x v="1"/>
    <x v="0"/>
    <x v="0"/>
    <x v="0"/>
    <x v="1"/>
  </r>
  <r>
    <s v="Singapore"/>
    <x v="1"/>
    <s v="SG2"/>
    <m/>
    <x v="3"/>
    <x v="2"/>
    <x v="4"/>
    <x v="4"/>
    <x v="0"/>
    <x v="0"/>
    <x v="0"/>
    <m/>
    <x v="0"/>
    <x v="0"/>
    <n v="-0.12463200000000001"/>
    <m/>
    <x v="6"/>
    <x v="1"/>
    <x v="0"/>
    <x v="0"/>
    <x v="0"/>
  </r>
  <r>
    <s v="Singapore"/>
    <x v="4"/>
    <s v="SG1"/>
    <m/>
    <x v="2"/>
    <x v="1"/>
    <x v="2"/>
    <x v="1"/>
    <x v="0"/>
    <x v="0"/>
    <x v="0"/>
    <m/>
    <x v="0"/>
    <x v="0"/>
    <n v="111.99384783000001"/>
    <m/>
    <x v="2"/>
    <x v="1"/>
    <x v="0"/>
    <x v="2"/>
    <x v="1"/>
  </r>
  <r>
    <s v="Singapore"/>
    <x v="3"/>
    <s v="SG4"/>
    <m/>
    <x v="1"/>
    <x v="4"/>
    <x v="1"/>
    <x v="5"/>
    <x v="0"/>
    <x v="0"/>
    <x v="0"/>
    <m/>
    <x v="0"/>
    <x v="0"/>
    <n v="1.1365659450000001"/>
    <m/>
    <x v="1"/>
    <x v="2"/>
    <x v="0"/>
    <x v="4"/>
    <x v="0"/>
  </r>
  <r>
    <s v="Singapore"/>
    <x v="4"/>
    <s v="SG2"/>
    <m/>
    <x v="1"/>
    <x v="2"/>
    <x v="1"/>
    <x v="0"/>
    <x v="0"/>
    <x v="0"/>
    <x v="0"/>
    <m/>
    <x v="0"/>
    <x v="0"/>
    <n v="-2.775180744"/>
    <m/>
    <x v="4"/>
    <x v="1"/>
    <x v="0"/>
    <x v="5"/>
    <x v="2"/>
  </r>
  <r>
    <s v="Singapore"/>
    <x v="1"/>
    <s v="SG4"/>
    <m/>
    <x v="2"/>
    <x v="2"/>
    <x v="2"/>
    <x v="3"/>
    <x v="0"/>
    <x v="0"/>
    <x v="0"/>
    <m/>
    <x v="0"/>
    <x v="0"/>
    <n v="-0.81010800000000005"/>
    <m/>
    <x v="4"/>
    <x v="3"/>
    <x v="0"/>
    <x v="2"/>
    <x v="0"/>
  </r>
  <r>
    <s v="Singapore"/>
    <x v="4"/>
    <s v="SG1"/>
    <m/>
    <x v="3"/>
    <x v="3"/>
    <x v="0"/>
    <x v="0"/>
    <x v="0"/>
    <x v="0"/>
    <x v="0"/>
    <m/>
    <x v="0"/>
    <x v="0"/>
    <n v="-2.775180744"/>
    <m/>
    <x v="4"/>
    <x v="2"/>
    <x v="0"/>
    <x v="4"/>
    <x v="0"/>
  </r>
  <r>
    <s v="Singapore"/>
    <x v="4"/>
    <s v="SG4"/>
    <m/>
    <x v="4"/>
    <x v="3"/>
    <x v="1"/>
    <x v="1"/>
    <x v="0"/>
    <x v="0"/>
    <x v="0"/>
    <m/>
    <x v="0"/>
    <x v="0"/>
    <n v="0.93474000000000002"/>
    <m/>
    <x v="1"/>
    <x v="3"/>
    <x v="0"/>
    <x v="5"/>
    <x v="1"/>
  </r>
  <r>
    <s v="Singapore"/>
    <x v="1"/>
    <s v="SG3"/>
    <m/>
    <x v="3"/>
    <x v="1"/>
    <x v="2"/>
    <x v="1"/>
    <x v="0"/>
    <x v="0"/>
    <x v="0"/>
    <m/>
    <x v="0"/>
    <x v="0"/>
    <n v="-0.30379050000000002"/>
    <m/>
    <x v="0"/>
    <x v="2"/>
    <x v="0"/>
    <x v="3"/>
    <x v="1"/>
  </r>
  <r>
    <s v="Singapore"/>
    <x v="5"/>
    <s v="SG3"/>
    <m/>
    <x v="5"/>
    <x v="3"/>
    <x v="0"/>
    <x v="0"/>
    <x v="0"/>
    <x v="0"/>
    <x v="0"/>
    <m/>
    <x v="0"/>
    <x v="0"/>
    <n v="-0.12463200000000001"/>
    <m/>
    <x v="0"/>
    <x v="2"/>
    <x v="0"/>
    <x v="5"/>
    <x v="2"/>
  </r>
  <r>
    <s v="Singapore"/>
    <x v="2"/>
    <s v="SG3"/>
    <m/>
    <x v="5"/>
    <x v="0"/>
    <x v="3"/>
    <x v="2"/>
    <x v="0"/>
    <x v="0"/>
    <x v="0"/>
    <m/>
    <x v="0"/>
    <x v="0"/>
    <n v="-0.46737000000000001"/>
    <m/>
    <x v="4"/>
    <x v="3"/>
    <x v="0"/>
    <x v="0"/>
    <x v="2"/>
  </r>
  <r>
    <s v="Singapore"/>
    <x v="0"/>
    <s v="SG1"/>
    <m/>
    <x v="2"/>
    <x v="2"/>
    <x v="3"/>
    <x v="2"/>
    <x v="0"/>
    <x v="0"/>
    <x v="0"/>
    <m/>
    <x v="0"/>
    <x v="0"/>
    <n v="8.2955059200000001"/>
    <m/>
    <x v="7"/>
    <x v="0"/>
    <x v="0"/>
    <x v="1"/>
    <x v="1"/>
  </r>
  <r>
    <s v="Singapore"/>
    <x v="3"/>
    <s v="SG2"/>
    <m/>
    <x v="5"/>
    <x v="0"/>
    <x v="1"/>
    <x v="1"/>
    <x v="0"/>
    <x v="0"/>
    <x v="0"/>
    <m/>
    <x v="0"/>
    <x v="0"/>
    <n v="-2.2589550000000003"/>
    <m/>
    <x v="1"/>
    <x v="2"/>
    <x v="0"/>
    <x v="3"/>
    <x v="1"/>
  </r>
  <r>
    <s v="Singapore"/>
    <x v="2"/>
    <s v="SG4"/>
    <m/>
    <x v="3"/>
    <x v="2"/>
    <x v="1"/>
    <x v="5"/>
    <x v="0"/>
    <x v="0"/>
    <x v="0"/>
    <m/>
    <x v="0"/>
    <x v="0"/>
    <n v="-7.0105500000000001E-2"/>
    <m/>
    <x v="3"/>
    <x v="1"/>
    <x v="0"/>
    <x v="0"/>
    <x v="1"/>
  </r>
  <r>
    <s v="Singapore"/>
    <x v="5"/>
    <s v="SG4"/>
    <m/>
    <x v="4"/>
    <x v="2"/>
    <x v="0"/>
    <x v="5"/>
    <x v="0"/>
    <x v="0"/>
    <x v="0"/>
    <m/>
    <x v="0"/>
    <x v="0"/>
    <n v="-23.368500000000001"/>
    <m/>
    <x v="1"/>
    <x v="3"/>
    <x v="0"/>
    <x v="5"/>
    <x v="1"/>
  </r>
  <r>
    <s v="Singapore"/>
    <x v="0"/>
    <s v="SG1"/>
    <m/>
    <x v="0"/>
    <x v="1"/>
    <x v="4"/>
    <x v="0"/>
    <x v="0"/>
    <x v="0"/>
    <x v="0"/>
    <m/>
    <x v="0"/>
    <x v="0"/>
    <n v="-6.2316000000000003E-2"/>
    <m/>
    <x v="0"/>
    <x v="3"/>
    <x v="0"/>
    <x v="1"/>
    <x v="0"/>
  </r>
  <r>
    <s v="Singapore"/>
    <x v="4"/>
    <s v="SG1"/>
    <m/>
    <x v="5"/>
    <x v="0"/>
    <x v="2"/>
    <x v="1"/>
    <x v="0"/>
    <x v="0"/>
    <x v="0"/>
    <m/>
    <x v="0"/>
    <x v="0"/>
    <n v="-0.15579000000000001"/>
    <m/>
    <x v="8"/>
    <x v="2"/>
    <x v="0"/>
    <x v="3"/>
    <x v="2"/>
  </r>
  <r>
    <s v="Singapore"/>
    <x v="3"/>
    <s v="SG3"/>
    <m/>
    <x v="2"/>
    <x v="2"/>
    <x v="3"/>
    <x v="4"/>
    <x v="0"/>
    <x v="0"/>
    <x v="0"/>
    <m/>
    <x v="0"/>
    <x v="0"/>
    <n v="-5.7806658450000006"/>
    <m/>
    <x v="7"/>
    <x v="2"/>
    <x v="0"/>
    <x v="1"/>
    <x v="0"/>
  </r>
  <r>
    <s v="Singapore"/>
    <x v="5"/>
    <s v="SG2"/>
    <m/>
    <x v="1"/>
    <x v="4"/>
    <x v="1"/>
    <x v="2"/>
    <x v="0"/>
    <x v="0"/>
    <x v="0"/>
    <m/>
    <x v="0"/>
    <x v="0"/>
    <n v="-0.37389600000000001"/>
    <m/>
    <x v="4"/>
    <x v="1"/>
    <x v="0"/>
    <x v="5"/>
    <x v="1"/>
  </r>
  <r>
    <s v="Singapore"/>
    <x v="5"/>
    <s v="SG4"/>
    <m/>
    <x v="1"/>
    <x v="4"/>
    <x v="2"/>
    <x v="3"/>
    <x v="0"/>
    <x v="0"/>
    <x v="0"/>
    <m/>
    <x v="0"/>
    <x v="0"/>
    <n v="0.82568700000000006"/>
    <m/>
    <x v="1"/>
    <x v="2"/>
    <x v="0"/>
    <x v="1"/>
    <x v="1"/>
  </r>
  <r>
    <s v="Singapore"/>
    <x v="1"/>
    <s v="SG4"/>
    <m/>
    <x v="1"/>
    <x v="4"/>
    <x v="2"/>
    <x v="4"/>
    <x v="0"/>
    <x v="0"/>
    <x v="0"/>
    <m/>
    <x v="0"/>
    <x v="0"/>
    <n v="1.5423210000000001"/>
    <m/>
    <x v="1"/>
    <x v="0"/>
    <x v="0"/>
    <x v="2"/>
    <x v="0"/>
  </r>
  <r>
    <s v="Singapore"/>
    <x v="2"/>
    <s v="SG1"/>
    <m/>
    <x v="4"/>
    <x v="1"/>
    <x v="4"/>
    <x v="3"/>
    <x v="0"/>
    <x v="0"/>
    <x v="0"/>
    <m/>
    <x v="0"/>
    <x v="0"/>
    <n v="-0.62316000000000005"/>
    <m/>
    <x v="4"/>
    <x v="0"/>
    <x v="0"/>
    <x v="3"/>
    <x v="1"/>
  </r>
  <r>
    <s v="Singapore"/>
    <x v="1"/>
    <s v="SG1"/>
    <m/>
    <x v="4"/>
    <x v="0"/>
    <x v="1"/>
    <x v="1"/>
    <x v="0"/>
    <x v="0"/>
    <x v="0"/>
    <m/>
    <x v="0"/>
    <x v="0"/>
    <n v="-0.70105499999999998"/>
    <m/>
    <x v="4"/>
    <x v="3"/>
    <x v="0"/>
    <x v="5"/>
    <x v="0"/>
  </r>
  <r>
    <s v="Singapore"/>
    <x v="1"/>
    <s v="SG2"/>
    <m/>
    <x v="5"/>
    <x v="2"/>
    <x v="3"/>
    <x v="3"/>
    <x v="0"/>
    <x v="0"/>
    <x v="0"/>
    <m/>
    <x v="0"/>
    <x v="0"/>
    <n v="8.8800299999999999E-2"/>
    <m/>
    <x v="3"/>
    <x v="3"/>
    <x v="0"/>
    <x v="5"/>
    <x v="0"/>
  </r>
  <r>
    <s v="Singapore"/>
    <x v="3"/>
    <s v="SG4"/>
    <m/>
    <x v="2"/>
    <x v="1"/>
    <x v="2"/>
    <x v="4"/>
    <x v="0"/>
    <x v="0"/>
    <x v="0"/>
    <m/>
    <x v="0"/>
    <x v="0"/>
    <n v="1.137267"/>
    <m/>
    <x v="1"/>
    <x v="1"/>
    <x v="0"/>
    <x v="2"/>
    <x v="0"/>
  </r>
  <r>
    <s v="Singapore"/>
    <x v="3"/>
    <s v="SG4"/>
    <m/>
    <x v="0"/>
    <x v="3"/>
    <x v="0"/>
    <x v="0"/>
    <x v="0"/>
    <x v="0"/>
    <x v="0"/>
    <m/>
    <x v="0"/>
    <x v="0"/>
    <n v="-0.280422"/>
    <m/>
    <x v="0"/>
    <x v="2"/>
    <x v="0"/>
    <x v="1"/>
    <x v="0"/>
  </r>
  <r>
    <s v="Singapore"/>
    <x v="5"/>
    <s v="SG1"/>
    <m/>
    <x v="2"/>
    <x v="1"/>
    <x v="4"/>
    <x v="0"/>
    <x v="0"/>
    <x v="0"/>
    <x v="0"/>
    <m/>
    <x v="0"/>
    <x v="0"/>
    <n v="-45.129247200000002"/>
    <m/>
    <x v="1"/>
    <x v="1"/>
    <x v="0"/>
    <x v="4"/>
    <x v="0"/>
  </r>
  <r>
    <s v="Singapore"/>
    <x v="4"/>
    <s v="SG2"/>
    <m/>
    <x v="3"/>
    <x v="4"/>
    <x v="1"/>
    <x v="3"/>
    <x v="0"/>
    <x v="0"/>
    <x v="0"/>
    <m/>
    <x v="0"/>
    <x v="0"/>
    <n v="-1.5579000000000001E-2"/>
    <m/>
    <x v="0"/>
    <x v="0"/>
    <x v="0"/>
    <x v="4"/>
    <x v="2"/>
  </r>
  <r>
    <s v="Singapore"/>
    <x v="1"/>
    <s v="SG4"/>
    <m/>
    <x v="3"/>
    <x v="3"/>
    <x v="0"/>
    <x v="2"/>
    <x v="0"/>
    <x v="0"/>
    <x v="0"/>
    <m/>
    <x v="0"/>
    <x v="0"/>
    <n v="-3.8947500000000003E-2"/>
    <m/>
    <x v="0"/>
    <x v="0"/>
    <x v="0"/>
    <x v="1"/>
    <x v="2"/>
  </r>
  <r>
    <s v="Singapore"/>
    <x v="5"/>
    <s v="SG2"/>
    <m/>
    <x v="0"/>
    <x v="3"/>
    <x v="4"/>
    <x v="4"/>
    <x v="0"/>
    <x v="0"/>
    <x v="0"/>
    <m/>
    <x v="0"/>
    <x v="0"/>
    <n v="-5.8888620000000005"/>
    <m/>
    <x v="0"/>
    <x v="3"/>
    <x v="0"/>
    <x v="0"/>
    <x v="0"/>
  </r>
  <r>
    <s v="Singapore"/>
    <x v="4"/>
    <s v="SG1"/>
    <m/>
    <x v="0"/>
    <x v="1"/>
    <x v="2"/>
    <x v="1"/>
    <x v="0"/>
    <x v="0"/>
    <x v="0"/>
    <m/>
    <x v="0"/>
    <x v="0"/>
    <n v="0.79920270000000004"/>
    <m/>
    <x v="5"/>
    <x v="0"/>
    <x v="0"/>
    <x v="5"/>
    <x v="1"/>
  </r>
  <r>
    <s v="Singapore"/>
    <x v="3"/>
    <s v="SG4"/>
    <m/>
    <x v="5"/>
    <x v="4"/>
    <x v="2"/>
    <x v="3"/>
    <x v="0"/>
    <x v="0"/>
    <x v="0"/>
    <m/>
    <x v="0"/>
    <x v="0"/>
    <n v="0.37389600000000001"/>
    <m/>
    <x v="1"/>
    <x v="1"/>
    <x v="0"/>
    <x v="0"/>
    <x v="0"/>
  </r>
  <r>
    <s v="Singapore"/>
    <x v="0"/>
    <s v="SG2"/>
    <m/>
    <x v="2"/>
    <x v="0"/>
    <x v="3"/>
    <x v="1"/>
    <x v="0"/>
    <x v="0"/>
    <x v="0"/>
    <m/>
    <x v="0"/>
    <x v="0"/>
    <n v="-1.5579000000000001E-2"/>
    <m/>
    <x v="0"/>
    <x v="1"/>
    <x v="0"/>
    <x v="2"/>
    <x v="0"/>
  </r>
  <r>
    <s v="Singapore"/>
    <x v="1"/>
    <s v="SG4"/>
    <m/>
    <x v="1"/>
    <x v="2"/>
    <x v="0"/>
    <x v="5"/>
    <x v="0"/>
    <x v="0"/>
    <x v="0"/>
    <m/>
    <x v="0"/>
    <x v="0"/>
    <n v="-0.56084400000000001"/>
    <m/>
    <x v="0"/>
    <x v="3"/>
    <x v="0"/>
    <x v="5"/>
    <x v="1"/>
  </r>
  <r>
    <s v="Singapore"/>
    <x v="5"/>
    <s v="SG2"/>
    <m/>
    <x v="1"/>
    <x v="0"/>
    <x v="3"/>
    <x v="1"/>
    <x v="0"/>
    <x v="0"/>
    <x v="0"/>
    <m/>
    <x v="0"/>
    <x v="0"/>
    <n v="2.2589550000000003"/>
    <m/>
    <x v="1"/>
    <x v="3"/>
    <x v="0"/>
    <x v="2"/>
    <x v="0"/>
  </r>
  <r>
    <s v="Singapore"/>
    <x v="3"/>
    <s v="SG4"/>
    <m/>
    <x v="0"/>
    <x v="4"/>
    <x v="4"/>
    <x v="2"/>
    <x v="0"/>
    <x v="0"/>
    <x v="0"/>
    <m/>
    <x v="0"/>
    <x v="0"/>
    <n v="-1.16904816"/>
    <m/>
    <x v="3"/>
    <x v="3"/>
    <x v="0"/>
    <x v="5"/>
    <x v="2"/>
  </r>
  <r>
    <s v="Singapore"/>
    <x v="3"/>
    <s v="SG3"/>
    <m/>
    <x v="0"/>
    <x v="2"/>
    <x v="2"/>
    <x v="2"/>
    <x v="0"/>
    <x v="0"/>
    <x v="0"/>
    <m/>
    <x v="0"/>
    <x v="0"/>
    <n v="-7.7895000000000006E-2"/>
    <m/>
    <x v="0"/>
    <x v="2"/>
    <x v="0"/>
    <x v="3"/>
    <x v="2"/>
  </r>
  <r>
    <s v="Singapore"/>
    <x v="3"/>
    <s v="SG3"/>
    <m/>
    <x v="5"/>
    <x v="3"/>
    <x v="4"/>
    <x v="2"/>
    <x v="0"/>
    <x v="0"/>
    <x v="0"/>
    <m/>
    <x v="0"/>
    <x v="0"/>
    <n v="-5.4526499999999999E-3"/>
    <m/>
    <x v="6"/>
    <x v="3"/>
    <x v="0"/>
    <x v="1"/>
    <x v="2"/>
  </r>
  <r>
    <s v="Singapore"/>
    <x v="4"/>
    <s v="SG1"/>
    <m/>
    <x v="4"/>
    <x v="3"/>
    <x v="0"/>
    <x v="0"/>
    <x v="0"/>
    <x v="0"/>
    <x v="0"/>
    <m/>
    <x v="0"/>
    <x v="0"/>
    <n v="-5.6084400000000006E-2"/>
    <m/>
    <x v="3"/>
    <x v="1"/>
    <x v="0"/>
    <x v="0"/>
    <x v="1"/>
  </r>
  <r>
    <s v="Singapore"/>
    <x v="0"/>
    <s v="SG2"/>
    <m/>
    <x v="4"/>
    <x v="1"/>
    <x v="3"/>
    <x v="4"/>
    <x v="0"/>
    <x v="0"/>
    <x v="0"/>
    <m/>
    <x v="0"/>
    <x v="0"/>
    <n v="-4.5542558070000005"/>
    <m/>
    <x v="4"/>
    <x v="1"/>
    <x v="0"/>
    <x v="2"/>
    <x v="0"/>
  </r>
  <r>
    <s v="Singapore"/>
    <x v="4"/>
    <s v="SG4"/>
    <m/>
    <x v="5"/>
    <x v="0"/>
    <x v="0"/>
    <x v="1"/>
    <x v="0"/>
    <x v="0"/>
    <x v="0"/>
    <m/>
    <x v="0"/>
    <x v="0"/>
    <n v="-2.4926400000000002"/>
    <m/>
    <x v="2"/>
    <x v="2"/>
    <x v="0"/>
    <x v="3"/>
    <x v="2"/>
  </r>
  <r>
    <s v="Singapore"/>
    <x v="0"/>
    <s v="SG2"/>
    <m/>
    <x v="1"/>
    <x v="1"/>
    <x v="3"/>
    <x v="1"/>
    <x v="0"/>
    <x v="0"/>
    <x v="0"/>
    <m/>
    <x v="0"/>
    <x v="0"/>
    <n v="-10.496382408000001"/>
    <m/>
    <x v="3"/>
    <x v="3"/>
    <x v="0"/>
    <x v="3"/>
    <x v="1"/>
  </r>
  <r>
    <s v="Singapore"/>
    <x v="2"/>
    <s v="SG4"/>
    <m/>
    <x v="5"/>
    <x v="1"/>
    <x v="3"/>
    <x v="0"/>
    <x v="0"/>
    <x v="0"/>
    <x v="0"/>
    <m/>
    <x v="0"/>
    <x v="0"/>
    <n v="-0.12463200000000001"/>
    <m/>
    <x v="0"/>
    <x v="3"/>
    <x v="0"/>
    <x v="2"/>
    <x v="2"/>
  </r>
  <r>
    <s v="Singapore"/>
    <x v="2"/>
    <s v="SG4"/>
    <m/>
    <x v="5"/>
    <x v="1"/>
    <x v="3"/>
    <x v="3"/>
    <x v="0"/>
    <x v="0"/>
    <x v="0"/>
    <m/>
    <x v="0"/>
    <x v="0"/>
    <n v="0.15579000000000001"/>
    <m/>
    <x v="1"/>
    <x v="3"/>
    <x v="0"/>
    <x v="2"/>
    <x v="2"/>
  </r>
  <r>
    <s v="Singapore"/>
    <x v="2"/>
    <s v="SG4"/>
    <m/>
    <x v="5"/>
    <x v="1"/>
    <x v="0"/>
    <x v="0"/>
    <x v="0"/>
    <x v="0"/>
    <x v="0"/>
    <m/>
    <x v="0"/>
    <x v="0"/>
    <n v="-0.140211"/>
    <m/>
    <x v="0"/>
    <x v="1"/>
    <x v="0"/>
    <x v="2"/>
    <x v="2"/>
  </r>
  <r>
    <s v="Singapore"/>
    <x v="3"/>
    <s v="SG2"/>
    <m/>
    <x v="4"/>
    <x v="0"/>
    <x v="2"/>
    <x v="0"/>
    <x v="0"/>
    <x v="0"/>
    <x v="0"/>
    <m/>
    <x v="0"/>
    <x v="0"/>
    <n v="0.1324215"/>
    <m/>
    <x v="1"/>
    <x v="3"/>
    <x v="0"/>
    <x v="5"/>
    <x v="1"/>
  </r>
  <r>
    <s v="Singapore"/>
    <x v="5"/>
    <s v="SG3"/>
    <m/>
    <x v="5"/>
    <x v="0"/>
    <x v="4"/>
    <x v="0"/>
    <x v="0"/>
    <x v="0"/>
    <x v="0"/>
    <m/>
    <x v="0"/>
    <x v="0"/>
    <n v="-1.09053"/>
    <m/>
    <x v="4"/>
    <x v="1"/>
    <x v="0"/>
    <x v="0"/>
    <x v="0"/>
  </r>
  <r>
    <s v="Singapore"/>
    <x v="1"/>
    <s v="SG3"/>
    <m/>
    <x v="2"/>
    <x v="3"/>
    <x v="1"/>
    <x v="4"/>
    <x v="0"/>
    <x v="0"/>
    <x v="0"/>
    <m/>
    <x v="0"/>
    <x v="0"/>
    <n v="39.738913199999999"/>
    <m/>
    <x v="5"/>
    <x v="2"/>
    <x v="0"/>
    <x v="0"/>
    <x v="1"/>
  </r>
  <r>
    <s v="Singapore"/>
    <x v="4"/>
    <s v="SG1"/>
    <m/>
    <x v="0"/>
    <x v="4"/>
    <x v="3"/>
    <x v="4"/>
    <x v="0"/>
    <x v="0"/>
    <x v="0"/>
    <m/>
    <x v="0"/>
    <x v="0"/>
    <n v="-0.17136900000000002"/>
    <m/>
    <x v="8"/>
    <x v="2"/>
    <x v="0"/>
    <x v="2"/>
    <x v="0"/>
  </r>
  <r>
    <s v="Singapore"/>
    <x v="4"/>
    <s v="SG1"/>
    <m/>
    <x v="4"/>
    <x v="1"/>
    <x v="2"/>
    <x v="5"/>
    <x v="0"/>
    <x v="0"/>
    <x v="0"/>
    <m/>
    <x v="0"/>
    <x v="0"/>
    <n v="-3.8947500000000003E-2"/>
    <m/>
    <x v="0"/>
    <x v="1"/>
    <x v="0"/>
    <x v="0"/>
    <x v="0"/>
  </r>
  <r>
    <s v="Singapore"/>
    <x v="1"/>
    <s v="SG4"/>
    <m/>
    <x v="4"/>
    <x v="1"/>
    <x v="2"/>
    <x v="5"/>
    <x v="0"/>
    <x v="0"/>
    <x v="0"/>
    <m/>
    <x v="0"/>
    <x v="0"/>
    <n v="-0.15579000000000001"/>
    <m/>
    <x v="0"/>
    <x v="0"/>
    <x v="0"/>
    <x v="3"/>
    <x v="2"/>
  </r>
  <r>
    <s v="Singapore"/>
    <x v="4"/>
    <s v="SG3"/>
    <m/>
    <x v="4"/>
    <x v="0"/>
    <x v="1"/>
    <x v="5"/>
    <x v="0"/>
    <x v="0"/>
    <x v="0"/>
    <m/>
    <x v="0"/>
    <x v="0"/>
    <n v="-0.81010800000000005"/>
    <m/>
    <x v="4"/>
    <x v="0"/>
    <x v="0"/>
    <x v="4"/>
    <x v="2"/>
  </r>
  <r>
    <s v="Singapore"/>
    <x v="1"/>
    <s v="SG1"/>
    <m/>
    <x v="2"/>
    <x v="3"/>
    <x v="2"/>
    <x v="1"/>
    <x v="0"/>
    <x v="0"/>
    <x v="0"/>
    <m/>
    <x v="0"/>
    <x v="0"/>
    <n v="14.983025355000002"/>
    <m/>
    <x v="1"/>
    <x v="2"/>
    <x v="0"/>
    <x v="4"/>
    <x v="1"/>
  </r>
  <r>
    <s v="Singapore"/>
    <x v="2"/>
    <s v="SG3"/>
    <m/>
    <x v="1"/>
    <x v="3"/>
    <x v="2"/>
    <x v="0"/>
    <x v="0"/>
    <x v="0"/>
    <x v="0"/>
    <m/>
    <x v="0"/>
    <x v="0"/>
    <n v="0.85684500000000008"/>
    <m/>
    <x v="8"/>
    <x v="1"/>
    <x v="0"/>
    <x v="5"/>
    <x v="0"/>
  </r>
  <r>
    <s v="Singapore"/>
    <x v="4"/>
    <s v="SG3"/>
    <m/>
    <x v="1"/>
    <x v="0"/>
    <x v="1"/>
    <x v="3"/>
    <x v="0"/>
    <x v="0"/>
    <x v="0"/>
    <m/>
    <x v="0"/>
    <x v="0"/>
    <n v="-4.6737000000000001E-2"/>
    <m/>
    <x v="0"/>
    <x v="2"/>
    <x v="0"/>
    <x v="1"/>
    <x v="1"/>
  </r>
  <r>
    <s v="Singapore"/>
    <x v="3"/>
    <s v="SG2"/>
    <m/>
    <x v="5"/>
    <x v="4"/>
    <x v="1"/>
    <x v="0"/>
    <x v="0"/>
    <x v="0"/>
    <x v="0"/>
    <m/>
    <x v="0"/>
    <x v="0"/>
    <n v="-0.12226399200000002"/>
    <m/>
    <x v="2"/>
    <x v="2"/>
    <x v="0"/>
    <x v="1"/>
    <x v="0"/>
  </r>
  <r>
    <s v="Singapore"/>
    <x v="3"/>
    <s v="SG3"/>
    <m/>
    <x v="3"/>
    <x v="2"/>
    <x v="2"/>
    <x v="1"/>
    <x v="0"/>
    <x v="0"/>
    <x v="0"/>
    <m/>
    <x v="0"/>
    <x v="0"/>
    <n v="-0.40505400000000003"/>
    <m/>
    <x v="0"/>
    <x v="3"/>
    <x v="0"/>
    <x v="1"/>
    <x v="1"/>
  </r>
  <r>
    <s v="Singapore"/>
    <x v="5"/>
    <s v="SG3"/>
    <m/>
    <x v="4"/>
    <x v="0"/>
    <x v="0"/>
    <x v="2"/>
    <x v="0"/>
    <x v="0"/>
    <x v="0"/>
    <m/>
    <x v="0"/>
    <x v="0"/>
    <n v="1.0801232280000002"/>
    <m/>
    <x v="1"/>
    <x v="2"/>
    <x v="0"/>
    <x v="2"/>
    <x v="0"/>
  </r>
  <r>
    <s v="Singapore"/>
    <x v="4"/>
    <s v="SG4"/>
    <m/>
    <x v="1"/>
    <x v="3"/>
    <x v="0"/>
    <x v="5"/>
    <x v="0"/>
    <x v="0"/>
    <x v="0"/>
    <m/>
    <x v="0"/>
    <x v="0"/>
    <n v="-0.24926400000000001"/>
    <m/>
    <x v="0"/>
    <x v="0"/>
    <x v="0"/>
    <x v="5"/>
    <x v="2"/>
  </r>
  <r>
    <s v="Singapore"/>
    <x v="5"/>
    <s v="SG2"/>
    <m/>
    <x v="0"/>
    <x v="0"/>
    <x v="1"/>
    <x v="0"/>
    <x v="0"/>
    <x v="0"/>
    <x v="0"/>
    <m/>
    <x v="0"/>
    <x v="0"/>
    <n v="0.21810600000000002"/>
    <m/>
    <x v="4"/>
    <x v="3"/>
    <x v="0"/>
    <x v="2"/>
    <x v="0"/>
  </r>
  <r>
    <s v="Singapore"/>
    <x v="3"/>
    <s v="SG4"/>
    <m/>
    <x v="0"/>
    <x v="4"/>
    <x v="2"/>
    <x v="1"/>
    <x v="0"/>
    <x v="0"/>
    <x v="0"/>
    <m/>
    <x v="0"/>
    <x v="0"/>
    <n v="-0.77895000000000003"/>
    <m/>
    <x v="4"/>
    <x v="1"/>
    <x v="0"/>
    <x v="5"/>
    <x v="1"/>
  </r>
  <r>
    <s v="Singapore"/>
    <x v="3"/>
    <s v="SG2"/>
    <m/>
    <x v="2"/>
    <x v="2"/>
    <x v="4"/>
    <x v="0"/>
    <x v="0"/>
    <x v="0"/>
    <x v="0"/>
    <m/>
    <x v="0"/>
    <x v="0"/>
    <n v="1.2144609449999999"/>
    <m/>
    <x v="1"/>
    <x v="3"/>
    <x v="0"/>
    <x v="2"/>
    <x v="1"/>
  </r>
  <r>
    <s v="Singapore"/>
    <x v="0"/>
    <s v="SG1"/>
    <m/>
    <x v="3"/>
    <x v="3"/>
    <x v="2"/>
    <x v="5"/>
    <x v="0"/>
    <x v="0"/>
    <x v="0"/>
    <m/>
    <x v="0"/>
    <x v="0"/>
    <n v="-15.797106000000001"/>
    <m/>
    <x v="3"/>
    <x v="0"/>
    <x v="0"/>
    <x v="4"/>
    <x v="1"/>
  </r>
  <r>
    <s v="Singapore"/>
    <x v="3"/>
    <s v="SG2"/>
    <m/>
    <x v="1"/>
    <x v="3"/>
    <x v="2"/>
    <x v="1"/>
    <x v="0"/>
    <x v="0"/>
    <x v="0"/>
    <m/>
    <x v="0"/>
    <x v="0"/>
    <n v="-3.1158000000000002E-2"/>
    <m/>
    <x v="0"/>
    <x v="2"/>
    <x v="0"/>
    <x v="3"/>
    <x v="2"/>
  </r>
  <r>
    <s v="Singapore"/>
    <x v="1"/>
    <s v="SG2"/>
    <m/>
    <x v="1"/>
    <x v="4"/>
    <x v="1"/>
    <x v="0"/>
    <x v="0"/>
    <x v="0"/>
    <x v="0"/>
    <m/>
    <x v="0"/>
    <x v="0"/>
    <n v="0.82568700000000006"/>
    <m/>
    <x v="1"/>
    <x v="1"/>
    <x v="0"/>
    <x v="1"/>
    <x v="2"/>
  </r>
  <r>
    <s v="Singapore"/>
    <x v="4"/>
    <s v="SG3"/>
    <m/>
    <x v="3"/>
    <x v="1"/>
    <x v="1"/>
    <x v="4"/>
    <x v="0"/>
    <x v="0"/>
    <x v="0"/>
    <m/>
    <x v="0"/>
    <x v="0"/>
    <n v="-1.5579000000000001E-2"/>
    <m/>
    <x v="4"/>
    <x v="0"/>
    <x v="0"/>
    <x v="0"/>
    <x v="2"/>
  </r>
  <r>
    <s v="Singapore"/>
    <x v="5"/>
    <s v="SG4"/>
    <m/>
    <x v="4"/>
    <x v="4"/>
    <x v="2"/>
    <x v="1"/>
    <x v="0"/>
    <x v="0"/>
    <x v="0"/>
    <m/>
    <x v="0"/>
    <x v="0"/>
    <n v="-7.7895000000000006E-2"/>
    <m/>
    <x v="4"/>
    <x v="3"/>
    <x v="0"/>
    <x v="3"/>
    <x v="2"/>
  </r>
  <r>
    <s v="Singapore"/>
    <x v="4"/>
    <s v="SG4"/>
    <m/>
    <x v="0"/>
    <x v="0"/>
    <x v="0"/>
    <x v="2"/>
    <x v="0"/>
    <x v="0"/>
    <x v="0"/>
    <m/>
    <x v="0"/>
    <x v="0"/>
    <n v="-3.8947500000000003E-2"/>
    <m/>
    <x v="0"/>
    <x v="1"/>
    <x v="0"/>
    <x v="2"/>
    <x v="0"/>
  </r>
  <r>
    <s v="Singapore"/>
    <x v="3"/>
    <s v="SG3"/>
    <m/>
    <x v="5"/>
    <x v="1"/>
    <x v="2"/>
    <x v="2"/>
    <x v="0"/>
    <x v="0"/>
    <x v="0"/>
    <m/>
    <x v="0"/>
    <x v="0"/>
    <n v="-0.70105499999999998"/>
    <m/>
    <x v="4"/>
    <x v="0"/>
    <x v="0"/>
    <x v="0"/>
    <x v="1"/>
  </r>
  <r>
    <s v="Singapore"/>
    <x v="3"/>
    <s v="SG3"/>
    <m/>
    <x v="3"/>
    <x v="2"/>
    <x v="3"/>
    <x v="1"/>
    <x v="0"/>
    <x v="0"/>
    <x v="0"/>
    <m/>
    <x v="0"/>
    <x v="0"/>
    <n v="-0.12463200000000001"/>
    <m/>
    <x v="0"/>
    <x v="0"/>
    <x v="0"/>
    <x v="2"/>
    <x v="1"/>
  </r>
  <r>
    <s v="Singapore"/>
    <x v="3"/>
    <s v="SG3"/>
    <m/>
    <x v="2"/>
    <x v="0"/>
    <x v="4"/>
    <x v="5"/>
    <x v="0"/>
    <x v="0"/>
    <x v="0"/>
    <m/>
    <x v="0"/>
    <x v="0"/>
    <n v="-1.4021100000000002E-2"/>
    <m/>
    <x v="3"/>
    <x v="0"/>
    <x v="0"/>
    <x v="1"/>
    <x v="2"/>
  </r>
  <r>
    <s v="Singapore"/>
    <x v="5"/>
    <s v="SG3"/>
    <m/>
    <x v="2"/>
    <x v="0"/>
    <x v="4"/>
    <x v="2"/>
    <x v="0"/>
    <x v="0"/>
    <x v="0"/>
    <m/>
    <x v="0"/>
    <x v="0"/>
    <n v="-4.6737000000000001E-2"/>
    <m/>
    <x v="0"/>
    <x v="1"/>
    <x v="0"/>
    <x v="5"/>
    <x v="2"/>
  </r>
  <r>
    <s v="Singapore"/>
    <x v="4"/>
    <s v="SG3"/>
    <m/>
    <x v="4"/>
    <x v="2"/>
    <x v="3"/>
    <x v="5"/>
    <x v="0"/>
    <x v="0"/>
    <x v="0"/>
    <m/>
    <x v="0"/>
    <x v="0"/>
    <n v="-0.1324215"/>
    <m/>
    <x v="4"/>
    <x v="3"/>
    <x v="0"/>
    <x v="3"/>
    <x v="0"/>
  </r>
  <r>
    <s v="Singapore"/>
    <x v="0"/>
    <s v="SG2"/>
    <m/>
    <x v="5"/>
    <x v="2"/>
    <x v="3"/>
    <x v="0"/>
    <x v="0"/>
    <x v="0"/>
    <x v="0"/>
    <m/>
    <x v="0"/>
    <x v="0"/>
    <n v="-0.15579000000000001"/>
    <m/>
    <x v="4"/>
    <x v="3"/>
    <x v="0"/>
    <x v="3"/>
    <x v="2"/>
  </r>
  <r>
    <s v="Singapore"/>
    <x v="3"/>
    <s v="SG3"/>
    <m/>
    <x v="0"/>
    <x v="0"/>
    <x v="2"/>
    <x v="3"/>
    <x v="0"/>
    <x v="0"/>
    <x v="0"/>
    <m/>
    <x v="0"/>
    <x v="0"/>
    <n v="0.34273800000000004"/>
    <m/>
    <x v="1"/>
    <x v="0"/>
    <x v="0"/>
    <x v="0"/>
    <x v="0"/>
  </r>
  <r>
    <s v="Singapore"/>
    <x v="3"/>
    <s v="SG2"/>
    <m/>
    <x v="1"/>
    <x v="2"/>
    <x v="1"/>
    <x v="1"/>
    <x v="0"/>
    <x v="0"/>
    <x v="0"/>
    <m/>
    <x v="0"/>
    <x v="0"/>
    <n v="0.94003685999999997"/>
    <m/>
    <x v="1"/>
    <x v="3"/>
    <x v="0"/>
    <x v="1"/>
    <x v="0"/>
  </r>
  <r>
    <s v="Singapore"/>
    <x v="2"/>
    <s v="SG1"/>
    <m/>
    <x v="4"/>
    <x v="1"/>
    <x v="1"/>
    <x v="4"/>
    <x v="0"/>
    <x v="0"/>
    <x v="0"/>
    <m/>
    <x v="0"/>
    <x v="0"/>
    <n v="-0.15579000000000001"/>
    <m/>
    <x v="0"/>
    <x v="0"/>
    <x v="0"/>
    <x v="5"/>
    <x v="1"/>
  </r>
  <r>
    <s v="Singapore"/>
    <x v="5"/>
    <s v="SG1"/>
    <m/>
    <x v="4"/>
    <x v="2"/>
    <x v="1"/>
    <x v="5"/>
    <x v="0"/>
    <x v="0"/>
    <x v="0"/>
    <m/>
    <x v="0"/>
    <x v="0"/>
    <n v="-1.5904289520000001"/>
    <m/>
    <x v="0"/>
    <x v="3"/>
    <x v="0"/>
    <x v="2"/>
    <x v="1"/>
  </r>
  <r>
    <s v="Singapore"/>
    <x v="5"/>
    <s v="SG1"/>
    <m/>
    <x v="0"/>
    <x v="4"/>
    <x v="4"/>
    <x v="3"/>
    <x v="0"/>
    <x v="0"/>
    <x v="0"/>
    <m/>
    <x v="0"/>
    <x v="0"/>
    <n v="-4.6737000000000001E-2"/>
    <m/>
    <x v="0"/>
    <x v="0"/>
    <x v="0"/>
    <x v="3"/>
    <x v="1"/>
  </r>
  <r>
    <s v="Singapore"/>
    <x v="0"/>
    <s v="SG2"/>
    <m/>
    <x v="0"/>
    <x v="3"/>
    <x v="3"/>
    <x v="0"/>
    <x v="0"/>
    <x v="0"/>
    <x v="0"/>
    <m/>
    <x v="0"/>
    <x v="0"/>
    <n v="-0.186948"/>
    <m/>
    <x v="0"/>
    <x v="1"/>
    <x v="0"/>
    <x v="4"/>
    <x v="1"/>
  </r>
  <r>
    <s v="Singapore"/>
    <x v="2"/>
    <s v="SG4"/>
    <m/>
    <x v="0"/>
    <x v="0"/>
    <x v="2"/>
    <x v="4"/>
    <x v="0"/>
    <x v="0"/>
    <x v="0"/>
    <m/>
    <x v="0"/>
    <x v="0"/>
    <n v="-6.2316000000000003E-3"/>
    <m/>
    <x v="6"/>
    <x v="3"/>
    <x v="0"/>
    <x v="2"/>
    <x v="1"/>
  </r>
  <r>
    <s v="Singapore"/>
    <x v="2"/>
    <s v="SG2"/>
    <m/>
    <x v="0"/>
    <x v="4"/>
    <x v="3"/>
    <x v="1"/>
    <x v="0"/>
    <x v="0"/>
    <x v="0"/>
    <m/>
    <x v="0"/>
    <x v="0"/>
    <n v="0.70105499999999998"/>
    <m/>
    <x v="1"/>
    <x v="3"/>
    <x v="0"/>
    <x v="0"/>
    <x v="1"/>
  </r>
  <r>
    <s v="Singapore"/>
    <x v="1"/>
    <s v="SG3"/>
    <m/>
    <x v="5"/>
    <x v="0"/>
    <x v="1"/>
    <x v="4"/>
    <x v="0"/>
    <x v="0"/>
    <x v="0"/>
    <m/>
    <x v="0"/>
    <x v="0"/>
    <n v="-9.3474000000000005E-3"/>
    <m/>
    <x v="3"/>
    <x v="1"/>
    <x v="0"/>
    <x v="0"/>
    <x v="1"/>
  </r>
  <r>
    <s v="Singapore"/>
    <x v="2"/>
    <s v="SG1"/>
    <m/>
    <x v="2"/>
    <x v="0"/>
    <x v="2"/>
    <x v="4"/>
    <x v="0"/>
    <x v="0"/>
    <x v="0"/>
    <m/>
    <x v="0"/>
    <x v="0"/>
    <n v="1.277119683"/>
    <m/>
    <x v="1"/>
    <x v="1"/>
    <x v="0"/>
    <x v="4"/>
    <x v="0"/>
  </r>
  <r>
    <s v="Singapore"/>
    <x v="4"/>
    <s v="SG1"/>
    <m/>
    <x v="5"/>
    <x v="0"/>
    <x v="4"/>
    <x v="4"/>
    <x v="0"/>
    <x v="0"/>
    <x v="0"/>
    <m/>
    <x v="0"/>
    <x v="0"/>
    <n v="-3.7598670180000004"/>
    <m/>
    <x v="1"/>
    <x v="2"/>
    <x v="0"/>
    <x v="0"/>
    <x v="1"/>
  </r>
  <r>
    <s v="Singapore"/>
    <x v="2"/>
    <s v="SG3"/>
    <m/>
    <x v="2"/>
    <x v="1"/>
    <x v="0"/>
    <x v="1"/>
    <x v="0"/>
    <x v="0"/>
    <x v="0"/>
    <m/>
    <x v="0"/>
    <x v="0"/>
    <n v="-0.15579000000000001"/>
    <m/>
    <x v="4"/>
    <x v="2"/>
    <x v="0"/>
    <x v="5"/>
    <x v="2"/>
  </r>
  <r>
    <s v="Singapore"/>
    <x v="2"/>
    <s v="SG3"/>
    <m/>
    <x v="4"/>
    <x v="1"/>
    <x v="1"/>
    <x v="1"/>
    <x v="0"/>
    <x v="0"/>
    <x v="0"/>
    <m/>
    <x v="0"/>
    <x v="0"/>
    <n v="9.7051249980000005"/>
    <m/>
    <x v="7"/>
    <x v="0"/>
    <x v="0"/>
    <x v="4"/>
    <x v="1"/>
  </r>
  <r>
    <s v="Singapore"/>
    <x v="5"/>
    <s v="SG3"/>
    <m/>
    <x v="2"/>
    <x v="1"/>
    <x v="2"/>
    <x v="4"/>
    <x v="0"/>
    <x v="0"/>
    <x v="0"/>
    <m/>
    <x v="0"/>
    <x v="0"/>
    <n v="0.82568700000000006"/>
    <m/>
    <x v="1"/>
    <x v="1"/>
    <x v="0"/>
    <x v="3"/>
    <x v="1"/>
  </r>
  <r>
    <s v="Singapore"/>
    <x v="1"/>
    <s v="SG4"/>
    <m/>
    <x v="4"/>
    <x v="2"/>
    <x v="0"/>
    <x v="0"/>
    <x v="0"/>
    <x v="0"/>
    <x v="0"/>
    <m/>
    <x v="0"/>
    <x v="0"/>
    <n v="-0.20252700000000001"/>
    <m/>
    <x v="2"/>
    <x v="0"/>
    <x v="0"/>
    <x v="2"/>
    <x v="1"/>
  </r>
  <r>
    <s v="Singapore"/>
    <x v="5"/>
    <s v="SG4"/>
    <m/>
    <x v="1"/>
    <x v="1"/>
    <x v="0"/>
    <x v="5"/>
    <x v="0"/>
    <x v="0"/>
    <x v="0"/>
    <m/>
    <x v="0"/>
    <x v="0"/>
    <n v="0.58978978199999998"/>
    <m/>
    <x v="8"/>
    <x v="0"/>
    <x v="0"/>
    <x v="1"/>
    <x v="2"/>
  </r>
  <r>
    <s v="Singapore"/>
    <x v="3"/>
    <s v="SG3"/>
    <m/>
    <x v="2"/>
    <x v="2"/>
    <x v="3"/>
    <x v="5"/>
    <x v="0"/>
    <x v="0"/>
    <x v="0"/>
    <m/>
    <x v="0"/>
    <x v="0"/>
    <n v="-0.38947500000000002"/>
    <m/>
    <x v="0"/>
    <x v="3"/>
    <x v="0"/>
    <x v="3"/>
    <x v="2"/>
  </r>
  <r>
    <s v="Singapore"/>
    <x v="5"/>
    <s v="SG2"/>
    <m/>
    <x v="5"/>
    <x v="4"/>
    <x v="3"/>
    <x v="0"/>
    <x v="0"/>
    <x v="0"/>
    <x v="0"/>
    <m/>
    <x v="0"/>
    <x v="0"/>
    <n v="-14.021100000000001"/>
    <m/>
    <x v="4"/>
    <x v="2"/>
    <x v="0"/>
    <x v="4"/>
    <x v="2"/>
  </r>
  <r>
    <s v="Singapore"/>
    <x v="1"/>
    <s v="SG3"/>
    <m/>
    <x v="0"/>
    <x v="3"/>
    <x v="1"/>
    <x v="4"/>
    <x v="0"/>
    <x v="0"/>
    <x v="0"/>
    <m/>
    <x v="0"/>
    <x v="0"/>
    <n v="0.279502839"/>
    <m/>
    <x v="8"/>
    <x v="2"/>
    <x v="0"/>
    <x v="1"/>
    <x v="0"/>
  </r>
  <r>
    <s v="Singapore"/>
    <x v="0"/>
    <s v="SG4"/>
    <m/>
    <x v="0"/>
    <x v="0"/>
    <x v="3"/>
    <x v="3"/>
    <x v="0"/>
    <x v="0"/>
    <x v="0"/>
    <m/>
    <x v="0"/>
    <x v="0"/>
    <n v="-0.233685"/>
    <m/>
    <x v="0"/>
    <x v="0"/>
    <x v="0"/>
    <x v="4"/>
    <x v="1"/>
  </r>
  <r>
    <s v="Singapore"/>
    <x v="1"/>
    <s v="SG1"/>
    <m/>
    <x v="4"/>
    <x v="3"/>
    <x v="4"/>
    <x v="2"/>
    <x v="0"/>
    <x v="0"/>
    <x v="0"/>
    <m/>
    <x v="0"/>
    <x v="0"/>
    <n v="-1.8772695000000001"/>
    <m/>
    <x v="3"/>
    <x v="2"/>
    <x v="0"/>
    <x v="1"/>
    <x v="1"/>
  </r>
  <r>
    <s v="Singapore"/>
    <x v="5"/>
    <s v="SG3"/>
    <m/>
    <x v="5"/>
    <x v="3"/>
    <x v="1"/>
    <x v="4"/>
    <x v="0"/>
    <x v="0"/>
    <x v="0"/>
    <m/>
    <x v="0"/>
    <x v="0"/>
    <n v="-5.1099120000000005"/>
    <m/>
    <x v="11"/>
    <x v="2"/>
    <x v="0"/>
    <x v="2"/>
    <x v="0"/>
  </r>
  <r>
    <s v="Singapore"/>
    <x v="1"/>
    <s v="SG3"/>
    <m/>
    <x v="3"/>
    <x v="2"/>
    <x v="0"/>
    <x v="0"/>
    <x v="0"/>
    <x v="0"/>
    <x v="0"/>
    <m/>
    <x v="0"/>
    <x v="0"/>
    <n v="-0.85684500000000008"/>
    <m/>
    <x v="4"/>
    <x v="3"/>
    <x v="0"/>
    <x v="0"/>
    <x v="1"/>
  </r>
  <r>
    <s v="Singapore"/>
    <x v="2"/>
    <s v="SG2"/>
    <m/>
    <x v="5"/>
    <x v="0"/>
    <x v="1"/>
    <x v="0"/>
    <x v="0"/>
    <x v="0"/>
    <x v="0"/>
    <m/>
    <x v="0"/>
    <x v="0"/>
    <n v="-0.15579000000000001"/>
    <m/>
    <x v="1"/>
    <x v="2"/>
    <x v="0"/>
    <x v="0"/>
    <x v="2"/>
  </r>
  <r>
    <s v="Singapore"/>
    <x v="3"/>
    <s v="SG4"/>
    <m/>
    <x v="0"/>
    <x v="1"/>
    <x v="2"/>
    <x v="1"/>
    <x v="0"/>
    <x v="0"/>
    <x v="0"/>
    <m/>
    <x v="0"/>
    <x v="0"/>
    <n v="4.6737000000000001E-2"/>
    <m/>
    <x v="0"/>
    <x v="1"/>
    <x v="0"/>
    <x v="5"/>
    <x v="1"/>
  </r>
  <r>
    <s v="Singapore"/>
    <x v="5"/>
    <s v="SG3"/>
    <m/>
    <x v="5"/>
    <x v="2"/>
    <x v="3"/>
    <x v="0"/>
    <x v="0"/>
    <x v="0"/>
    <x v="0"/>
    <m/>
    <x v="0"/>
    <x v="0"/>
    <n v="-0.10905300000000001"/>
    <m/>
    <x v="4"/>
    <x v="0"/>
    <x v="0"/>
    <x v="5"/>
    <x v="1"/>
  </r>
  <r>
    <s v="Singapore"/>
    <x v="1"/>
    <s v="SG1"/>
    <m/>
    <x v="0"/>
    <x v="2"/>
    <x v="4"/>
    <x v="0"/>
    <x v="0"/>
    <x v="0"/>
    <x v="0"/>
    <m/>
    <x v="0"/>
    <x v="0"/>
    <n v="-7.7895000000000006E-2"/>
    <m/>
    <x v="4"/>
    <x v="0"/>
    <x v="0"/>
    <x v="4"/>
    <x v="2"/>
  </r>
  <r>
    <s v="Singapore"/>
    <x v="0"/>
    <s v="SG2"/>
    <m/>
    <x v="0"/>
    <x v="3"/>
    <x v="3"/>
    <x v="5"/>
    <x v="0"/>
    <x v="0"/>
    <x v="0"/>
    <m/>
    <x v="0"/>
    <x v="0"/>
    <n v="1.0801232280000002"/>
    <m/>
    <x v="1"/>
    <x v="1"/>
    <x v="0"/>
    <x v="2"/>
    <x v="1"/>
  </r>
  <r>
    <s v="Singapore"/>
    <x v="2"/>
    <s v="SG2"/>
    <m/>
    <x v="0"/>
    <x v="2"/>
    <x v="4"/>
    <x v="2"/>
    <x v="0"/>
    <x v="0"/>
    <x v="0"/>
    <m/>
    <x v="0"/>
    <x v="0"/>
    <n v="-0.21810600000000002"/>
    <m/>
    <x v="4"/>
    <x v="1"/>
    <x v="0"/>
    <x v="1"/>
    <x v="0"/>
  </r>
  <r>
    <s v="Singapore"/>
    <x v="2"/>
    <s v="SG1"/>
    <m/>
    <x v="0"/>
    <x v="2"/>
    <x v="0"/>
    <x v="1"/>
    <x v="0"/>
    <x v="0"/>
    <x v="0"/>
    <m/>
    <x v="0"/>
    <x v="0"/>
    <n v="1.0958268600000001"/>
    <m/>
    <x v="1"/>
    <x v="3"/>
    <x v="0"/>
    <x v="1"/>
    <x v="2"/>
  </r>
  <r>
    <s v="Singapore"/>
    <x v="2"/>
    <s v="SG3"/>
    <m/>
    <x v="5"/>
    <x v="1"/>
    <x v="4"/>
    <x v="1"/>
    <x v="0"/>
    <x v="0"/>
    <x v="0"/>
    <m/>
    <x v="0"/>
    <x v="0"/>
    <n v="-0.42063300000000003"/>
    <m/>
    <x v="4"/>
    <x v="2"/>
    <x v="0"/>
    <x v="5"/>
    <x v="1"/>
  </r>
  <r>
    <s v="Singapore"/>
    <x v="0"/>
    <s v="SG1"/>
    <m/>
    <x v="0"/>
    <x v="4"/>
    <x v="3"/>
    <x v="2"/>
    <x v="0"/>
    <x v="0"/>
    <x v="0"/>
    <m/>
    <x v="0"/>
    <x v="0"/>
    <n v="-0.21810600000000002"/>
    <m/>
    <x v="4"/>
    <x v="0"/>
    <x v="0"/>
    <x v="1"/>
    <x v="2"/>
  </r>
  <r>
    <s v="Singapore"/>
    <x v="0"/>
    <s v="SG3"/>
    <m/>
    <x v="4"/>
    <x v="4"/>
    <x v="4"/>
    <x v="0"/>
    <x v="0"/>
    <x v="0"/>
    <x v="0"/>
    <m/>
    <x v="0"/>
    <x v="0"/>
    <n v="-1.09053"/>
    <m/>
    <x v="0"/>
    <x v="2"/>
    <x v="0"/>
    <x v="4"/>
    <x v="2"/>
  </r>
  <r>
    <s v="Singapore"/>
    <x v="4"/>
    <s v="SG3"/>
    <m/>
    <x v="0"/>
    <x v="4"/>
    <x v="0"/>
    <x v="2"/>
    <x v="0"/>
    <x v="0"/>
    <x v="0"/>
    <m/>
    <x v="0"/>
    <x v="0"/>
    <n v="-0.14345143200000002"/>
    <m/>
    <x v="0"/>
    <x v="1"/>
    <x v="0"/>
    <x v="5"/>
    <x v="1"/>
  </r>
  <r>
    <s v="Singapore"/>
    <x v="1"/>
    <s v="SG4"/>
    <m/>
    <x v="2"/>
    <x v="4"/>
    <x v="4"/>
    <x v="2"/>
    <x v="0"/>
    <x v="0"/>
    <x v="0"/>
    <m/>
    <x v="0"/>
    <x v="0"/>
    <n v="-1.40211"/>
    <m/>
    <x v="4"/>
    <x v="0"/>
    <x v="0"/>
    <x v="1"/>
    <x v="0"/>
  </r>
  <r>
    <s v="Singapore"/>
    <x v="2"/>
    <s v="SG2"/>
    <m/>
    <x v="4"/>
    <x v="2"/>
    <x v="2"/>
    <x v="3"/>
    <x v="0"/>
    <x v="0"/>
    <x v="0"/>
    <m/>
    <x v="0"/>
    <x v="0"/>
    <n v="-0.70105499999999998"/>
    <m/>
    <x v="4"/>
    <x v="2"/>
    <x v="0"/>
    <x v="0"/>
    <x v="2"/>
  </r>
  <r>
    <s v="Singapore"/>
    <x v="0"/>
    <s v="SG1"/>
    <m/>
    <x v="3"/>
    <x v="3"/>
    <x v="1"/>
    <x v="1"/>
    <x v="0"/>
    <x v="0"/>
    <x v="0"/>
    <m/>
    <x v="0"/>
    <x v="0"/>
    <n v="0.15579000000000001"/>
    <m/>
    <x v="1"/>
    <x v="2"/>
    <x v="0"/>
    <x v="1"/>
    <x v="1"/>
  </r>
  <r>
    <s v="Singapore"/>
    <x v="3"/>
    <s v="SG2"/>
    <m/>
    <x v="2"/>
    <x v="0"/>
    <x v="0"/>
    <x v="1"/>
    <x v="0"/>
    <x v="0"/>
    <x v="0"/>
    <m/>
    <x v="0"/>
    <x v="0"/>
    <n v="-0.21810600000000002"/>
    <m/>
    <x v="1"/>
    <x v="2"/>
    <x v="0"/>
    <x v="1"/>
    <x v="0"/>
  </r>
  <r>
    <s v="Singapore"/>
    <x v="3"/>
    <s v="SG3"/>
    <m/>
    <x v="0"/>
    <x v="0"/>
    <x v="4"/>
    <x v="2"/>
    <x v="0"/>
    <x v="0"/>
    <x v="0"/>
    <m/>
    <x v="0"/>
    <x v="0"/>
    <n v="-0.1838322"/>
    <m/>
    <x v="4"/>
    <x v="3"/>
    <x v="0"/>
    <x v="0"/>
    <x v="0"/>
  </r>
  <r>
    <s v="Singapore"/>
    <x v="1"/>
    <s v="SG3"/>
    <m/>
    <x v="3"/>
    <x v="2"/>
    <x v="3"/>
    <x v="4"/>
    <x v="0"/>
    <x v="0"/>
    <x v="0"/>
    <m/>
    <x v="0"/>
    <x v="0"/>
    <n v="-2.6484300000000003"/>
    <m/>
    <x v="1"/>
    <x v="3"/>
    <x v="0"/>
    <x v="2"/>
    <x v="0"/>
  </r>
  <r>
    <s v="Singapore"/>
    <x v="1"/>
    <s v="SG3"/>
    <m/>
    <x v="5"/>
    <x v="2"/>
    <x v="3"/>
    <x v="0"/>
    <x v="0"/>
    <x v="0"/>
    <x v="0"/>
    <m/>
    <x v="0"/>
    <x v="0"/>
    <n v="-7.4000250000000002E-3"/>
    <m/>
    <x v="6"/>
    <x v="2"/>
    <x v="0"/>
    <x v="0"/>
    <x v="1"/>
  </r>
  <r>
    <s v="Singapore"/>
    <x v="1"/>
    <s v="SG3"/>
    <m/>
    <x v="5"/>
    <x v="1"/>
    <x v="4"/>
    <x v="1"/>
    <x v="0"/>
    <x v="0"/>
    <x v="0"/>
    <m/>
    <x v="0"/>
    <x v="0"/>
    <n v="-2.775180744"/>
    <m/>
    <x v="4"/>
    <x v="2"/>
    <x v="0"/>
    <x v="5"/>
    <x v="1"/>
  </r>
  <r>
    <s v="Singapore"/>
    <x v="5"/>
    <s v="SG2"/>
    <m/>
    <x v="2"/>
    <x v="1"/>
    <x v="0"/>
    <x v="3"/>
    <x v="0"/>
    <x v="0"/>
    <x v="0"/>
    <m/>
    <x v="0"/>
    <x v="0"/>
    <n v="2.8556307000000003"/>
    <m/>
    <x v="1"/>
    <x v="1"/>
    <x v="0"/>
    <x v="4"/>
    <x v="2"/>
  </r>
  <r>
    <s v="Singapore"/>
    <x v="5"/>
    <s v="SG2"/>
    <m/>
    <x v="1"/>
    <x v="1"/>
    <x v="0"/>
    <x v="5"/>
    <x v="0"/>
    <x v="0"/>
    <x v="0"/>
    <m/>
    <x v="0"/>
    <x v="0"/>
    <n v="-0.12463200000000001"/>
    <m/>
    <x v="0"/>
    <x v="0"/>
    <x v="0"/>
    <x v="2"/>
    <x v="2"/>
  </r>
  <r>
    <s v="Singapore"/>
    <x v="0"/>
    <s v="SG1"/>
    <m/>
    <x v="2"/>
    <x v="2"/>
    <x v="1"/>
    <x v="1"/>
    <x v="0"/>
    <x v="0"/>
    <x v="0"/>
    <m/>
    <x v="0"/>
    <x v="0"/>
    <n v="1.3008465"/>
    <m/>
    <x v="1"/>
    <x v="3"/>
    <x v="0"/>
    <x v="2"/>
    <x v="2"/>
  </r>
  <r>
    <s v="Singapore"/>
    <x v="0"/>
    <s v="SG3"/>
    <m/>
    <x v="0"/>
    <x v="3"/>
    <x v="4"/>
    <x v="2"/>
    <x v="0"/>
    <x v="0"/>
    <x v="0"/>
    <m/>
    <x v="0"/>
    <x v="0"/>
    <n v="-3.6610650000000002E-2"/>
    <m/>
    <x v="6"/>
    <x v="3"/>
    <x v="0"/>
    <x v="1"/>
    <x v="1"/>
  </r>
  <r>
    <s v="Singapore"/>
    <x v="3"/>
    <s v="SG3"/>
    <m/>
    <x v="1"/>
    <x v="4"/>
    <x v="4"/>
    <x v="5"/>
    <x v="0"/>
    <x v="0"/>
    <x v="0"/>
    <m/>
    <x v="0"/>
    <x v="0"/>
    <n v="-0.24926400000000001"/>
    <m/>
    <x v="0"/>
    <x v="3"/>
    <x v="0"/>
    <x v="3"/>
    <x v="2"/>
  </r>
  <r>
    <s v="Singapore"/>
    <x v="1"/>
    <s v="SG3"/>
    <m/>
    <x v="0"/>
    <x v="2"/>
    <x v="1"/>
    <x v="4"/>
    <x v="0"/>
    <x v="0"/>
    <x v="0"/>
    <m/>
    <x v="0"/>
    <x v="0"/>
    <n v="-7.7895000000000006E-2"/>
    <m/>
    <x v="0"/>
    <x v="2"/>
    <x v="0"/>
    <x v="5"/>
    <x v="1"/>
  </r>
  <r>
    <s v="Singapore"/>
    <x v="0"/>
    <s v="SG4"/>
    <m/>
    <x v="5"/>
    <x v="2"/>
    <x v="0"/>
    <x v="1"/>
    <x v="0"/>
    <x v="0"/>
    <x v="0"/>
    <m/>
    <x v="0"/>
    <x v="0"/>
    <n v="94.486635000000007"/>
    <m/>
    <x v="1"/>
    <x v="2"/>
    <x v="0"/>
    <x v="1"/>
    <x v="1"/>
  </r>
  <r>
    <s v="Singapore"/>
    <x v="1"/>
    <s v="SG3"/>
    <m/>
    <x v="1"/>
    <x v="0"/>
    <x v="0"/>
    <x v="4"/>
    <x v="0"/>
    <x v="0"/>
    <x v="0"/>
    <m/>
    <x v="0"/>
    <x v="0"/>
    <n v="8.8550412840000003"/>
    <m/>
    <x v="2"/>
    <x v="2"/>
    <x v="0"/>
    <x v="4"/>
    <x v="2"/>
  </r>
  <r>
    <s v="Singapore"/>
    <x v="2"/>
    <s v="SG1"/>
    <m/>
    <x v="4"/>
    <x v="0"/>
    <x v="2"/>
    <x v="3"/>
    <x v="0"/>
    <x v="0"/>
    <x v="0"/>
    <m/>
    <x v="0"/>
    <x v="0"/>
    <n v="0.95810850000000003"/>
    <m/>
    <x v="1"/>
    <x v="2"/>
    <x v="0"/>
    <x v="1"/>
    <x v="1"/>
  </r>
  <r>
    <s v="Singapore"/>
    <x v="1"/>
    <s v="SG2"/>
    <m/>
    <x v="0"/>
    <x v="4"/>
    <x v="0"/>
    <x v="2"/>
    <x v="0"/>
    <x v="0"/>
    <x v="0"/>
    <m/>
    <x v="0"/>
    <x v="0"/>
    <n v="3.9169344959999997"/>
    <m/>
    <x v="1"/>
    <x v="2"/>
    <x v="0"/>
    <x v="2"/>
    <x v="2"/>
  </r>
  <r>
    <s v="Singapore"/>
    <x v="3"/>
    <s v="SG4"/>
    <m/>
    <x v="0"/>
    <x v="0"/>
    <x v="0"/>
    <x v="2"/>
    <x v="0"/>
    <x v="0"/>
    <x v="0"/>
    <m/>
    <x v="0"/>
    <x v="0"/>
    <n v="-0.233685"/>
    <m/>
    <x v="0"/>
    <x v="1"/>
    <x v="0"/>
    <x v="3"/>
    <x v="0"/>
  </r>
  <r>
    <s v="Singapore"/>
    <x v="5"/>
    <s v="SG3"/>
    <m/>
    <x v="5"/>
    <x v="0"/>
    <x v="1"/>
    <x v="0"/>
    <x v="0"/>
    <x v="0"/>
    <x v="0"/>
    <m/>
    <x v="0"/>
    <x v="0"/>
    <n v="1.5161482800000001"/>
    <m/>
    <x v="1"/>
    <x v="1"/>
    <x v="0"/>
    <x v="2"/>
    <x v="0"/>
  </r>
  <r>
    <s v="Singapore"/>
    <x v="2"/>
    <s v="SG2"/>
    <m/>
    <x v="2"/>
    <x v="3"/>
    <x v="3"/>
    <x v="3"/>
    <x v="0"/>
    <x v="0"/>
    <x v="0"/>
    <m/>
    <x v="0"/>
    <x v="0"/>
    <n v="-3.1158000000000002E-2"/>
    <m/>
    <x v="0"/>
    <x v="2"/>
    <x v="0"/>
    <x v="0"/>
    <x v="2"/>
  </r>
  <r>
    <s v="Singapore"/>
    <x v="1"/>
    <s v="SG2"/>
    <m/>
    <x v="5"/>
    <x v="3"/>
    <x v="3"/>
    <x v="2"/>
    <x v="0"/>
    <x v="0"/>
    <x v="0"/>
    <m/>
    <x v="0"/>
    <x v="0"/>
    <n v="-7.7521104000000007E-2"/>
    <m/>
    <x v="0"/>
    <x v="2"/>
    <x v="0"/>
    <x v="3"/>
    <x v="2"/>
  </r>
  <r>
    <s v="Singapore"/>
    <x v="3"/>
    <s v="SG1"/>
    <m/>
    <x v="4"/>
    <x v="3"/>
    <x v="4"/>
    <x v="2"/>
    <x v="0"/>
    <x v="0"/>
    <x v="0"/>
    <m/>
    <x v="0"/>
    <x v="0"/>
    <n v="-0.42063300000000003"/>
    <m/>
    <x v="4"/>
    <x v="3"/>
    <x v="0"/>
    <x v="4"/>
    <x v="0"/>
  </r>
  <r>
    <s v="Singapore"/>
    <x v="0"/>
    <s v="SG1"/>
    <m/>
    <x v="5"/>
    <x v="0"/>
    <x v="0"/>
    <x v="0"/>
    <x v="0"/>
    <x v="0"/>
    <x v="0"/>
    <m/>
    <x v="0"/>
    <x v="0"/>
    <n v="-4.5944340480000001"/>
    <m/>
    <x v="7"/>
    <x v="3"/>
    <x v="0"/>
    <x v="2"/>
    <x v="1"/>
  </r>
  <r>
    <s v="Singapore"/>
    <x v="5"/>
    <s v="SG4"/>
    <m/>
    <x v="4"/>
    <x v="4"/>
    <x v="0"/>
    <x v="1"/>
    <x v="0"/>
    <x v="0"/>
    <x v="0"/>
    <m/>
    <x v="0"/>
    <x v="0"/>
    <n v="52.385478030000002"/>
    <m/>
    <x v="4"/>
    <x v="0"/>
    <x v="0"/>
    <x v="1"/>
    <x v="0"/>
  </r>
  <r>
    <s v="Singapore"/>
    <x v="5"/>
    <s v="SG4"/>
    <m/>
    <x v="0"/>
    <x v="4"/>
    <x v="4"/>
    <x v="1"/>
    <x v="0"/>
    <x v="0"/>
    <x v="0"/>
    <m/>
    <x v="0"/>
    <x v="0"/>
    <n v="1.0801232280000002"/>
    <m/>
    <x v="1"/>
    <x v="1"/>
    <x v="0"/>
    <x v="3"/>
    <x v="2"/>
  </r>
  <r>
    <s v="Singapore"/>
    <x v="3"/>
    <s v="SG4"/>
    <m/>
    <x v="0"/>
    <x v="3"/>
    <x v="0"/>
    <x v="0"/>
    <x v="0"/>
    <x v="0"/>
    <x v="0"/>
    <m/>
    <x v="0"/>
    <x v="0"/>
    <n v="0.233685"/>
    <m/>
    <x v="0"/>
    <x v="3"/>
    <x v="0"/>
    <x v="2"/>
    <x v="0"/>
  </r>
  <r>
    <s v="Singapore"/>
    <x v="1"/>
    <s v="SG2"/>
    <m/>
    <x v="1"/>
    <x v="1"/>
    <x v="2"/>
    <x v="2"/>
    <x v="0"/>
    <x v="0"/>
    <x v="0"/>
    <m/>
    <x v="0"/>
    <x v="0"/>
    <n v="-0.32404320000000003"/>
    <m/>
    <x v="6"/>
    <x v="1"/>
    <x v="0"/>
    <x v="3"/>
    <x v="2"/>
  </r>
  <r>
    <s v="Singapore"/>
    <x v="3"/>
    <s v="SG3"/>
    <m/>
    <x v="1"/>
    <x v="1"/>
    <x v="0"/>
    <x v="4"/>
    <x v="0"/>
    <x v="0"/>
    <x v="0"/>
    <m/>
    <x v="0"/>
    <x v="0"/>
    <n v="-0.21810600000000002"/>
    <m/>
    <x v="1"/>
    <x v="1"/>
    <x v="0"/>
    <x v="4"/>
    <x v="0"/>
  </r>
  <r>
    <s v="Singapore"/>
    <x v="1"/>
    <s v="SG4"/>
    <m/>
    <x v="2"/>
    <x v="3"/>
    <x v="0"/>
    <x v="5"/>
    <x v="0"/>
    <x v="0"/>
    <x v="0"/>
    <m/>
    <x v="0"/>
    <x v="0"/>
    <n v="-0.77517988199999999"/>
    <m/>
    <x v="4"/>
    <x v="1"/>
    <x v="0"/>
    <x v="2"/>
    <x v="0"/>
  </r>
  <r>
    <s v="Singapore"/>
    <x v="4"/>
    <s v="SG4"/>
    <m/>
    <x v="2"/>
    <x v="4"/>
    <x v="3"/>
    <x v="4"/>
    <x v="0"/>
    <x v="0"/>
    <x v="0"/>
    <m/>
    <x v="0"/>
    <x v="0"/>
    <n v="-0.280422"/>
    <m/>
    <x v="4"/>
    <x v="3"/>
    <x v="0"/>
    <x v="5"/>
    <x v="0"/>
  </r>
  <r>
    <s v="Singapore"/>
    <x v="1"/>
    <s v="SG4"/>
    <m/>
    <x v="5"/>
    <x v="3"/>
    <x v="2"/>
    <x v="4"/>
    <x v="0"/>
    <x v="0"/>
    <x v="0"/>
    <m/>
    <x v="0"/>
    <x v="0"/>
    <n v="0.37389600000000001"/>
    <m/>
    <x v="7"/>
    <x v="0"/>
    <x v="0"/>
    <x v="2"/>
    <x v="1"/>
  </r>
  <r>
    <s v="Singapore"/>
    <x v="2"/>
    <s v="SG2"/>
    <m/>
    <x v="1"/>
    <x v="3"/>
    <x v="1"/>
    <x v="2"/>
    <x v="0"/>
    <x v="0"/>
    <x v="0"/>
    <m/>
    <x v="0"/>
    <x v="0"/>
    <n v="-0.1838322"/>
    <m/>
    <x v="4"/>
    <x v="2"/>
    <x v="0"/>
    <x v="3"/>
    <x v="2"/>
  </r>
  <r>
    <s v="Singapore"/>
    <x v="1"/>
    <s v="SG4"/>
    <m/>
    <x v="3"/>
    <x v="4"/>
    <x v="3"/>
    <x v="3"/>
    <x v="0"/>
    <x v="0"/>
    <x v="0"/>
    <m/>
    <x v="0"/>
    <x v="0"/>
    <n v="-75.857266800000005"/>
    <m/>
    <x v="4"/>
    <x v="0"/>
    <x v="0"/>
    <x v="5"/>
    <x v="1"/>
  </r>
  <r>
    <s v="Singapore"/>
    <x v="1"/>
    <s v="SG1"/>
    <m/>
    <x v="2"/>
    <x v="1"/>
    <x v="4"/>
    <x v="5"/>
    <x v="0"/>
    <x v="0"/>
    <x v="0"/>
    <m/>
    <x v="0"/>
    <x v="0"/>
    <n v="-36.924909588000006"/>
    <m/>
    <x v="2"/>
    <x v="1"/>
    <x v="0"/>
    <x v="1"/>
    <x v="0"/>
  </r>
  <r>
    <s v="Singapore"/>
    <x v="0"/>
    <s v="SG2"/>
    <m/>
    <x v="5"/>
    <x v="4"/>
    <x v="1"/>
    <x v="1"/>
    <x v="0"/>
    <x v="0"/>
    <x v="0"/>
    <m/>
    <x v="0"/>
    <x v="0"/>
    <n v="-0.85684500000000008"/>
    <m/>
    <x v="4"/>
    <x v="0"/>
    <x v="0"/>
    <x v="0"/>
    <x v="1"/>
  </r>
  <r>
    <s v="Singapore"/>
    <x v="4"/>
    <s v="SG3"/>
    <m/>
    <x v="4"/>
    <x v="1"/>
    <x v="0"/>
    <x v="1"/>
    <x v="0"/>
    <x v="0"/>
    <x v="0"/>
    <m/>
    <x v="0"/>
    <x v="0"/>
    <n v="-0.19746382500000001"/>
    <m/>
    <x v="6"/>
    <x v="2"/>
    <x v="0"/>
    <x v="1"/>
    <x v="1"/>
  </r>
  <r>
    <s v="Singapore"/>
    <x v="1"/>
    <s v="SG2"/>
    <m/>
    <x v="2"/>
    <x v="0"/>
    <x v="2"/>
    <x v="5"/>
    <x v="0"/>
    <x v="0"/>
    <x v="0"/>
    <m/>
    <x v="0"/>
    <x v="0"/>
    <n v="0.86214186000000004"/>
    <m/>
    <x v="1"/>
    <x v="3"/>
    <x v="0"/>
    <x v="0"/>
    <x v="1"/>
  </r>
  <r>
    <s v="Singapore"/>
    <x v="3"/>
    <s v="SG3"/>
    <m/>
    <x v="1"/>
    <x v="0"/>
    <x v="4"/>
    <x v="1"/>
    <x v="0"/>
    <x v="0"/>
    <x v="0"/>
    <m/>
    <x v="0"/>
    <x v="0"/>
    <n v="-0.50631749999999998"/>
    <m/>
    <x v="2"/>
    <x v="1"/>
    <x v="0"/>
    <x v="1"/>
    <x v="1"/>
  </r>
  <r>
    <s v="Singapore"/>
    <x v="5"/>
    <s v="SG3"/>
    <m/>
    <x v="0"/>
    <x v="1"/>
    <x v="1"/>
    <x v="3"/>
    <x v="0"/>
    <x v="0"/>
    <x v="0"/>
    <m/>
    <x v="0"/>
    <x v="0"/>
    <n v="0.15579000000000001"/>
    <m/>
    <x v="1"/>
    <x v="1"/>
    <x v="0"/>
    <x v="1"/>
    <x v="0"/>
  </r>
  <r>
    <s v="Singapore"/>
    <x v="4"/>
    <s v="SG2"/>
    <m/>
    <x v="5"/>
    <x v="3"/>
    <x v="4"/>
    <x v="0"/>
    <x v="0"/>
    <x v="0"/>
    <x v="0"/>
    <m/>
    <x v="0"/>
    <x v="0"/>
    <n v="0.24926400000000001"/>
    <m/>
    <x v="1"/>
    <x v="1"/>
    <x v="0"/>
    <x v="3"/>
    <x v="0"/>
  </r>
  <r>
    <s v="Singapore"/>
    <x v="3"/>
    <s v="SG1"/>
    <m/>
    <x v="1"/>
    <x v="3"/>
    <x v="1"/>
    <x v="3"/>
    <x v="0"/>
    <x v="0"/>
    <x v="0"/>
    <m/>
    <x v="0"/>
    <x v="0"/>
    <n v="-4.6737000000000002"/>
    <m/>
    <x v="4"/>
    <x v="2"/>
    <x v="0"/>
    <x v="5"/>
    <x v="1"/>
  </r>
  <r>
    <s v="Singapore"/>
    <x v="2"/>
    <s v="SG2"/>
    <m/>
    <x v="1"/>
    <x v="0"/>
    <x v="2"/>
    <x v="2"/>
    <x v="0"/>
    <x v="0"/>
    <x v="0"/>
    <m/>
    <x v="0"/>
    <x v="0"/>
    <n v="-0.77895000000000003"/>
    <m/>
    <x v="4"/>
    <x v="2"/>
    <x v="0"/>
    <x v="0"/>
    <x v="2"/>
  </r>
  <r>
    <s v="Singapore"/>
    <x v="2"/>
    <s v="SG4"/>
    <m/>
    <x v="1"/>
    <x v="4"/>
    <x v="0"/>
    <x v="5"/>
    <x v="0"/>
    <x v="0"/>
    <x v="0"/>
    <m/>
    <x v="0"/>
    <x v="0"/>
    <n v="10.3569192"/>
    <m/>
    <x v="7"/>
    <x v="3"/>
    <x v="0"/>
    <x v="1"/>
    <x v="1"/>
  </r>
  <r>
    <s v="Singapore"/>
    <x v="0"/>
    <s v="SG3"/>
    <m/>
    <x v="3"/>
    <x v="4"/>
    <x v="4"/>
    <x v="5"/>
    <x v="0"/>
    <x v="0"/>
    <x v="0"/>
    <m/>
    <x v="0"/>
    <x v="0"/>
    <n v="-8.0231849999999998"/>
    <m/>
    <x v="8"/>
    <x v="2"/>
    <x v="0"/>
    <x v="4"/>
    <x v="2"/>
  </r>
  <r>
    <s v="Singapore"/>
    <x v="2"/>
    <s v="SG1"/>
    <m/>
    <x v="3"/>
    <x v="3"/>
    <x v="0"/>
    <x v="0"/>
    <x v="0"/>
    <x v="0"/>
    <x v="0"/>
    <m/>
    <x v="0"/>
    <x v="0"/>
    <n v="-0.1838322"/>
    <m/>
    <x v="4"/>
    <x v="3"/>
    <x v="0"/>
    <x v="5"/>
    <x v="0"/>
  </r>
  <r>
    <s v="Singapore"/>
    <x v="5"/>
    <s v="SG3"/>
    <m/>
    <x v="5"/>
    <x v="0"/>
    <x v="4"/>
    <x v="3"/>
    <x v="0"/>
    <x v="0"/>
    <x v="0"/>
    <m/>
    <x v="0"/>
    <x v="0"/>
    <n v="-0.150555456"/>
    <m/>
    <x v="3"/>
    <x v="2"/>
    <x v="0"/>
    <x v="0"/>
    <x v="1"/>
  </r>
  <r>
    <s v="Singapore"/>
    <x v="1"/>
    <s v="SG2"/>
    <m/>
    <x v="3"/>
    <x v="0"/>
    <x v="4"/>
    <x v="4"/>
    <x v="0"/>
    <x v="0"/>
    <x v="0"/>
    <m/>
    <x v="0"/>
    <x v="0"/>
    <n v="3.4429590000000002E-3"/>
    <m/>
    <x v="2"/>
    <x v="0"/>
    <x v="0"/>
    <x v="3"/>
    <x v="1"/>
  </r>
  <r>
    <s v="Singapore"/>
    <x v="2"/>
    <s v="SG2"/>
    <m/>
    <x v="2"/>
    <x v="1"/>
    <x v="4"/>
    <x v="2"/>
    <x v="0"/>
    <x v="0"/>
    <x v="0"/>
    <m/>
    <x v="0"/>
    <x v="0"/>
    <n v="-2.2330938600000003"/>
    <m/>
    <x v="0"/>
    <x v="3"/>
    <x v="0"/>
    <x v="3"/>
    <x v="0"/>
  </r>
  <r>
    <s v="Singapore"/>
    <x v="4"/>
    <s v="SG1"/>
    <m/>
    <x v="4"/>
    <x v="3"/>
    <x v="1"/>
    <x v="1"/>
    <x v="0"/>
    <x v="0"/>
    <x v="0"/>
    <m/>
    <x v="0"/>
    <x v="0"/>
    <n v="0.34273800000000004"/>
    <m/>
    <x v="4"/>
    <x v="1"/>
    <x v="0"/>
    <x v="3"/>
    <x v="2"/>
  </r>
  <r>
    <s v="Singapore"/>
    <x v="2"/>
    <s v="SG3"/>
    <m/>
    <x v="1"/>
    <x v="0"/>
    <x v="0"/>
    <x v="1"/>
    <x v="0"/>
    <x v="0"/>
    <x v="0"/>
    <m/>
    <x v="0"/>
    <x v="0"/>
    <n v="0.86214186000000004"/>
    <m/>
    <x v="1"/>
    <x v="1"/>
    <x v="0"/>
    <x v="1"/>
    <x v="0"/>
  </r>
  <r>
    <s v="Singapore"/>
    <x v="0"/>
    <s v="SG2"/>
    <m/>
    <x v="2"/>
    <x v="0"/>
    <x v="1"/>
    <x v="4"/>
    <x v="0"/>
    <x v="0"/>
    <x v="0"/>
    <m/>
    <x v="0"/>
    <x v="0"/>
    <n v="-2.33685E-2"/>
    <m/>
    <x v="0"/>
    <x v="0"/>
    <x v="0"/>
    <x v="0"/>
    <x v="1"/>
  </r>
  <r>
    <s v="Singapore"/>
    <x v="5"/>
    <s v="SG2"/>
    <m/>
    <x v="4"/>
    <x v="1"/>
    <x v="3"/>
    <x v="1"/>
    <x v="0"/>
    <x v="0"/>
    <x v="0"/>
    <m/>
    <x v="0"/>
    <x v="0"/>
    <n v="-0.12463200000000001"/>
    <m/>
    <x v="0"/>
    <x v="3"/>
    <x v="0"/>
    <x v="3"/>
    <x v="0"/>
  </r>
  <r>
    <s v="Singapore"/>
    <x v="1"/>
    <s v="SG1"/>
    <m/>
    <x v="5"/>
    <x v="1"/>
    <x v="2"/>
    <x v="1"/>
    <x v="0"/>
    <x v="0"/>
    <x v="0"/>
    <m/>
    <x v="0"/>
    <x v="0"/>
    <n v="1.7822376000000002"/>
    <m/>
    <x v="5"/>
    <x v="0"/>
    <x v="0"/>
    <x v="2"/>
    <x v="1"/>
  </r>
  <r>
    <s v="Singapore"/>
    <x v="3"/>
    <s v="SG3"/>
    <m/>
    <x v="5"/>
    <x v="3"/>
    <x v="3"/>
    <x v="5"/>
    <x v="0"/>
    <x v="0"/>
    <x v="0"/>
    <m/>
    <x v="0"/>
    <x v="0"/>
    <n v="-0.10905300000000001"/>
    <m/>
    <x v="4"/>
    <x v="2"/>
    <x v="0"/>
    <x v="0"/>
    <x v="1"/>
  </r>
  <r>
    <s v="Singapore"/>
    <x v="3"/>
    <s v="SG4"/>
    <m/>
    <x v="0"/>
    <x v="3"/>
    <x v="0"/>
    <x v="2"/>
    <x v="0"/>
    <x v="0"/>
    <x v="0"/>
    <m/>
    <x v="0"/>
    <x v="0"/>
    <n v="-1.5579000000000001E-2"/>
    <m/>
    <x v="0"/>
    <x v="1"/>
    <x v="0"/>
    <x v="0"/>
    <x v="0"/>
  </r>
  <r>
    <s v="Singapore"/>
    <x v="2"/>
    <s v="SG4"/>
    <m/>
    <x v="2"/>
    <x v="0"/>
    <x v="2"/>
    <x v="4"/>
    <x v="0"/>
    <x v="0"/>
    <x v="0"/>
    <m/>
    <x v="0"/>
    <x v="0"/>
    <n v="-0.1838322"/>
    <m/>
    <x v="4"/>
    <x v="3"/>
    <x v="0"/>
    <x v="0"/>
    <x v="1"/>
  </r>
  <r>
    <s v="Singapore"/>
    <x v="5"/>
    <s v="SG4"/>
    <m/>
    <x v="1"/>
    <x v="2"/>
    <x v="3"/>
    <x v="5"/>
    <x v="0"/>
    <x v="0"/>
    <x v="0"/>
    <m/>
    <x v="0"/>
    <x v="0"/>
    <n v="-0.1838322"/>
    <m/>
    <x v="4"/>
    <x v="0"/>
    <x v="0"/>
    <x v="4"/>
    <x v="0"/>
  </r>
  <r>
    <s v="Singapore"/>
    <x v="0"/>
    <s v="SG1"/>
    <m/>
    <x v="4"/>
    <x v="1"/>
    <x v="0"/>
    <x v="3"/>
    <x v="0"/>
    <x v="0"/>
    <x v="0"/>
    <m/>
    <x v="0"/>
    <x v="0"/>
    <n v="0.25705349999999999"/>
    <m/>
    <x v="1"/>
    <x v="2"/>
    <x v="0"/>
    <x v="1"/>
    <x v="2"/>
  </r>
  <r>
    <s v="Singapore"/>
    <x v="3"/>
    <s v="SG1"/>
    <m/>
    <x v="3"/>
    <x v="3"/>
    <x v="1"/>
    <x v="4"/>
    <x v="0"/>
    <x v="0"/>
    <x v="0"/>
    <m/>
    <x v="0"/>
    <x v="0"/>
    <n v="1.2774780000000001"/>
    <m/>
    <x v="1"/>
    <x v="1"/>
    <x v="0"/>
    <x v="0"/>
    <x v="2"/>
  </r>
  <r>
    <s v="Singapore"/>
    <x v="4"/>
    <s v="SG4"/>
    <m/>
    <x v="2"/>
    <x v="2"/>
    <x v="1"/>
    <x v="2"/>
    <x v="0"/>
    <x v="0"/>
    <x v="0"/>
    <m/>
    <x v="0"/>
    <x v="0"/>
    <n v="-1.137267"/>
    <m/>
    <x v="4"/>
    <x v="3"/>
    <x v="0"/>
    <x v="1"/>
    <x v="2"/>
  </r>
  <r>
    <s v="Singapore"/>
    <x v="5"/>
    <s v="SG1"/>
    <m/>
    <x v="2"/>
    <x v="2"/>
    <x v="2"/>
    <x v="1"/>
    <x v="0"/>
    <x v="0"/>
    <x v="0"/>
    <m/>
    <x v="0"/>
    <x v="0"/>
    <n v="-5.14107"/>
    <m/>
    <x v="0"/>
    <x v="2"/>
    <x v="0"/>
    <x v="0"/>
    <x v="1"/>
  </r>
  <r>
    <s v="Singapore"/>
    <x v="1"/>
    <s v="SG2"/>
    <m/>
    <x v="1"/>
    <x v="0"/>
    <x v="4"/>
    <x v="4"/>
    <x v="0"/>
    <x v="0"/>
    <x v="0"/>
    <m/>
    <x v="0"/>
    <x v="0"/>
    <n v="-1.6539445350000002"/>
    <m/>
    <x v="3"/>
    <x v="0"/>
    <x v="0"/>
    <x v="0"/>
    <x v="1"/>
  </r>
  <r>
    <s v="Singapore"/>
    <x v="3"/>
    <s v="SG3"/>
    <m/>
    <x v="0"/>
    <x v="3"/>
    <x v="1"/>
    <x v="5"/>
    <x v="0"/>
    <x v="0"/>
    <x v="0"/>
    <m/>
    <x v="0"/>
    <x v="0"/>
    <n v="0.178410708"/>
    <m/>
    <x v="1"/>
    <x v="0"/>
    <x v="0"/>
    <x v="4"/>
    <x v="1"/>
  </r>
  <r>
    <s v="Singapore"/>
    <x v="5"/>
    <s v="SG4"/>
    <m/>
    <x v="4"/>
    <x v="2"/>
    <x v="0"/>
    <x v="3"/>
    <x v="0"/>
    <x v="0"/>
    <x v="0"/>
    <m/>
    <x v="0"/>
    <x v="0"/>
    <n v="-4.855210929000001"/>
    <m/>
    <x v="9"/>
    <x v="2"/>
    <x v="0"/>
    <x v="3"/>
    <x v="0"/>
  </r>
  <r>
    <s v="Singapore"/>
    <x v="5"/>
    <s v="SG2"/>
    <m/>
    <x v="5"/>
    <x v="3"/>
    <x v="3"/>
    <x v="5"/>
    <x v="0"/>
    <x v="0"/>
    <x v="0"/>
    <m/>
    <x v="0"/>
    <x v="0"/>
    <n v="-1.9469543670000002"/>
    <m/>
    <x v="4"/>
    <x v="3"/>
    <x v="0"/>
    <x v="4"/>
    <x v="1"/>
  </r>
  <r>
    <s v="Singapore"/>
    <x v="1"/>
    <s v="SG3"/>
    <m/>
    <x v="3"/>
    <x v="3"/>
    <x v="1"/>
    <x v="5"/>
    <x v="0"/>
    <x v="0"/>
    <x v="0"/>
    <m/>
    <x v="0"/>
    <x v="0"/>
    <n v="316.31601599999999"/>
    <m/>
    <x v="7"/>
    <x v="0"/>
    <x v="0"/>
    <x v="2"/>
    <x v="0"/>
  </r>
  <r>
    <s v="Singapore"/>
    <x v="5"/>
    <s v="SG4"/>
    <m/>
    <x v="4"/>
    <x v="1"/>
    <x v="3"/>
    <x v="0"/>
    <x v="0"/>
    <x v="0"/>
    <x v="0"/>
    <m/>
    <x v="0"/>
    <x v="0"/>
    <n v="1.1450565000000001"/>
    <m/>
    <x v="1"/>
    <x v="3"/>
    <x v="0"/>
    <x v="3"/>
    <x v="0"/>
  </r>
  <r>
    <s v="Singapore"/>
    <x v="3"/>
    <s v="SG4"/>
    <m/>
    <x v="3"/>
    <x v="3"/>
    <x v="3"/>
    <x v="2"/>
    <x v="0"/>
    <x v="0"/>
    <x v="0"/>
    <m/>
    <x v="0"/>
    <x v="0"/>
    <n v="-0.77895000000000003"/>
    <m/>
    <x v="4"/>
    <x v="3"/>
    <x v="0"/>
    <x v="5"/>
    <x v="1"/>
  </r>
  <r>
    <s v="Singapore"/>
    <x v="4"/>
    <s v="SG3"/>
    <m/>
    <x v="0"/>
    <x v="1"/>
    <x v="2"/>
    <x v="0"/>
    <x v="0"/>
    <x v="0"/>
    <x v="0"/>
    <m/>
    <x v="0"/>
    <x v="0"/>
    <n v="0.66989700000000008"/>
    <m/>
    <x v="1"/>
    <x v="0"/>
    <x v="0"/>
    <x v="1"/>
    <x v="1"/>
  </r>
  <r>
    <s v="Singapore"/>
    <x v="4"/>
    <s v="SG1"/>
    <m/>
    <x v="1"/>
    <x v="3"/>
    <x v="1"/>
    <x v="1"/>
    <x v="0"/>
    <x v="0"/>
    <x v="0"/>
    <m/>
    <x v="0"/>
    <x v="0"/>
    <n v="-0.21031650000000002"/>
    <m/>
    <x v="0"/>
    <x v="0"/>
    <x v="0"/>
    <x v="3"/>
    <x v="1"/>
  </r>
  <r>
    <s v="Singapore"/>
    <x v="5"/>
    <s v="SG1"/>
    <m/>
    <x v="0"/>
    <x v="2"/>
    <x v="3"/>
    <x v="2"/>
    <x v="0"/>
    <x v="0"/>
    <x v="0"/>
    <m/>
    <x v="0"/>
    <x v="0"/>
    <n v="-1.6303423500000001"/>
    <m/>
    <x v="3"/>
    <x v="3"/>
    <x v="0"/>
    <x v="0"/>
    <x v="2"/>
  </r>
  <r>
    <s v="Singapore"/>
    <x v="4"/>
    <s v="SG1"/>
    <m/>
    <x v="4"/>
    <x v="2"/>
    <x v="1"/>
    <x v="0"/>
    <x v="0"/>
    <x v="0"/>
    <x v="0"/>
    <m/>
    <x v="0"/>
    <x v="0"/>
    <n v="-1.2174988500000001"/>
    <m/>
    <x v="3"/>
    <x v="0"/>
    <x v="0"/>
    <x v="4"/>
    <x v="2"/>
  </r>
  <r>
    <s v="Singapore"/>
    <x v="2"/>
    <s v="SG3"/>
    <m/>
    <x v="3"/>
    <x v="0"/>
    <x v="4"/>
    <x v="5"/>
    <x v="0"/>
    <x v="0"/>
    <x v="0"/>
    <m/>
    <x v="0"/>
    <x v="0"/>
    <n v="-0.32715900000000003"/>
    <m/>
    <x v="0"/>
    <x v="3"/>
    <x v="0"/>
    <x v="1"/>
    <x v="2"/>
  </r>
  <r>
    <s v="Singapore"/>
    <x v="3"/>
    <s v="SG3"/>
    <m/>
    <x v="5"/>
    <x v="4"/>
    <x v="0"/>
    <x v="0"/>
    <x v="0"/>
    <x v="0"/>
    <x v="0"/>
    <m/>
    <x v="0"/>
    <x v="0"/>
    <n v="-0.32715900000000003"/>
    <m/>
    <x v="0"/>
    <x v="2"/>
    <x v="0"/>
    <x v="3"/>
    <x v="0"/>
  </r>
  <r>
    <s v="Singapore"/>
    <x v="2"/>
    <s v="SG3"/>
    <m/>
    <x v="5"/>
    <x v="4"/>
    <x v="3"/>
    <x v="2"/>
    <x v="0"/>
    <x v="0"/>
    <x v="0"/>
    <m/>
    <x v="0"/>
    <x v="0"/>
    <n v="-6.2316000000000003E-3"/>
    <m/>
    <x v="6"/>
    <x v="3"/>
    <x v="0"/>
    <x v="1"/>
    <x v="2"/>
  </r>
  <r>
    <s v="Singapore"/>
    <x v="0"/>
    <s v="SG3"/>
    <m/>
    <x v="4"/>
    <x v="1"/>
    <x v="0"/>
    <x v="1"/>
    <x v="0"/>
    <x v="0"/>
    <x v="0"/>
    <m/>
    <x v="0"/>
    <x v="0"/>
    <n v="-0.65431800000000007"/>
    <m/>
    <x v="4"/>
    <x v="2"/>
    <x v="0"/>
    <x v="3"/>
    <x v="1"/>
  </r>
  <r>
    <s v="Singapore"/>
    <x v="5"/>
    <s v="SG2"/>
    <m/>
    <x v="5"/>
    <x v="1"/>
    <x v="0"/>
    <x v="5"/>
    <x v="0"/>
    <x v="0"/>
    <x v="0"/>
    <m/>
    <x v="0"/>
    <x v="0"/>
    <n v="-0.70105499999999998"/>
    <m/>
    <x v="1"/>
    <x v="0"/>
    <x v="0"/>
    <x v="2"/>
    <x v="2"/>
  </r>
  <r>
    <s v="Singapore"/>
    <x v="0"/>
    <s v="SG3"/>
    <m/>
    <x v="1"/>
    <x v="4"/>
    <x v="0"/>
    <x v="0"/>
    <x v="0"/>
    <x v="0"/>
    <x v="0"/>
    <m/>
    <x v="0"/>
    <x v="0"/>
    <n v="-2.6110404000000003"/>
    <m/>
    <x v="4"/>
    <x v="0"/>
    <x v="0"/>
    <x v="0"/>
    <x v="1"/>
  </r>
  <r>
    <s v="Singapore"/>
    <x v="0"/>
    <s v="SG3"/>
    <m/>
    <x v="1"/>
    <x v="2"/>
    <x v="2"/>
    <x v="4"/>
    <x v="0"/>
    <x v="0"/>
    <x v="0"/>
    <m/>
    <x v="0"/>
    <x v="0"/>
    <n v="-0.1838322"/>
    <m/>
    <x v="4"/>
    <x v="3"/>
    <x v="0"/>
    <x v="4"/>
    <x v="1"/>
  </r>
  <r>
    <s v="Singapore"/>
    <x v="0"/>
    <s v="SG4"/>
    <m/>
    <x v="2"/>
    <x v="2"/>
    <x v="3"/>
    <x v="3"/>
    <x v="0"/>
    <x v="0"/>
    <x v="0"/>
    <m/>
    <x v="0"/>
    <x v="0"/>
    <n v="-0.20252700000000001"/>
    <m/>
    <x v="6"/>
    <x v="2"/>
    <x v="0"/>
    <x v="0"/>
    <x v="1"/>
  </r>
  <r>
    <s v="Singapore"/>
    <x v="0"/>
    <s v="SG3"/>
    <m/>
    <x v="2"/>
    <x v="4"/>
    <x v="4"/>
    <x v="3"/>
    <x v="0"/>
    <x v="0"/>
    <x v="0"/>
    <m/>
    <x v="0"/>
    <x v="0"/>
    <n v="-5.4526500000000006E-2"/>
    <m/>
    <x v="0"/>
    <x v="0"/>
    <x v="0"/>
    <x v="4"/>
    <x v="2"/>
  </r>
  <r>
    <s v="Singapore"/>
    <x v="0"/>
    <s v="SG2"/>
    <m/>
    <x v="4"/>
    <x v="3"/>
    <x v="3"/>
    <x v="5"/>
    <x v="0"/>
    <x v="0"/>
    <x v="0"/>
    <m/>
    <x v="0"/>
    <x v="0"/>
    <n v="-2.8556307000000003"/>
    <m/>
    <x v="1"/>
    <x v="3"/>
    <x v="0"/>
    <x v="2"/>
    <x v="1"/>
  </r>
  <r>
    <s v="Singapore"/>
    <x v="2"/>
    <s v="SG3"/>
    <m/>
    <x v="5"/>
    <x v="1"/>
    <x v="4"/>
    <x v="1"/>
    <x v="0"/>
    <x v="0"/>
    <x v="0"/>
    <m/>
    <x v="0"/>
    <x v="0"/>
    <n v="0.280422"/>
    <m/>
    <x v="3"/>
    <x v="3"/>
    <x v="0"/>
    <x v="2"/>
    <x v="2"/>
  </r>
  <r>
    <s v="Singapore"/>
    <x v="5"/>
    <s v="SG4"/>
    <m/>
    <x v="3"/>
    <x v="1"/>
    <x v="0"/>
    <x v="1"/>
    <x v="0"/>
    <x v="0"/>
    <x v="0"/>
    <m/>
    <x v="0"/>
    <x v="0"/>
    <n v="-1.137267"/>
    <m/>
    <x v="1"/>
    <x v="1"/>
    <x v="0"/>
    <x v="5"/>
    <x v="0"/>
  </r>
  <r>
    <s v="Singapore"/>
    <x v="2"/>
    <s v="SG4"/>
    <m/>
    <x v="3"/>
    <x v="2"/>
    <x v="1"/>
    <x v="1"/>
    <x v="0"/>
    <x v="0"/>
    <x v="0"/>
    <m/>
    <x v="0"/>
    <x v="0"/>
    <n v="-4.6737000000000001E-2"/>
    <m/>
    <x v="0"/>
    <x v="3"/>
    <x v="0"/>
    <x v="5"/>
    <x v="2"/>
  </r>
  <r>
    <s v="Singapore"/>
    <x v="1"/>
    <s v="SG4"/>
    <m/>
    <x v="4"/>
    <x v="3"/>
    <x v="0"/>
    <x v="2"/>
    <x v="0"/>
    <x v="0"/>
    <x v="0"/>
    <m/>
    <x v="0"/>
    <x v="0"/>
    <n v="-0.70105499999999998"/>
    <m/>
    <x v="4"/>
    <x v="2"/>
    <x v="0"/>
    <x v="3"/>
    <x v="2"/>
  </r>
  <r>
    <s v="Singapore"/>
    <x v="3"/>
    <s v="SG3"/>
    <m/>
    <x v="5"/>
    <x v="3"/>
    <x v="0"/>
    <x v="3"/>
    <x v="0"/>
    <x v="0"/>
    <x v="0"/>
    <m/>
    <x v="0"/>
    <x v="0"/>
    <n v="-0.38947500000000002"/>
    <m/>
    <x v="4"/>
    <x v="0"/>
    <x v="0"/>
    <x v="1"/>
    <x v="2"/>
  </r>
  <r>
    <s v="Singapore"/>
    <x v="4"/>
    <s v="SG1"/>
    <m/>
    <x v="2"/>
    <x v="3"/>
    <x v="0"/>
    <x v="2"/>
    <x v="0"/>
    <x v="0"/>
    <x v="0"/>
    <m/>
    <x v="0"/>
    <x v="0"/>
    <n v="-0.8957925000000001"/>
    <m/>
    <x v="4"/>
    <x v="3"/>
    <x v="0"/>
    <x v="5"/>
    <x v="2"/>
  </r>
  <r>
    <s v="Singapore"/>
    <x v="3"/>
    <s v="SG2"/>
    <m/>
    <x v="0"/>
    <x v="0"/>
    <x v="0"/>
    <x v="2"/>
    <x v="0"/>
    <x v="0"/>
    <x v="0"/>
    <m/>
    <x v="0"/>
    <x v="0"/>
    <n v="-12.463200000000001"/>
    <m/>
    <x v="0"/>
    <x v="1"/>
    <x v="0"/>
    <x v="4"/>
    <x v="2"/>
  </r>
  <r>
    <s v="Singapore"/>
    <x v="4"/>
    <s v="SG3"/>
    <m/>
    <x v="0"/>
    <x v="4"/>
    <x v="3"/>
    <x v="2"/>
    <x v="0"/>
    <x v="0"/>
    <x v="0"/>
    <m/>
    <x v="0"/>
    <x v="0"/>
    <n v="-1.0515825000000001"/>
    <m/>
    <x v="0"/>
    <x v="0"/>
    <x v="0"/>
    <x v="1"/>
    <x v="0"/>
  </r>
  <r>
    <s v="Singapore"/>
    <x v="4"/>
    <s v="SG4"/>
    <m/>
    <x v="0"/>
    <x v="0"/>
    <x v="0"/>
    <x v="4"/>
    <x v="0"/>
    <x v="0"/>
    <x v="0"/>
    <m/>
    <x v="0"/>
    <x v="0"/>
    <n v="-0.1324215"/>
    <m/>
    <x v="4"/>
    <x v="0"/>
    <x v="0"/>
    <x v="1"/>
    <x v="2"/>
  </r>
  <r>
    <s v="Singapore"/>
    <x v="3"/>
    <s v="SG3"/>
    <m/>
    <x v="0"/>
    <x v="1"/>
    <x v="2"/>
    <x v="1"/>
    <x v="0"/>
    <x v="0"/>
    <x v="0"/>
    <m/>
    <x v="0"/>
    <x v="0"/>
    <n v="1.2650148000000001"/>
    <m/>
    <x v="3"/>
    <x v="2"/>
    <x v="0"/>
    <x v="3"/>
    <x v="0"/>
  </r>
  <r>
    <s v="Singapore"/>
    <x v="0"/>
    <s v="SG4"/>
    <m/>
    <x v="0"/>
    <x v="1"/>
    <x v="1"/>
    <x v="5"/>
    <x v="0"/>
    <x v="0"/>
    <x v="0"/>
    <m/>
    <x v="0"/>
    <x v="0"/>
    <n v="-4.6737000000000001E-2"/>
    <m/>
    <x v="0"/>
    <x v="3"/>
    <x v="0"/>
    <x v="5"/>
    <x v="1"/>
  </r>
  <r>
    <s v="Singapore"/>
    <x v="1"/>
    <s v="SG3"/>
    <m/>
    <x v="0"/>
    <x v="1"/>
    <x v="3"/>
    <x v="3"/>
    <x v="0"/>
    <x v="0"/>
    <x v="0"/>
    <m/>
    <x v="0"/>
    <x v="0"/>
    <n v="14.623680141000003"/>
    <m/>
    <x v="4"/>
    <x v="1"/>
    <x v="0"/>
    <x v="1"/>
    <x v="2"/>
  </r>
  <r>
    <s v="Singapore"/>
    <x v="0"/>
    <s v="SG1"/>
    <m/>
    <x v="1"/>
    <x v="4"/>
    <x v="0"/>
    <x v="1"/>
    <x v="0"/>
    <x v="0"/>
    <x v="0"/>
    <m/>
    <x v="0"/>
    <x v="0"/>
    <n v="-1.2463200000000001E-2"/>
    <m/>
    <x v="6"/>
    <x v="2"/>
    <x v="0"/>
    <x v="1"/>
    <x v="1"/>
  </r>
  <r>
    <s v="Singapore"/>
    <x v="5"/>
    <s v="SG2"/>
    <m/>
    <x v="4"/>
    <x v="1"/>
    <x v="0"/>
    <x v="3"/>
    <x v="0"/>
    <x v="0"/>
    <x v="0"/>
    <m/>
    <x v="0"/>
    <x v="0"/>
    <n v="-7.0105500000000003"/>
    <m/>
    <x v="4"/>
    <x v="3"/>
    <x v="0"/>
    <x v="2"/>
    <x v="1"/>
  </r>
  <r>
    <s v="Singapore"/>
    <x v="2"/>
    <s v="SG3"/>
    <m/>
    <x v="2"/>
    <x v="2"/>
    <x v="0"/>
    <x v="4"/>
    <x v="0"/>
    <x v="0"/>
    <x v="0"/>
    <m/>
    <x v="0"/>
    <x v="0"/>
    <n v="4.9852800000000004"/>
    <m/>
    <x v="11"/>
    <x v="0"/>
    <x v="0"/>
    <x v="3"/>
    <x v="2"/>
  </r>
  <r>
    <s v="Singapore"/>
    <x v="2"/>
    <s v="SG1"/>
    <m/>
    <x v="1"/>
    <x v="1"/>
    <x v="2"/>
    <x v="2"/>
    <x v="0"/>
    <x v="0"/>
    <x v="0"/>
    <m/>
    <x v="0"/>
    <x v="0"/>
    <n v="0.34273800000000004"/>
    <m/>
    <x v="8"/>
    <x v="2"/>
    <x v="0"/>
    <x v="3"/>
    <x v="2"/>
  </r>
  <r>
    <s v="Singapore"/>
    <x v="3"/>
    <s v="SG3"/>
    <m/>
    <x v="0"/>
    <x v="2"/>
    <x v="4"/>
    <x v="4"/>
    <x v="0"/>
    <x v="0"/>
    <x v="0"/>
    <m/>
    <x v="0"/>
    <x v="0"/>
    <n v="1.307934945"/>
    <m/>
    <x v="1"/>
    <x v="2"/>
    <x v="0"/>
    <x v="2"/>
    <x v="1"/>
  </r>
  <r>
    <s v="Singapore"/>
    <x v="4"/>
    <s v="SG1"/>
    <m/>
    <x v="5"/>
    <x v="3"/>
    <x v="0"/>
    <x v="1"/>
    <x v="0"/>
    <x v="0"/>
    <x v="0"/>
    <m/>
    <x v="0"/>
    <x v="0"/>
    <n v="-0.186948"/>
    <m/>
    <x v="0"/>
    <x v="3"/>
    <x v="0"/>
    <x v="0"/>
    <x v="1"/>
  </r>
  <r>
    <s v="Singapore"/>
    <x v="0"/>
    <s v="SG3"/>
    <m/>
    <x v="0"/>
    <x v="3"/>
    <x v="4"/>
    <x v="4"/>
    <x v="0"/>
    <x v="0"/>
    <x v="0"/>
    <m/>
    <x v="0"/>
    <x v="0"/>
    <n v="6.0967325969999999"/>
    <m/>
    <x v="7"/>
    <x v="1"/>
    <x v="0"/>
    <x v="4"/>
    <x v="0"/>
  </r>
  <r>
    <s v="Singapore"/>
    <x v="4"/>
    <s v="SG1"/>
    <m/>
    <x v="1"/>
    <x v="3"/>
    <x v="0"/>
    <x v="1"/>
    <x v="0"/>
    <x v="0"/>
    <x v="0"/>
    <m/>
    <x v="0"/>
    <x v="0"/>
    <n v="-4.6737000000000001E-2"/>
    <m/>
    <x v="0"/>
    <x v="3"/>
    <x v="0"/>
    <x v="0"/>
    <x v="0"/>
  </r>
  <r>
    <s v="Singapore"/>
    <x v="4"/>
    <s v="SG2"/>
    <m/>
    <x v="4"/>
    <x v="4"/>
    <x v="1"/>
    <x v="5"/>
    <x v="0"/>
    <x v="0"/>
    <x v="0"/>
    <m/>
    <x v="0"/>
    <x v="0"/>
    <n v="-7.7895000000000004E-3"/>
    <m/>
    <x v="0"/>
    <x v="2"/>
    <x v="0"/>
    <x v="1"/>
    <x v="0"/>
  </r>
  <r>
    <s v="Singapore"/>
    <x v="4"/>
    <s v="SG2"/>
    <m/>
    <x v="5"/>
    <x v="1"/>
    <x v="0"/>
    <x v="3"/>
    <x v="0"/>
    <x v="0"/>
    <x v="0"/>
    <m/>
    <x v="0"/>
    <x v="0"/>
    <n v="0.12463200000000001"/>
    <m/>
    <x v="0"/>
    <x v="0"/>
    <x v="0"/>
    <x v="0"/>
    <x v="0"/>
  </r>
  <r>
    <s v="Singapore"/>
    <x v="4"/>
    <s v="SG1"/>
    <m/>
    <x v="2"/>
    <x v="1"/>
    <x v="2"/>
    <x v="2"/>
    <x v="0"/>
    <x v="0"/>
    <x v="0"/>
    <m/>
    <x v="0"/>
    <x v="0"/>
    <n v="-0.15331293900000001"/>
    <m/>
    <x v="0"/>
    <x v="3"/>
    <x v="0"/>
    <x v="3"/>
    <x v="0"/>
  </r>
  <r>
    <s v="Singapore"/>
    <x v="0"/>
    <s v="SG3"/>
    <m/>
    <x v="4"/>
    <x v="2"/>
    <x v="3"/>
    <x v="5"/>
    <x v="0"/>
    <x v="0"/>
    <x v="0"/>
    <m/>
    <x v="0"/>
    <x v="0"/>
    <n v="1.5579000000000001"/>
    <m/>
    <x v="1"/>
    <x v="0"/>
    <x v="0"/>
    <x v="2"/>
    <x v="1"/>
  </r>
  <r>
    <s v="Singapore"/>
    <x v="0"/>
    <s v="SG1"/>
    <m/>
    <x v="0"/>
    <x v="0"/>
    <x v="4"/>
    <x v="2"/>
    <x v="0"/>
    <x v="0"/>
    <x v="0"/>
    <m/>
    <x v="0"/>
    <x v="0"/>
    <n v="-0.1838322"/>
    <m/>
    <x v="4"/>
    <x v="2"/>
    <x v="0"/>
    <x v="1"/>
    <x v="0"/>
  </r>
  <r>
    <s v="Singapore"/>
    <x v="3"/>
    <s v="SG2"/>
    <m/>
    <x v="3"/>
    <x v="4"/>
    <x v="4"/>
    <x v="3"/>
    <x v="0"/>
    <x v="0"/>
    <x v="0"/>
    <m/>
    <x v="0"/>
    <x v="0"/>
    <n v="-0.81010800000000005"/>
    <m/>
    <x v="4"/>
    <x v="0"/>
    <x v="0"/>
    <x v="4"/>
    <x v="1"/>
  </r>
  <r>
    <s v="Singapore"/>
    <x v="0"/>
    <s v="SG3"/>
    <m/>
    <x v="0"/>
    <x v="2"/>
    <x v="0"/>
    <x v="5"/>
    <x v="0"/>
    <x v="0"/>
    <x v="0"/>
    <m/>
    <x v="0"/>
    <x v="0"/>
    <n v="1.2272357250000001"/>
    <m/>
    <x v="1"/>
    <x v="3"/>
    <x v="0"/>
    <x v="5"/>
    <x v="2"/>
  </r>
  <r>
    <s v="Singapore"/>
    <x v="5"/>
    <s v="SG4"/>
    <m/>
    <x v="4"/>
    <x v="2"/>
    <x v="0"/>
    <x v="2"/>
    <x v="0"/>
    <x v="0"/>
    <x v="0"/>
    <m/>
    <x v="0"/>
    <x v="0"/>
    <n v="0.63965816099999995"/>
    <m/>
    <x v="8"/>
    <x v="3"/>
    <x v="0"/>
    <x v="3"/>
    <x v="2"/>
  </r>
  <r>
    <s v="Singapore"/>
    <x v="0"/>
    <s v="SG2"/>
    <m/>
    <x v="2"/>
    <x v="2"/>
    <x v="3"/>
    <x v="4"/>
    <x v="0"/>
    <x v="0"/>
    <x v="0"/>
    <m/>
    <x v="0"/>
    <x v="0"/>
    <n v="-2.7263250000000001"/>
    <m/>
    <x v="1"/>
    <x v="0"/>
    <x v="0"/>
    <x v="3"/>
    <x v="2"/>
  </r>
  <r>
    <s v="Singapore"/>
    <x v="3"/>
    <s v="SG3"/>
    <m/>
    <x v="5"/>
    <x v="2"/>
    <x v="0"/>
    <x v="3"/>
    <x v="0"/>
    <x v="0"/>
    <x v="0"/>
    <m/>
    <x v="0"/>
    <x v="0"/>
    <n v="-0.37389600000000001"/>
    <m/>
    <x v="4"/>
    <x v="0"/>
    <x v="0"/>
    <x v="5"/>
    <x v="0"/>
  </r>
  <r>
    <s v="Singapore"/>
    <x v="4"/>
    <s v="SG1"/>
    <m/>
    <x v="0"/>
    <x v="4"/>
    <x v="1"/>
    <x v="2"/>
    <x v="0"/>
    <x v="0"/>
    <x v="0"/>
    <m/>
    <x v="0"/>
    <x v="0"/>
    <n v="-1.5579000000000001E-2"/>
    <m/>
    <x v="0"/>
    <x v="3"/>
    <x v="0"/>
    <x v="2"/>
    <x v="1"/>
  </r>
  <r>
    <s v="Singapore"/>
    <x v="2"/>
    <s v="SG3"/>
    <m/>
    <x v="3"/>
    <x v="2"/>
    <x v="2"/>
    <x v="5"/>
    <x v="0"/>
    <x v="0"/>
    <x v="0"/>
    <m/>
    <x v="0"/>
    <x v="0"/>
    <n v="0.1838322"/>
    <m/>
    <x v="4"/>
    <x v="3"/>
    <x v="0"/>
    <x v="4"/>
    <x v="2"/>
  </r>
  <r>
    <s v="Singapore"/>
    <x v="0"/>
    <s v="SG2"/>
    <m/>
    <x v="4"/>
    <x v="0"/>
    <x v="2"/>
    <x v="0"/>
    <x v="0"/>
    <x v="0"/>
    <x v="0"/>
    <m/>
    <x v="0"/>
    <x v="0"/>
    <n v="0.37389600000000001"/>
    <m/>
    <x v="1"/>
    <x v="1"/>
    <x v="0"/>
    <x v="5"/>
    <x v="1"/>
  </r>
  <r>
    <s v="Singapore"/>
    <x v="5"/>
    <s v="SG3"/>
    <m/>
    <x v="4"/>
    <x v="1"/>
    <x v="0"/>
    <x v="4"/>
    <x v="0"/>
    <x v="0"/>
    <x v="0"/>
    <m/>
    <x v="0"/>
    <x v="0"/>
    <n v="1.3335468210000001"/>
    <m/>
    <x v="2"/>
    <x v="3"/>
    <x v="0"/>
    <x v="4"/>
    <x v="2"/>
  </r>
  <r>
    <s v="Singapore"/>
    <x v="3"/>
    <s v="SG2"/>
    <m/>
    <x v="2"/>
    <x v="3"/>
    <x v="4"/>
    <x v="4"/>
    <x v="0"/>
    <x v="0"/>
    <x v="0"/>
    <m/>
    <x v="0"/>
    <x v="0"/>
    <n v="-0.43621200000000004"/>
    <m/>
    <x v="1"/>
    <x v="2"/>
    <x v="0"/>
    <x v="0"/>
    <x v="0"/>
  </r>
  <r>
    <s v="Singapore"/>
    <x v="0"/>
    <s v="SG2"/>
    <m/>
    <x v="1"/>
    <x v="3"/>
    <x v="2"/>
    <x v="5"/>
    <x v="0"/>
    <x v="0"/>
    <x v="0"/>
    <m/>
    <x v="0"/>
    <x v="0"/>
    <n v="1.137267"/>
    <m/>
    <x v="1"/>
    <x v="0"/>
    <x v="0"/>
    <x v="4"/>
    <x v="0"/>
  </r>
  <r>
    <s v="Singapore"/>
    <x v="3"/>
    <s v="SG4"/>
    <m/>
    <x v="3"/>
    <x v="3"/>
    <x v="2"/>
    <x v="3"/>
    <x v="0"/>
    <x v="0"/>
    <x v="0"/>
    <m/>
    <x v="0"/>
    <x v="0"/>
    <n v="-4.0505400000000004E-2"/>
    <m/>
    <x v="2"/>
    <x v="0"/>
    <x v="0"/>
    <x v="1"/>
    <x v="1"/>
  </r>
  <r>
    <s v="Singapore"/>
    <x v="0"/>
    <s v="SG3"/>
    <m/>
    <x v="4"/>
    <x v="3"/>
    <x v="2"/>
    <x v="4"/>
    <x v="0"/>
    <x v="0"/>
    <x v="0"/>
    <m/>
    <x v="0"/>
    <x v="0"/>
    <n v="-6.4369312200000008"/>
    <m/>
    <x v="6"/>
    <x v="2"/>
    <x v="0"/>
    <x v="5"/>
    <x v="0"/>
  </r>
  <r>
    <s v="Singapore"/>
    <x v="3"/>
    <s v="SG4"/>
    <m/>
    <x v="1"/>
    <x v="1"/>
    <x v="3"/>
    <x v="4"/>
    <x v="0"/>
    <x v="0"/>
    <x v="0"/>
    <m/>
    <x v="0"/>
    <x v="0"/>
    <n v="-0.12463200000000001"/>
    <m/>
    <x v="0"/>
    <x v="2"/>
    <x v="0"/>
    <x v="1"/>
    <x v="2"/>
  </r>
  <r>
    <s v="Singapore"/>
    <x v="3"/>
    <s v="SG4"/>
    <m/>
    <x v="2"/>
    <x v="1"/>
    <x v="0"/>
    <x v="1"/>
    <x v="0"/>
    <x v="0"/>
    <x v="0"/>
    <m/>
    <x v="0"/>
    <x v="0"/>
    <n v="0.37389600000000001"/>
    <m/>
    <x v="1"/>
    <x v="1"/>
    <x v="0"/>
    <x v="2"/>
    <x v="0"/>
  </r>
  <r>
    <s v="Singapore"/>
    <x v="0"/>
    <s v="SG3"/>
    <m/>
    <x v="0"/>
    <x v="2"/>
    <x v="1"/>
    <x v="5"/>
    <x v="0"/>
    <x v="0"/>
    <x v="0"/>
    <m/>
    <x v="0"/>
    <x v="0"/>
    <n v="-5.1099120000000005"/>
    <m/>
    <x v="11"/>
    <x v="1"/>
    <x v="0"/>
    <x v="1"/>
    <x v="2"/>
  </r>
  <r>
    <s v="Singapore"/>
    <x v="0"/>
    <s v="SG2"/>
    <m/>
    <x v="4"/>
    <x v="2"/>
    <x v="2"/>
    <x v="5"/>
    <x v="0"/>
    <x v="0"/>
    <x v="0"/>
    <m/>
    <x v="0"/>
    <x v="0"/>
    <n v="10.532073897000002"/>
    <m/>
    <x v="8"/>
    <x v="1"/>
    <x v="0"/>
    <x v="3"/>
    <x v="2"/>
  </r>
  <r>
    <s v="Singapore"/>
    <x v="3"/>
    <s v="SG1"/>
    <m/>
    <x v="5"/>
    <x v="0"/>
    <x v="1"/>
    <x v="0"/>
    <x v="0"/>
    <x v="0"/>
    <x v="0"/>
    <m/>
    <x v="0"/>
    <x v="0"/>
    <n v="-1.137267"/>
    <m/>
    <x v="4"/>
    <x v="3"/>
    <x v="0"/>
    <x v="3"/>
    <x v="0"/>
  </r>
  <r>
    <s v="Singapore"/>
    <x v="3"/>
    <s v="SG1"/>
    <m/>
    <x v="4"/>
    <x v="0"/>
    <x v="3"/>
    <x v="2"/>
    <x v="0"/>
    <x v="0"/>
    <x v="0"/>
    <m/>
    <x v="0"/>
    <x v="0"/>
    <n v="2.3680080000000001"/>
    <m/>
    <x v="1"/>
    <x v="3"/>
    <x v="0"/>
    <x v="2"/>
    <x v="0"/>
  </r>
  <r>
    <s v="Singapore"/>
    <x v="3"/>
    <s v="SG2"/>
    <m/>
    <x v="4"/>
    <x v="3"/>
    <x v="2"/>
    <x v="2"/>
    <x v="0"/>
    <x v="0"/>
    <x v="0"/>
    <m/>
    <x v="0"/>
    <x v="0"/>
    <n v="0.12463200000000001"/>
    <m/>
    <x v="0"/>
    <x v="2"/>
    <x v="0"/>
    <x v="2"/>
    <x v="2"/>
  </r>
  <r>
    <s v="Singapore"/>
    <x v="1"/>
    <s v="SG1"/>
    <m/>
    <x v="1"/>
    <x v="0"/>
    <x v="2"/>
    <x v="1"/>
    <x v="0"/>
    <x v="0"/>
    <x v="0"/>
    <m/>
    <x v="0"/>
    <x v="0"/>
    <n v="-0.15579000000000001"/>
    <m/>
    <x v="4"/>
    <x v="0"/>
    <x v="0"/>
    <x v="1"/>
    <x v="2"/>
  </r>
  <r>
    <s v="Singapore"/>
    <x v="3"/>
    <s v="SG4"/>
    <m/>
    <x v="0"/>
    <x v="4"/>
    <x v="1"/>
    <x v="5"/>
    <x v="0"/>
    <x v="0"/>
    <x v="0"/>
    <m/>
    <x v="0"/>
    <x v="0"/>
    <n v="-2.7574830000000001"/>
    <m/>
    <x v="3"/>
    <x v="0"/>
    <x v="0"/>
    <x v="2"/>
    <x v="1"/>
  </r>
  <r>
    <s v="Singapore"/>
    <x v="3"/>
    <s v="SG2"/>
    <m/>
    <x v="5"/>
    <x v="3"/>
    <x v="4"/>
    <x v="5"/>
    <x v="0"/>
    <x v="0"/>
    <x v="0"/>
    <m/>
    <x v="0"/>
    <x v="0"/>
    <n v="-0.12463200000000001"/>
    <m/>
    <x v="0"/>
    <x v="0"/>
    <x v="0"/>
    <x v="2"/>
    <x v="1"/>
  </r>
  <r>
    <s v="Singapore"/>
    <x v="1"/>
    <s v="SG4"/>
    <m/>
    <x v="4"/>
    <x v="3"/>
    <x v="1"/>
    <x v="2"/>
    <x v="0"/>
    <x v="0"/>
    <x v="0"/>
    <m/>
    <x v="0"/>
    <x v="0"/>
    <n v="2.38872807"/>
    <m/>
    <x v="0"/>
    <x v="3"/>
    <x v="0"/>
    <x v="2"/>
    <x v="0"/>
  </r>
  <r>
    <s v="Singapore"/>
    <x v="4"/>
    <s v="SG3"/>
    <m/>
    <x v="2"/>
    <x v="4"/>
    <x v="1"/>
    <x v="3"/>
    <x v="0"/>
    <x v="0"/>
    <x v="0"/>
    <m/>
    <x v="0"/>
    <x v="0"/>
    <n v="-0.31158000000000002"/>
    <m/>
    <x v="4"/>
    <x v="0"/>
    <x v="0"/>
    <x v="4"/>
    <x v="1"/>
  </r>
  <r>
    <s v="Singapore"/>
    <x v="0"/>
    <s v="SG1"/>
    <m/>
    <x v="4"/>
    <x v="3"/>
    <x v="4"/>
    <x v="3"/>
    <x v="0"/>
    <x v="0"/>
    <x v="0"/>
    <m/>
    <x v="0"/>
    <x v="0"/>
    <n v="1.0022282280000001"/>
    <m/>
    <x v="1"/>
    <x v="1"/>
    <x v="0"/>
    <x v="1"/>
    <x v="1"/>
  </r>
  <r>
    <s v="Singapore"/>
    <x v="1"/>
    <s v="SG4"/>
    <m/>
    <x v="3"/>
    <x v="3"/>
    <x v="4"/>
    <x v="0"/>
    <x v="0"/>
    <x v="0"/>
    <x v="0"/>
    <m/>
    <x v="0"/>
    <x v="0"/>
    <n v="0.30223260000000002"/>
    <m/>
    <x v="0"/>
    <x v="0"/>
    <x v="0"/>
    <x v="2"/>
    <x v="0"/>
  </r>
  <r>
    <s v="Singapore"/>
    <x v="2"/>
    <s v="SG4"/>
    <m/>
    <x v="4"/>
    <x v="0"/>
    <x v="2"/>
    <x v="5"/>
    <x v="0"/>
    <x v="0"/>
    <x v="0"/>
    <m/>
    <x v="0"/>
    <x v="0"/>
    <n v="0.15968475000000001"/>
    <m/>
    <x v="7"/>
    <x v="0"/>
    <x v="0"/>
    <x v="2"/>
    <x v="2"/>
  </r>
  <r>
    <s v="Singapore"/>
    <x v="2"/>
    <s v="SG1"/>
    <m/>
    <x v="5"/>
    <x v="1"/>
    <x v="4"/>
    <x v="1"/>
    <x v="0"/>
    <x v="0"/>
    <x v="0"/>
    <m/>
    <x v="0"/>
    <x v="0"/>
    <n v="-0.233685"/>
    <m/>
    <x v="0"/>
    <x v="3"/>
    <x v="0"/>
    <x v="2"/>
    <x v="1"/>
  </r>
  <r>
    <s v="Singapore"/>
    <x v="1"/>
    <s v="SG1"/>
    <m/>
    <x v="0"/>
    <x v="0"/>
    <x v="2"/>
    <x v="5"/>
    <x v="0"/>
    <x v="0"/>
    <x v="0"/>
    <m/>
    <x v="0"/>
    <x v="0"/>
    <n v="-0.22277970000000002"/>
    <m/>
    <x v="6"/>
    <x v="0"/>
    <x v="0"/>
    <x v="1"/>
    <x v="0"/>
  </r>
  <r>
    <s v="Singapore"/>
    <x v="3"/>
    <s v="SG3"/>
    <m/>
    <x v="4"/>
    <x v="2"/>
    <x v="4"/>
    <x v="0"/>
    <x v="0"/>
    <x v="0"/>
    <x v="0"/>
    <m/>
    <x v="0"/>
    <x v="0"/>
    <n v="-26.172720000000002"/>
    <m/>
    <x v="4"/>
    <x v="1"/>
    <x v="0"/>
    <x v="5"/>
    <x v="0"/>
  </r>
  <r>
    <s v="Singapore"/>
    <x v="1"/>
    <s v="SG4"/>
    <m/>
    <x v="3"/>
    <x v="4"/>
    <x v="3"/>
    <x v="1"/>
    <x v="0"/>
    <x v="0"/>
    <x v="0"/>
    <m/>
    <x v="0"/>
    <x v="0"/>
    <n v="1.6797122010000001"/>
    <m/>
    <x v="4"/>
    <x v="2"/>
    <x v="0"/>
    <x v="0"/>
    <x v="2"/>
  </r>
  <r>
    <s v="Singapore"/>
    <x v="3"/>
    <s v="SG4"/>
    <m/>
    <x v="4"/>
    <x v="4"/>
    <x v="2"/>
    <x v="1"/>
    <x v="0"/>
    <x v="0"/>
    <x v="0"/>
    <m/>
    <x v="0"/>
    <x v="0"/>
    <n v="0.140211"/>
    <m/>
    <x v="8"/>
    <x v="3"/>
    <x v="0"/>
    <x v="2"/>
    <x v="2"/>
  </r>
  <r>
    <s v="Singapore"/>
    <x v="0"/>
    <s v="SG2"/>
    <m/>
    <x v="0"/>
    <x v="2"/>
    <x v="2"/>
    <x v="5"/>
    <x v="0"/>
    <x v="0"/>
    <x v="0"/>
    <m/>
    <x v="0"/>
    <x v="0"/>
    <n v="-0.24926400000000001"/>
    <m/>
    <x v="0"/>
    <x v="3"/>
    <x v="0"/>
    <x v="4"/>
    <x v="0"/>
  </r>
  <r>
    <s v="Singapore"/>
    <x v="0"/>
    <s v="SG4"/>
    <m/>
    <x v="3"/>
    <x v="4"/>
    <x v="2"/>
    <x v="5"/>
    <x v="0"/>
    <x v="0"/>
    <x v="0"/>
    <m/>
    <x v="0"/>
    <x v="0"/>
    <n v="-7.7895000000000004E-3"/>
    <m/>
    <x v="3"/>
    <x v="2"/>
    <x v="0"/>
    <x v="5"/>
    <x v="0"/>
  </r>
  <r>
    <s v="Singapore"/>
    <x v="4"/>
    <s v="SG3"/>
    <m/>
    <x v="3"/>
    <x v="0"/>
    <x v="4"/>
    <x v="3"/>
    <x v="0"/>
    <x v="0"/>
    <x v="0"/>
    <m/>
    <x v="0"/>
    <x v="0"/>
    <n v="0.2258955"/>
    <m/>
    <x v="1"/>
    <x v="2"/>
    <x v="0"/>
    <x v="4"/>
    <x v="0"/>
  </r>
  <r>
    <s v="Singapore"/>
    <x v="1"/>
    <s v="SG4"/>
    <m/>
    <x v="1"/>
    <x v="0"/>
    <x v="4"/>
    <x v="4"/>
    <x v="0"/>
    <x v="0"/>
    <x v="0"/>
    <m/>
    <x v="0"/>
    <x v="0"/>
    <n v="-0.12463200000000001"/>
    <m/>
    <x v="0"/>
    <x v="1"/>
    <x v="0"/>
    <x v="3"/>
    <x v="2"/>
  </r>
  <r>
    <s v="Singapore"/>
    <x v="4"/>
    <s v="SG4"/>
    <m/>
    <x v="4"/>
    <x v="0"/>
    <x v="2"/>
    <x v="2"/>
    <x v="0"/>
    <x v="0"/>
    <x v="0"/>
    <m/>
    <x v="0"/>
    <x v="0"/>
    <n v="-1.3680075690000002"/>
    <m/>
    <x v="4"/>
    <x v="3"/>
    <x v="0"/>
    <x v="2"/>
    <x v="2"/>
  </r>
  <r>
    <s v="Singapore"/>
    <x v="0"/>
    <s v="SG4"/>
    <m/>
    <x v="3"/>
    <x v="3"/>
    <x v="0"/>
    <x v="2"/>
    <x v="0"/>
    <x v="0"/>
    <x v="0"/>
    <m/>
    <x v="0"/>
    <x v="0"/>
    <n v="-7.0105500000000001E-2"/>
    <m/>
    <x v="4"/>
    <x v="1"/>
    <x v="0"/>
    <x v="2"/>
    <x v="1"/>
  </r>
  <r>
    <s v="Singapore"/>
    <x v="5"/>
    <s v="SG1"/>
    <m/>
    <x v="4"/>
    <x v="1"/>
    <x v="4"/>
    <x v="1"/>
    <x v="0"/>
    <x v="0"/>
    <x v="0"/>
    <m/>
    <x v="0"/>
    <x v="0"/>
    <n v="-0.21810600000000002"/>
    <m/>
    <x v="4"/>
    <x v="2"/>
    <x v="0"/>
    <x v="4"/>
    <x v="0"/>
  </r>
  <r>
    <s v="Singapore"/>
    <x v="2"/>
    <s v="SG2"/>
    <m/>
    <x v="2"/>
    <x v="2"/>
    <x v="4"/>
    <x v="3"/>
    <x v="0"/>
    <x v="0"/>
    <x v="0"/>
    <m/>
    <x v="0"/>
    <x v="0"/>
    <n v="0.280422"/>
    <m/>
    <x v="8"/>
    <x v="1"/>
    <x v="0"/>
    <x v="4"/>
    <x v="1"/>
  </r>
  <r>
    <s v="Singapore"/>
    <x v="4"/>
    <s v="SG1"/>
    <m/>
    <x v="2"/>
    <x v="1"/>
    <x v="1"/>
    <x v="3"/>
    <x v="0"/>
    <x v="0"/>
    <x v="0"/>
    <m/>
    <x v="0"/>
    <x v="0"/>
    <n v="5.0421433499999999"/>
    <m/>
    <x v="1"/>
    <x v="1"/>
    <x v="0"/>
    <x v="2"/>
    <x v="1"/>
  </r>
  <r>
    <s v="Singapore"/>
    <x v="5"/>
    <s v="SG3"/>
    <m/>
    <x v="5"/>
    <x v="1"/>
    <x v="4"/>
    <x v="5"/>
    <x v="0"/>
    <x v="0"/>
    <x v="0"/>
    <m/>
    <x v="0"/>
    <x v="0"/>
    <n v="2.7263250000000001"/>
    <m/>
    <x v="1"/>
    <x v="1"/>
    <x v="0"/>
    <x v="1"/>
    <x v="0"/>
  </r>
  <r>
    <s v="Singapore"/>
    <x v="1"/>
    <s v="SG4"/>
    <m/>
    <x v="1"/>
    <x v="4"/>
    <x v="1"/>
    <x v="4"/>
    <x v="0"/>
    <x v="0"/>
    <x v="0"/>
    <m/>
    <x v="0"/>
    <x v="0"/>
    <n v="-0.12463200000000001"/>
    <m/>
    <x v="4"/>
    <x v="1"/>
    <x v="0"/>
    <x v="1"/>
    <x v="1"/>
  </r>
  <r>
    <s v="Singapore"/>
    <x v="4"/>
    <s v="SG3"/>
    <m/>
    <x v="1"/>
    <x v="0"/>
    <x v="0"/>
    <x v="2"/>
    <x v="0"/>
    <x v="0"/>
    <x v="0"/>
    <m/>
    <x v="0"/>
    <x v="0"/>
    <n v="-0.545265"/>
    <m/>
    <x v="0"/>
    <x v="2"/>
    <x v="0"/>
    <x v="3"/>
    <x v="1"/>
  </r>
  <r>
    <s v="Singapore"/>
    <x v="4"/>
    <s v="SG2"/>
    <m/>
    <x v="1"/>
    <x v="2"/>
    <x v="4"/>
    <x v="2"/>
    <x v="0"/>
    <x v="0"/>
    <x v="0"/>
    <m/>
    <x v="0"/>
    <x v="0"/>
    <n v="0.15579000000000001"/>
    <m/>
    <x v="0"/>
    <x v="2"/>
    <x v="0"/>
    <x v="2"/>
    <x v="0"/>
  </r>
  <r>
    <s v="Singapore"/>
    <x v="0"/>
    <s v="SG3"/>
    <m/>
    <x v="0"/>
    <x v="2"/>
    <x v="2"/>
    <x v="0"/>
    <x v="0"/>
    <x v="0"/>
    <x v="0"/>
    <m/>
    <x v="0"/>
    <x v="0"/>
    <n v="-0.140211"/>
    <m/>
    <x v="0"/>
    <x v="2"/>
    <x v="0"/>
    <x v="0"/>
    <x v="0"/>
  </r>
  <r>
    <s v="Singapore"/>
    <x v="1"/>
    <s v="SG2"/>
    <m/>
    <x v="1"/>
    <x v="4"/>
    <x v="1"/>
    <x v="5"/>
    <x v="0"/>
    <x v="0"/>
    <x v="0"/>
    <m/>
    <x v="0"/>
    <x v="0"/>
    <n v="-0.14337353700000002"/>
    <m/>
    <x v="0"/>
    <x v="0"/>
    <x v="0"/>
    <x v="0"/>
    <x v="2"/>
  </r>
  <r>
    <s v="Singapore"/>
    <x v="0"/>
    <s v="SG3"/>
    <m/>
    <x v="0"/>
    <x v="4"/>
    <x v="1"/>
    <x v="5"/>
    <x v="0"/>
    <x v="0"/>
    <x v="0"/>
    <m/>
    <x v="0"/>
    <x v="0"/>
    <n v="-0.70105499999999998"/>
    <m/>
    <x v="4"/>
    <x v="0"/>
    <x v="0"/>
    <x v="5"/>
    <x v="2"/>
  </r>
  <r>
    <s v="Singapore"/>
    <x v="1"/>
    <s v="SG2"/>
    <m/>
    <x v="5"/>
    <x v="4"/>
    <x v="0"/>
    <x v="4"/>
    <x v="0"/>
    <x v="0"/>
    <x v="0"/>
    <m/>
    <x v="0"/>
    <x v="0"/>
    <n v="-6.0571152000000001"/>
    <m/>
    <x v="8"/>
    <x v="1"/>
    <x v="0"/>
    <x v="3"/>
    <x v="1"/>
  </r>
  <r>
    <s v="Singapore"/>
    <x v="4"/>
    <s v="SG2"/>
    <m/>
    <x v="4"/>
    <x v="0"/>
    <x v="1"/>
    <x v="0"/>
    <x v="0"/>
    <x v="0"/>
    <x v="0"/>
    <m/>
    <x v="0"/>
    <x v="0"/>
    <n v="0.37389600000000001"/>
    <m/>
    <x v="4"/>
    <x v="0"/>
    <x v="0"/>
    <x v="3"/>
    <x v="1"/>
  </r>
  <r>
    <s v="Singapore"/>
    <x v="4"/>
    <s v="SG2"/>
    <m/>
    <x v="0"/>
    <x v="0"/>
    <x v="2"/>
    <x v="1"/>
    <x v="0"/>
    <x v="0"/>
    <x v="0"/>
    <m/>
    <x v="0"/>
    <x v="0"/>
    <n v="0.59979150000000003"/>
    <m/>
    <x v="8"/>
    <x v="0"/>
    <x v="0"/>
    <x v="0"/>
    <x v="1"/>
  </r>
  <r>
    <s v="Singapore"/>
    <x v="2"/>
    <s v="SG3"/>
    <m/>
    <x v="0"/>
    <x v="2"/>
    <x v="1"/>
    <x v="3"/>
    <x v="0"/>
    <x v="0"/>
    <x v="0"/>
    <m/>
    <x v="0"/>
    <x v="0"/>
    <n v="-0.21810600000000002"/>
    <m/>
    <x v="1"/>
    <x v="3"/>
    <x v="0"/>
    <x v="4"/>
    <x v="1"/>
  </r>
  <r>
    <s v="Singapore"/>
    <x v="0"/>
    <s v="SG3"/>
    <m/>
    <x v="5"/>
    <x v="2"/>
    <x v="3"/>
    <x v="1"/>
    <x v="0"/>
    <x v="0"/>
    <x v="0"/>
    <m/>
    <x v="0"/>
    <x v="0"/>
    <n v="-0.12463200000000001"/>
    <m/>
    <x v="6"/>
    <x v="0"/>
    <x v="0"/>
    <x v="0"/>
    <x v="1"/>
  </r>
  <r>
    <s v="Singapore"/>
    <x v="2"/>
    <s v="SG1"/>
    <m/>
    <x v="0"/>
    <x v="4"/>
    <x v="2"/>
    <x v="0"/>
    <x v="0"/>
    <x v="0"/>
    <x v="0"/>
    <m/>
    <x v="0"/>
    <x v="0"/>
    <n v="1.0801232280000002"/>
    <m/>
    <x v="1"/>
    <x v="1"/>
    <x v="0"/>
    <x v="4"/>
    <x v="0"/>
  </r>
  <r>
    <s v="Singapore"/>
    <x v="5"/>
    <s v="SG4"/>
    <m/>
    <x v="2"/>
    <x v="1"/>
    <x v="2"/>
    <x v="5"/>
    <x v="0"/>
    <x v="0"/>
    <x v="0"/>
    <m/>
    <x v="0"/>
    <x v="0"/>
    <n v="-3.1158000000000002E-2"/>
    <m/>
    <x v="0"/>
    <x v="3"/>
    <x v="0"/>
    <x v="2"/>
    <x v="2"/>
  </r>
  <r>
    <s v="Singapore"/>
    <x v="4"/>
    <s v="SG2"/>
    <m/>
    <x v="2"/>
    <x v="4"/>
    <x v="1"/>
    <x v="1"/>
    <x v="0"/>
    <x v="0"/>
    <x v="0"/>
    <m/>
    <x v="0"/>
    <x v="0"/>
    <n v="0.15579000000000001"/>
    <m/>
    <x v="1"/>
    <x v="0"/>
    <x v="0"/>
    <x v="4"/>
    <x v="1"/>
  </r>
  <r>
    <s v="Singapore"/>
    <x v="3"/>
    <s v="SG3"/>
    <m/>
    <x v="5"/>
    <x v="1"/>
    <x v="4"/>
    <x v="4"/>
    <x v="0"/>
    <x v="0"/>
    <x v="0"/>
    <m/>
    <x v="0"/>
    <x v="0"/>
    <n v="-13.320045"/>
    <m/>
    <x v="1"/>
    <x v="3"/>
    <x v="0"/>
    <x v="0"/>
    <x v="1"/>
  </r>
  <r>
    <s v="Singapore"/>
    <x v="0"/>
    <s v="SG4"/>
    <m/>
    <x v="0"/>
    <x v="4"/>
    <x v="0"/>
    <x v="3"/>
    <x v="0"/>
    <x v="0"/>
    <x v="0"/>
    <m/>
    <x v="0"/>
    <x v="0"/>
    <n v="-2.4677136000000002E-2"/>
    <m/>
    <x v="6"/>
    <x v="0"/>
    <x v="0"/>
    <x v="4"/>
    <x v="0"/>
  </r>
  <r>
    <s v="Singapore"/>
    <x v="2"/>
    <s v="SG4"/>
    <m/>
    <x v="3"/>
    <x v="3"/>
    <x v="2"/>
    <x v="2"/>
    <x v="0"/>
    <x v="0"/>
    <x v="0"/>
    <m/>
    <x v="0"/>
    <x v="0"/>
    <n v="-0.24926400000000001"/>
    <m/>
    <x v="0"/>
    <x v="1"/>
    <x v="0"/>
    <x v="5"/>
    <x v="2"/>
  </r>
  <r>
    <s v="Singapore"/>
    <x v="1"/>
    <s v="SG4"/>
    <m/>
    <x v="5"/>
    <x v="4"/>
    <x v="3"/>
    <x v="3"/>
    <x v="0"/>
    <x v="0"/>
    <x v="0"/>
    <m/>
    <x v="0"/>
    <x v="0"/>
    <n v="-4.6737000000000001E-2"/>
    <m/>
    <x v="0"/>
    <x v="3"/>
    <x v="0"/>
    <x v="2"/>
    <x v="1"/>
  </r>
  <r>
    <s v="Singapore"/>
    <x v="0"/>
    <s v="SG4"/>
    <m/>
    <x v="5"/>
    <x v="3"/>
    <x v="4"/>
    <x v="1"/>
    <x v="0"/>
    <x v="0"/>
    <x v="0"/>
    <m/>
    <x v="0"/>
    <x v="0"/>
    <n v="2.18106"/>
    <m/>
    <x v="1"/>
    <x v="0"/>
    <x v="0"/>
    <x v="4"/>
    <x v="0"/>
  </r>
  <r>
    <s v="Singapore"/>
    <x v="5"/>
    <s v="SG4"/>
    <m/>
    <x v="3"/>
    <x v="2"/>
    <x v="1"/>
    <x v="3"/>
    <x v="0"/>
    <x v="0"/>
    <x v="0"/>
    <m/>
    <x v="0"/>
    <x v="0"/>
    <n v="1.9182266910000001"/>
    <m/>
    <x v="1"/>
    <x v="2"/>
    <x v="0"/>
    <x v="5"/>
    <x v="1"/>
  </r>
  <r>
    <s v="Singapore"/>
    <x v="3"/>
    <s v="SG3"/>
    <m/>
    <x v="5"/>
    <x v="3"/>
    <x v="4"/>
    <x v="4"/>
    <x v="0"/>
    <x v="0"/>
    <x v="0"/>
    <m/>
    <x v="0"/>
    <x v="0"/>
    <n v="-0.12463200000000001"/>
    <m/>
    <x v="4"/>
    <x v="0"/>
    <x v="0"/>
    <x v="5"/>
    <x v="1"/>
  </r>
  <r>
    <s v="Singapore"/>
    <x v="5"/>
    <s v="SG3"/>
    <m/>
    <x v="0"/>
    <x v="2"/>
    <x v="2"/>
    <x v="0"/>
    <x v="0"/>
    <x v="0"/>
    <x v="0"/>
    <m/>
    <x v="0"/>
    <x v="0"/>
    <n v="-4.6737000000000001E-2"/>
    <m/>
    <x v="0"/>
    <x v="0"/>
    <x v="0"/>
    <x v="0"/>
    <x v="1"/>
  </r>
  <r>
    <s v="Singapore"/>
    <x v="2"/>
    <s v="SG3"/>
    <m/>
    <x v="2"/>
    <x v="3"/>
    <x v="2"/>
    <x v="1"/>
    <x v="0"/>
    <x v="0"/>
    <x v="0"/>
    <m/>
    <x v="0"/>
    <x v="0"/>
    <n v="-4.6737000000000001E-2"/>
    <m/>
    <x v="4"/>
    <x v="2"/>
    <x v="0"/>
    <x v="5"/>
    <x v="1"/>
  </r>
  <r>
    <s v="Singapore"/>
    <x v="0"/>
    <s v="SG2"/>
    <m/>
    <x v="2"/>
    <x v="4"/>
    <x v="2"/>
    <x v="3"/>
    <x v="0"/>
    <x v="0"/>
    <x v="0"/>
    <m/>
    <x v="0"/>
    <x v="0"/>
    <n v="-0.31158000000000002"/>
    <m/>
    <x v="0"/>
    <x v="0"/>
    <x v="0"/>
    <x v="5"/>
    <x v="2"/>
  </r>
  <r>
    <s v="Singapore"/>
    <x v="1"/>
    <s v="SG3"/>
    <m/>
    <x v="4"/>
    <x v="1"/>
    <x v="1"/>
    <x v="1"/>
    <x v="0"/>
    <x v="0"/>
    <x v="0"/>
    <m/>
    <x v="0"/>
    <x v="0"/>
    <n v="1.2282950969999999"/>
    <m/>
    <x v="1"/>
    <x v="2"/>
    <x v="0"/>
    <x v="5"/>
    <x v="0"/>
  </r>
  <r>
    <s v="Singapore"/>
    <x v="1"/>
    <s v="SG3"/>
    <m/>
    <x v="4"/>
    <x v="0"/>
    <x v="4"/>
    <x v="0"/>
    <x v="0"/>
    <x v="0"/>
    <x v="0"/>
    <m/>
    <x v="0"/>
    <x v="0"/>
    <n v="4.3699095000000003"/>
    <m/>
    <x v="1"/>
    <x v="0"/>
    <x v="0"/>
    <x v="2"/>
    <x v="1"/>
  </r>
  <r>
    <s v="Singapore"/>
    <x v="4"/>
    <s v="SG2"/>
    <m/>
    <x v="0"/>
    <x v="3"/>
    <x v="0"/>
    <x v="4"/>
    <x v="0"/>
    <x v="0"/>
    <x v="0"/>
    <m/>
    <x v="0"/>
    <x v="0"/>
    <n v="-7.7895000000000006E-2"/>
    <m/>
    <x v="0"/>
    <x v="2"/>
    <x v="0"/>
    <x v="5"/>
    <x v="0"/>
  </r>
  <r>
    <s v="Singapore"/>
    <x v="2"/>
    <s v="SG2"/>
    <m/>
    <x v="2"/>
    <x v="4"/>
    <x v="2"/>
    <x v="4"/>
    <x v="0"/>
    <x v="0"/>
    <x v="0"/>
    <m/>
    <x v="0"/>
    <x v="0"/>
    <n v="1.6591635"/>
    <m/>
    <x v="1"/>
    <x v="3"/>
    <x v="0"/>
    <x v="0"/>
    <x v="0"/>
  </r>
  <r>
    <s v="Singapore"/>
    <x v="0"/>
    <s v="SG3"/>
    <m/>
    <x v="2"/>
    <x v="2"/>
    <x v="0"/>
    <x v="5"/>
    <x v="0"/>
    <x v="0"/>
    <x v="0"/>
    <m/>
    <x v="0"/>
    <x v="0"/>
    <n v="-0.98147700000000004"/>
    <m/>
    <x v="0"/>
    <x v="2"/>
    <x v="0"/>
    <x v="1"/>
    <x v="1"/>
  </r>
  <r>
    <s v="Singapore"/>
    <x v="5"/>
    <s v="SG3"/>
    <m/>
    <x v="4"/>
    <x v="3"/>
    <x v="0"/>
    <x v="1"/>
    <x v="0"/>
    <x v="0"/>
    <x v="0"/>
    <m/>
    <x v="0"/>
    <x v="0"/>
    <n v="1.5280194780000003"/>
    <m/>
    <x v="5"/>
    <x v="0"/>
    <x v="0"/>
    <x v="5"/>
    <x v="2"/>
  </r>
  <r>
    <s v="Singapore"/>
    <x v="1"/>
    <s v="SG4"/>
    <m/>
    <x v="1"/>
    <x v="0"/>
    <x v="3"/>
    <x v="1"/>
    <x v="0"/>
    <x v="0"/>
    <x v="0"/>
    <m/>
    <x v="0"/>
    <x v="0"/>
    <n v="-4.6737000000000001E-2"/>
    <m/>
    <x v="0"/>
    <x v="3"/>
    <x v="0"/>
    <x v="1"/>
    <x v="1"/>
  </r>
  <r>
    <s v="Singapore"/>
    <x v="3"/>
    <s v="SG1"/>
    <m/>
    <x v="0"/>
    <x v="2"/>
    <x v="3"/>
    <x v="4"/>
    <x v="0"/>
    <x v="0"/>
    <x v="0"/>
    <m/>
    <x v="0"/>
    <x v="0"/>
    <n v="-0.24926400000000001"/>
    <m/>
    <x v="0"/>
    <x v="1"/>
    <x v="0"/>
    <x v="4"/>
    <x v="2"/>
  </r>
  <r>
    <s v="Singapore"/>
    <x v="0"/>
    <s v="SG1"/>
    <m/>
    <x v="0"/>
    <x v="3"/>
    <x v="0"/>
    <x v="0"/>
    <x v="0"/>
    <x v="0"/>
    <x v="0"/>
    <m/>
    <x v="0"/>
    <x v="0"/>
    <n v="7.0105500000000001E-2"/>
    <m/>
    <x v="1"/>
    <x v="3"/>
    <x v="0"/>
    <x v="2"/>
    <x v="1"/>
  </r>
  <r>
    <s v="Singapore"/>
    <x v="3"/>
    <s v="SG3"/>
    <m/>
    <x v="5"/>
    <x v="4"/>
    <x v="0"/>
    <x v="1"/>
    <x v="0"/>
    <x v="0"/>
    <x v="0"/>
    <m/>
    <x v="0"/>
    <x v="0"/>
    <n v="0.94252950000000002"/>
    <m/>
    <x v="1"/>
    <x v="0"/>
    <x v="0"/>
    <x v="4"/>
    <x v="1"/>
  </r>
  <r>
    <s v="Singapore"/>
    <x v="0"/>
    <s v="SG3"/>
    <m/>
    <x v="0"/>
    <x v="3"/>
    <x v="0"/>
    <x v="1"/>
    <x v="0"/>
    <x v="0"/>
    <x v="0"/>
    <m/>
    <x v="0"/>
    <x v="0"/>
    <n v="-7.0261290000000004E-2"/>
    <m/>
    <x v="3"/>
    <x v="1"/>
    <x v="0"/>
    <x v="1"/>
    <x v="2"/>
  </r>
  <r>
    <s v="Singapore"/>
    <x v="1"/>
    <s v="SG3"/>
    <m/>
    <x v="1"/>
    <x v="0"/>
    <x v="4"/>
    <x v="3"/>
    <x v="0"/>
    <x v="0"/>
    <x v="0"/>
    <m/>
    <x v="0"/>
    <x v="0"/>
    <n v="0.42063300000000003"/>
    <m/>
    <x v="4"/>
    <x v="1"/>
    <x v="0"/>
    <x v="5"/>
    <x v="1"/>
  </r>
  <r>
    <s v="Singapore"/>
    <x v="0"/>
    <s v="SG2"/>
    <m/>
    <x v="4"/>
    <x v="0"/>
    <x v="0"/>
    <x v="0"/>
    <x v="0"/>
    <x v="0"/>
    <x v="0"/>
    <m/>
    <x v="0"/>
    <x v="0"/>
    <n v="-0.17136900000000002"/>
    <m/>
    <x v="8"/>
    <x v="0"/>
    <x v="0"/>
    <x v="4"/>
    <x v="0"/>
  </r>
  <r>
    <s v="Singapore"/>
    <x v="5"/>
    <s v="SG2"/>
    <m/>
    <x v="5"/>
    <x v="1"/>
    <x v="0"/>
    <x v="4"/>
    <x v="0"/>
    <x v="0"/>
    <x v="0"/>
    <m/>
    <x v="0"/>
    <x v="0"/>
    <n v="0.17984397600000002"/>
    <m/>
    <x v="1"/>
    <x v="0"/>
    <x v="0"/>
    <x v="2"/>
    <x v="0"/>
  </r>
  <r>
    <s v="Singapore"/>
    <x v="3"/>
    <s v="SG4"/>
    <m/>
    <x v="3"/>
    <x v="4"/>
    <x v="4"/>
    <x v="4"/>
    <x v="0"/>
    <x v="0"/>
    <x v="0"/>
    <m/>
    <x v="0"/>
    <x v="0"/>
    <n v="-0.12463200000000001"/>
    <m/>
    <x v="1"/>
    <x v="2"/>
    <x v="0"/>
    <x v="3"/>
    <x v="2"/>
  </r>
  <r>
    <s v="Singapore"/>
    <x v="4"/>
    <s v="SG3"/>
    <m/>
    <x v="1"/>
    <x v="1"/>
    <x v="3"/>
    <x v="2"/>
    <x v="0"/>
    <x v="0"/>
    <x v="0"/>
    <m/>
    <x v="0"/>
    <x v="0"/>
    <n v="1.1429533350000001"/>
    <m/>
    <x v="1"/>
    <x v="0"/>
    <x v="0"/>
    <x v="4"/>
    <x v="1"/>
  </r>
  <r>
    <s v="Singapore"/>
    <x v="2"/>
    <s v="SG4"/>
    <m/>
    <x v="3"/>
    <x v="0"/>
    <x v="0"/>
    <x v="1"/>
    <x v="0"/>
    <x v="0"/>
    <x v="0"/>
    <m/>
    <x v="0"/>
    <x v="0"/>
    <n v="175.215205836"/>
    <m/>
    <x v="5"/>
    <x v="0"/>
    <x v="0"/>
    <x v="0"/>
    <x v="1"/>
  </r>
  <r>
    <s v="Singapore"/>
    <x v="2"/>
    <s v="SG3"/>
    <m/>
    <x v="4"/>
    <x v="1"/>
    <x v="1"/>
    <x v="4"/>
    <x v="0"/>
    <x v="0"/>
    <x v="0"/>
    <m/>
    <x v="0"/>
    <x v="0"/>
    <n v="-0.12626779500000002"/>
    <m/>
    <x v="4"/>
    <x v="2"/>
    <x v="0"/>
    <x v="1"/>
    <x v="0"/>
  </r>
  <r>
    <s v="Singapore"/>
    <x v="0"/>
    <s v="SG3"/>
    <m/>
    <x v="1"/>
    <x v="2"/>
    <x v="0"/>
    <x v="1"/>
    <x v="0"/>
    <x v="0"/>
    <x v="0"/>
    <m/>
    <x v="0"/>
    <x v="0"/>
    <n v="-0.140288895"/>
    <m/>
    <x v="4"/>
    <x v="0"/>
    <x v="0"/>
    <x v="4"/>
    <x v="1"/>
  </r>
  <r>
    <s v="Singapore"/>
    <x v="2"/>
    <s v="SG4"/>
    <m/>
    <x v="4"/>
    <x v="4"/>
    <x v="1"/>
    <x v="2"/>
    <x v="0"/>
    <x v="0"/>
    <x v="0"/>
    <m/>
    <x v="0"/>
    <x v="0"/>
    <n v="0.46737000000000001"/>
    <m/>
    <x v="0"/>
    <x v="2"/>
    <x v="0"/>
    <x v="1"/>
    <x v="2"/>
  </r>
  <r>
    <s v="Singapore"/>
    <x v="4"/>
    <s v="SG2"/>
    <m/>
    <x v="2"/>
    <x v="1"/>
    <x v="4"/>
    <x v="1"/>
    <x v="0"/>
    <x v="0"/>
    <x v="0"/>
    <m/>
    <x v="0"/>
    <x v="0"/>
    <n v="0.46737000000000001"/>
    <m/>
    <x v="0"/>
    <x v="3"/>
    <x v="0"/>
    <x v="3"/>
    <x v="1"/>
  </r>
  <r>
    <s v="Singapore"/>
    <x v="3"/>
    <s v="SG2"/>
    <m/>
    <x v="4"/>
    <x v="3"/>
    <x v="2"/>
    <x v="5"/>
    <x v="0"/>
    <x v="0"/>
    <x v="0"/>
    <m/>
    <x v="0"/>
    <x v="0"/>
    <n v="-2.8556307000000003"/>
    <m/>
    <x v="1"/>
    <x v="3"/>
    <x v="0"/>
    <x v="1"/>
    <x v="0"/>
  </r>
  <r>
    <s v="Singapore"/>
    <x v="2"/>
    <s v="SG2"/>
    <m/>
    <x v="4"/>
    <x v="1"/>
    <x v="0"/>
    <x v="0"/>
    <x v="0"/>
    <x v="0"/>
    <x v="0"/>
    <m/>
    <x v="0"/>
    <x v="0"/>
    <n v="-0.545265"/>
    <m/>
    <x v="4"/>
    <x v="1"/>
    <x v="0"/>
    <x v="3"/>
    <x v="1"/>
  </r>
  <r>
    <s v="Singapore"/>
    <x v="0"/>
    <s v="SG1"/>
    <m/>
    <x v="1"/>
    <x v="3"/>
    <x v="0"/>
    <x v="4"/>
    <x v="0"/>
    <x v="0"/>
    <x v="0"/>
    <m/>
    <x v="0"/>
    <x v="0"/>
    <n v="-9.3474000000000002E-2"/>
    <m/>
    <x v="0"/>
    <x v="3"/>
    <x v="0"/>
    <x v="2"/>
    <x v="1"/>
  </r>
  <r>
    <s v="Singapore"/>
    <x v="3"/>
    <s v="SG2"/>
    <m/>
    <x v="1"/>
    <x v="3"/>
    <x v="0"/>
    <x v="1"/>
    <x v="0"/>
    <x v="0"/>
    <x v="0"/>
    <m/>
    <x v="0"/>
    <x v="0"/>
    <n v="-0.59200200000000003"/>
    <m/>
    <x v="1"/>
    <x v="2"/>
    <x v="0"/>
    <x v="0"/>
    <x v="0"/>
  </r>
  <r>
    <s v="Singapore"/>
    <x v="5"/>
    <s v="SG1"/>
    <m/>
    <x v="2"/>
    <x v="2"/>
    <x v="3"/>
    <x v="4"/>
    <x v="0"/>
    <x v="0"/>
    <x v="0"/>
    <m/>
    <x v="0"/>
    <x v="0"/>
    <n v="0.1324215"/>
    <m/>
    <x v="1"/>
    <x v="0"/>
    <x v="0"/>
    <x v="1"/>
    <x v="2"/>
  </r>
  <r>
    <s v="Singapore"/>
    <x v="2"/>
    <s v="SG4"/>
    <m/>
    <x v="4"/>
    <x v="4"/>
    <x v="4"/>
    <x v="4"/>
    <x v="0"/>
    <x v="0"/>
    <x v="0"/>
    <m/>
    <x v="0"/>
    <x v="0"/>
    <n v="-0.25705349999999999"/>
    <m/>
    <x v="0"/>
    <x v="2"/>
    <x v="0"/>
    <x v="1"/>
    <x v="0"/>
  </r>
  <r>
    <s v="Singapore"/>
    <x v="3"/>
    <s v="SG4"/>
    <m/>
    <x v="0"/>
    <x v="4"/>
    <x v="1"/>
    <x v="5"/>
    <x v="0"/>
    <x v="0"/>
    <x v="0"/>
    <m/>
    <x v="0"/>
    <x v="0"/>
    <n v="-4.6737000000000001E-2"/>
    <m/>
    <x v="0"/>
    <x v="3"/>
    <x v="0"/>
    <x v="5"/>
    <x v="2"/>
  </r>
  <r>
    <s v="Singapore"/>
    <x v="4"/>
    <s v="SG2"/>
    <m/>
    <x v="5"/>
    <x v="4"/>
    <x v="0"/>
    <x v="4"/>
    <x v="0"/>
    <x v="0"/>
    <x v="0"/>
    <m/>
    <x v="0"/>
    <x v="0"/>
    <n v="11.905970328"/>
    <m/>
    <x v="7"/>
    <x v="1"/>
    <x v="0"/>
    <x v="0"/>
    <x v="1"/>
  </r>
  <r>
    <s v="Singapore"/>
    <x v="1"/>
    <s v="SG3"/>
    <m/>
    <x v="4"/>
    <x v="2"/>
    <x v="2"/>
    <x v="0"/>
    <x v="0"/>
    <x v="0"/>
    <x v="0"/>
    <m/>
    <x v="0"/>
    <x v="0"/>
    <n v="-0.10905300000000001"/>
    <m/>
    <x v="4"/>
    <x v="1"/>
    <x v="0"/>
    <x v="1"/>
    <x v="0"/>
  </r>
  <r>
    <s v="Singapore"/>
    <x v="3"/>
    <s v="SG2"/>
    <m/>
    <x v="2"/>
    <x v="1"/>
    <x v="3"/>
    <x v="4"/>
    <x v="0"/>
    <x v="0"/>
    <x v="0"/>
    <m/>
    <x v="0"/>
    <x v="0"/>
    <n v="-0.18881748000000001"/>
    <m/>
    <x v="3"/>
    <x v="2"/>
    <x v="0"/>
    <x v="1"/>
    <x v="2"/>
  </r>
  <r>
    <s v="Singapore"/>
    <x v="2"/>
    <s v="SG3"/>
    <m/>
    <x v="3"/>
    <x v="0"/>
    <x v="4"/>
    <x v="0"/>
    <x v="0"/>
    <x v="0"/>
    <x v="0"/>
    <m/>
    <x v="0"/>
    <x v="0"/>
    <n v="-0.62316000000000005"/>
    <m/>
    <x v="4"/>
    <x v="0"/>
    <x v="0"/>
    <x v="0"/>
    <x v="2"/>
  </r>
  <r>
    <s v="Singapore"/>
    <x v="5"/>
    <s v="SG2"/>
    <m/>
    <x v="4"/>
    <x v="4"/>
    <x v="0"/>
    <x v="3"/>
    <x v="0"/>
    <x v="0"/>
    <x v="0"/>
    <m/>
    <x v="0"/>
    <x v="0"/>
    <n v="-0.21810600000000002"/>
    <m/>
    <x v="4"/>
    <x v="2"/>
    <x v="0"/>
    <x v="3"/>
    <x v="1"/>
  </r>
  <r>
    <s v="Singapore"/>
    <x v="2"/>
    <s v="SG4"/>
    <m/>
    <x v="5"/>
    <x v="0"/>
    <x v="2"/>
    <x v="0"/>
    <x v="0"/>
    <x v="0"/>
    <x v="0"/>
    <m/>
    <x v="0"/>
    <x v="0"/>
    <n v="35.146224000000004"/>
    <m/>
    <x v="2"/>
    <x v="1"/>
    <x v="0"/>
    <x v="0"/>
    <x v="1"/>
  </r>
  <r>
    <s v="Singapore"/>
    <x v="1"/>
    <s v="SG1"/>
    <m/>
    <x v="1"/>
    <x v="4"/>
    <x v="0"/>
    <x v="0"/>
    <x v="0"/>
    <x v="0"/>
    <x v="0"/>
    <m/>
    <x v="0"/>
    <x v="0"/>
    <n v="-93.474000000000004"/>
    <m/>
    <x v="6"/>
    <x v="0"/>
    <x v="0"/>
    <x v="0"/>
    <x v="2"/>
  </r>
  <r>
    <s v="Singapore"/>
    <x v="4"/>
    <s v="SG2"/>
    <m/>
    <x v="3"/>
    <x v="0"/>
    <x v="2"/>
    <x v="2"/>
    <x v="0"/>
    <x v="0"/>
    <x v="0"/>
    <m/>
    <x v="0"/>
    <x v="0"/>
    <n v="-0.1838322"/>
    <m/>
    <x v="4"/>
    <x v="0"/>
    <x v="0"/>
    <x v="2"/>
    <x v="0"/>
  </r>
  <r>
    <s v="Singapore"/>
    <x v="5"/>
    <s v="SG3"/>
    <m/>
    <x v="4"/>
    <x v="4"/>
    <x v="0"/>
    <x v="2"/>
    <x v="0"/>
    <x v="0"/>
    <x v="0"/>
    <m/>
    <x v="0"/>
    <x v="0"/>
    <n v="6.2316000000000003E-3"/>
    <m/>
    <x v="6"/>
    <x v="2"/>
    <x v="0"/>
    <x v="5"/>
    <x v="2"/>
  </r>
  <r>
    <s v="Singapore"/>
    <x v="4"/>
    <s v="SG4"/>
    <m/>
    <x v="4"/>
    <x v="2"/>
    <x v="4"/>
    <x v="3"/>
    <x v="0"/>
    <x v="0"/>
    <x v="0"/>
    <m/>
    <x v="0"/>
    <x v="0"/>
    <n v="-0.12463200000000001"/>
    <m/>
    <x v="0"/>
    <x v="1"/>
    <x v="0"/>
    <x v="4"/>
    <x v="1"/>
  </r>
  <r>
    <s v="Singapore"/>
    <x v="0"/>
    <s v="SG2"/>
    <m/>
    <x v="1"/>
    <x v="4"/>
    <x v="2"/>
    <x v="4"/>
    <x v="0"/>
    <x v="0"/>
    <x v="0"/>
    <m/>
    <x v="0"/>
    <x v="0"/>
    <n v="0.17839512900000001"/>
    <m/>
    <x v="1"/>
    <x v="2"/>
    <x v="0"/>
    <x v="3"/>
    <x v="2"/>
  </r>
  <r>
    <s v="Singapore"/>
    <x v="2"/>
    <s v="SG3"/>
    <m/>
    <x v="3"/>
    <x v="3"/>
    <x v="3"/>
    <x v="2"/>
    <x v="0"/>
    <x v="0"/>
    <x v="0"/>
    <m/>
    <x v="0"/>
    <x v="0"/>
    <n v="-4.6737000000000001E-2"/>
    <m/>
    <x v="0"/>
    <x v="2"/>
    <x v="0"/>
    <x v="5"/>
    <x v="0"/>
  </r>
  <r>
    <s v="Singapore"/>
    <x v="1"/>
    <s v="SG2"/>
    <m/>
    <x v="2"/>
    <x v="1"/>
    <x v="0"/>
    <x v="2"/>
    <x v="0"/>
    <x v="0"/>
    <x v="0"/>
    <m/>
    <x v="0"/>
    <x v="0"/>
    <n v="0.1838322"/>
    <m/>
    <x v="4"/>
    <x v="0"/>
    <x v="0"/>
    <x v="5"/>
    <x v="1"/>
  </r>
  <r>
    <s v="Singapore"/>
    <x v="4"/>
    <s v="SG3"/>
    <m/>
    <x v="0"/>
    <x v="1"/>
    <x v="1"/>
    <x v="1"/>
    <x v="0"/>
    <x v="0"/>
    <x v="0"/>
    <m/>
    <x v="0"/>
    <x v="0"/>
    <n v="-14.021100000000001"/>
    <m/>
    <x v="1"/>
    <x v="3"/>
    <x v="0"/>
    <x v="1"/>
    <x v="2"/>
  </r>
  <r>
    <s v="Singapore"/>
    <x v="0"/>
    <s v="SG2"/>
    <m/>
    <x v="2"/>
    <x v="0"/>
    <x v="4"/>
    <x v="5"/>
    <x v="0"/>
    <x v="0"/>
    <x v="0"/>
    <m/>
    <x v="0"/>
    <x v="0"/>
    <n v="1.2307410000000001"/>
    <m/>
    <x v="1"/>
    <x v="1"/>
    <x v="0"/>
    <x v="3"/>
    <x v="2"/>
  </r>
  <r>
    <s v="Singapore"/>
    <x v="5"/>
    <s v="SG4"/>
    <m/>
    <x v="5"/>
    <x v="3"/>
    <x v="0"/>
    <x v="4"/>
    <x v="0"/>
    <x v="0"/>
    <x v="0"/>
    <m/>
    <x v="0"/>
    <x v="0"/>
    <n v="0.46347525000000001"/>
    <m/>
    <x v="8"/>
    <x v="2"/>
    <x v="0"/>
    <x v="4"/>
    <x v="1"/>
  </r>
  <r>
    <s v="Singapore"/>
    <x v="4"/>
    <s v="SG1"/>
    <m/>
    <x v="0"/>
    <x v="2"/>
    <x v="4"/>
    <x v="5"/>
    <x v="0"/>
    <x v="0"/>
    <x v="0"/>
    <m/>
    <x v="0"/>
    <x v="0"/>
    <n v="-1.074951"/>
    <m/>
    <x v="6"/>
    <x v="2"/>
    <x v="0"/>
    <x v="5"/>
    <x v="2"/>
  </r>
  <r>
    <s v="Singapore"/>
    <x v="4"/>
    <s v="SG3"/>
    <m/>
    <x v="1"/>
    <x v="1"/>
    <x v="2"/>
    <x v="5"/>
    <x v="0"/>
    <x v="0"/>
    <x v="0"/>
    <m/>
    <x v="0"/>
    <x v="0"/>
    <n v="-0.358317"/>
    <m/>
    <x v="1"/>
    <x v="0"/>
    <x v="0"/>
    <x v="0"/>
    <x v="1"/>
  </r>
  <r>
    <s v="Singapore"/>
    <x v="1"/>
    <s v="SG3"/>
    <m/>
    <x v="2"/>
    <x v="0"/>
    <x v="0"/>
    <x v="0"/>
    <x v="0"/>
    <x v="0"/>
    <x v="0"/>
    <m/>
    <x v="0"/>
    <x v="0"/>
    <n v="119.95830000000001"/>
    <m/>
    <x v="4"/>
    <x v="3"/>
    <x v="0"/>
    <x v="4"/>
    <x v="1"/>
  </r>
  <r>
    <s v="Singapore"/>
    <x v="5"/>
    <s v="SG2"/>
    <m/>
    <x v="3"/>
    <x v="1"/>
    <x v="3"/>
    <x v="2"/>
    <x v="0"/>
    <x v="0"/>
    <x v="0"/>
    <m/>
    <x v="0"/>
    <x v="0"/>
    <n v="-0.233685"/>
    <m/>
    <x v="0"/>
    <x v="2"/>
    <x v="0"/>
    <x v="3"/>
    <x v="0"/>
  </r>
  <r>
    <s v="Singapore"/>
    <x v="1"/>
    <s v="SG1"/>
    <m/>
    <x v="0"/>
    <x v="1"/>
    <x v="1"/>
    <x v="2"/>
    <x v="0"/>
    <x v="0"/>
    <x v="0"/>
    <m/>
    <x v="0"/>
    <x v="0"/>
    <n v="-0.1838322"/>
    <m/>
    <x v="4"/>
    <x v="3"/>
    <x v="0"/>
    <x v="3"/>
    <x v="1"/>
  </r>
  <r>
    <s v="Singapore"/>
    <x v="0"/>
    <s v="SG3"/>
    <m/>
    <x v="0"/>
    <x v="2"/>
    <x v="4"/>
    <x v="0"/>
    <x v="0"/>
    <x v="0"/>
    <x v="0"/>
    <m/>
    <x v="0"/>
    <x v="0"/>
    <n v="-0.10905300000000001"/>
    <m/>
    <x v="4"/>
    <x v="3"/>
    <x v="0"/>
    <x v="4"/>
    <x v="1"/>
  </r>
  <r>
    <s v="Singapore"/>
    <x v="1"/>
    <s v="SG1"/>
    <m/>
    <x v="2"/>
    <x v="4"/>
    <x v="3"/>
    <x v="2"/>
    <x v="0"/>
    <x v="0"/>
    <x v="0"/>
    <m/>
    <x v="0"/>
    <x v="0"/>
    <n v="-6.2316000000000003E-2"/>
    <m/>
    <x v="0"/>
    <x v="2"/>
    <x v="0"/>
    <x v="3"/>
    <x v="0"/>
  </r>
  <r>
    <s v="Singapore"/>
    <x v="5"/>
    <s v="SG1"/>
    <m/>
    <x v="1"/>
    <x v="4"/>
    <x v="3"/>
    <x v="1"/>
    <x v="0"/>
    <x v="0"/>
    <x v="0"/>
    <m/>
    <x v="0"/>
    <x v="0"/>
    <n v="-1.5579000000000001E-2"/>
    <m/>
    <x v="0"/>
    <x v="1"/>
    <x v="0"/>
    <x v="2"/>
    <x v="0"/>
  </r>
  <r>
    <s v="Singapore"/>
    <x v="1"/>
    <s v="SG1"/>
    <m/>
    <x v="2"/>
    <x v="4"/>
    <x v="0"/>
    <x v="3"/>
    <x v="0"/>
    <x v="0"/>
    <x v="0"/>
    <m/>
    <x v="0"/>
    <x v="0"/>
    <n v="2.3368500000000001"/>
    <m/>
    <x v="1"/>
    <x v="1"/>
    <x v="0"/>
    <x v="5"/>
    <x v="2"/>
  </r>
  <r>
    <s v="Singapore"/>
    <x v="1"/>
    <s v="SG4"/>
    <m/>
    <x v="1"/>
    <x v="3"/>
    <x v="4"/>
    <x v="3"/>
    <x v="0"/>
    <x v="0"/>
    <x v="0"/>
    <m/>
    <x v="0"/>
    <x v="0"/>
    <n v="-0.140211"/>
    <m/>
    <x v="0"/>
    <x v="1"/>
    <x v="0"/>
    <x v="4"/>
    <x v="2"/>
  </r>
  <r>
    <s v="Singapore"/>
    <x v="0"/>
    <s v="SG3"/>
    <m/>
    <x v="5"/>
    <x v="3"/>
    <x v="2"/>
    <x v="1"/>
    <x v="0"/>
    <x v="0"/>
    <x v="0"/>
    <m/>
    <x v="0"/>
    <x v="0"/>
    <n v="-51.410700000000006"/>
    <m/>
    <x v="2"/>
    <x v="2"/>
    <x v="0"/>
    <x v="0"/>
    <x v="0"/>
  </r>
  <r>
    <s v="Singapore"/>
    <x v="4"/>
    <s v="SG1"/>
    <m/>
    <x v="3"/>
    <x v="0"/>
    <x v="2"/>
    <x v="1"/>
    <x v="0"/>
    <x v="0"/>
    <x v="0"/>
    <m/>
    <x v="0"/>
    <x v="0"/>
    <n v="-15.579000000000001"/>
    <m/>
    <x v="1"/>
    <x v="2"/>
    <x v="0"/>
    <x v="3"/>
    <x v="0"/>
  </r>
  <r>
    <s v="Singapore"/>
    <x v="0"/>
    <s v="SG2"/>
    <m/>
    <x v="2"/>
    <x v="2"/>
    <x v="0"/>
    <x v="1"/>
    <x v="0"/>
    <x v="0"/>
    <x v="0"/>
    <m/>
    <x v="0"/>
    <x v="0"/>
    <n v="15.579000000000001"/>
    <m/>
    <x v="1"/>
    <x v="3"/>
    <x v="0"/>
    <x v="0"/>
    <x v="2"/>
  </r>
  <r>
    <s v="Singapore"/>
    <x v="3"/>
    <s v="SG1"/>
    <m/>
    <x v="1"/>
    <x v="4"/>
    <x v="1"/>
    <x v="5"/>
    <x v="0"/>
    <x v="0"/>
    <x v="0"/>
    <m/>
    <x v="0"/>
    <x v="0"/>
    <n v="-0.12463200000000001"/>
    <m/>
    <x v="0"/>
    <x v="3"/>
    <x v="0"/>
    <x v="4"/>
    <x v="2"/>
  </r>
  <r>
    <s v="Singapore"/>
    <x v="2"/>
    <s v="SG3"/>
    <m/>
    <x v="4"/>
    <x v="4"/>
    <x v="0"/>
    <x v="0"/>
    <x v="0"/>
    <x v="0"/>
    <x v="0"/>
    <m/>
    <x v="0"/>
    <x v="0"/>
    <n v="1.4329096830000001"/>
    <m/>
    <x v="1"/>
    <x v="3"/>
    <x v="0"/>
    <x v="4"/>
    <x v="2"/>
  </r>
  <r>
    <s v="Singapore"/>
    <x v="4"/>
    <s v="SG4"/>
    <m/>
    <x v="4"/>
    <x v="2"/>
    <x v="0"/>
    <x v="1"/>
    <x v="0"/>
    <x v="0"/>
    <x v="0"/>
    <m/>
    <x v="0"/>
    <x v="0"/>
    <n v="-3.3401376000000003"/>
    <m/>
    <x v="6"/>
    <x v="2"/>
    <x v="0"/>
    <x v="1"/>
    <x v="1"/>
  </r>
  <r>
    <s v="Singapore"/>
    <x v="0"/>
    <s v="SG4"/>
    <m/>
    <x v="0"/>
    <x v="3"/>
    <x v="1"/>
    <x v="2"/>
    <x v="0"/>
    <x v="0"/>
    <x v="0"/>
    <m/>
    <x v="0"/>
    <x v="0"/>
    <n v="-0.81010800000000005"/>
    <m/>
    <x v="4"/>
    <x v="0"/>
    <x v="0"/>
    <x v="1"/>
    <x v="0"/>
  </r>
  <r>
    <s v="Singapore"/>
    <x v="1"/>
    <s v="SG4"/>
    <m/>
    <x v="0"/>
    <x v="0"/>
    <x v="2"/>
    <x v="1"/>
    <x v="0"/>
    <x v="0"/>
    <x v="0"/>
    <m/>
    <x v="0"/>
    <x v="0"/>
    <n v="-1.2463200000000001E-2"/>
    <m/>
    <x v="6"/>
    <x v="2"/>
    <x v="0"/>
    <x v="5"/>
    <x v="0"/>
  </r>
  <r>
    <s v="Singapore"/>
    <x v="0"/>
    <s v="SG4"/>
    <m/>
    <x v="3"/>
    <x v="1"/>
    <x v="0"/>
    <x v="3"/>
    <x v="0"/>
    <x v="0"/>
    <x v="0"/>
    <m/>
    <x v="0"/>
    <x v="0"/>
    <n v="0.74467620000000001"/>
    <m/>
    <x v="1"/>
    <x v="0"/>
    <x v="0"/>
    <x v="3"/>
    <x v="2"/>
  </r>
  <r>
    <s v="Singapore"/>
    <x v="3"/>
    <s v="SG1"/>
    <m/>
    <x v="1"/>
    <x v="2"/>
    <x v="3"/>
    <x v="0"/>
    <x v="0"/>
    <x v="0"/>
    <x v="0"/>
    <m/>
    <x v="0"/>
    <x v="0"/>
    <n v="-9.4975815600000004"/>
    <m/>
    <x v="8"/>
    <x v="0"/>
    <x v="0"/>
    <x v="4"/>
    <x v="2"/>
  </r>
  <r>
    <s v="Singapore"/>
    <x v="3"/>
    <s v="SG4"/>
    <m/>
    <x v="4"/>
    <x v="0"/>
    <x v="4"/>
    <x v="3"/>
    <x v="0"/>
    <x v="0"/>
    <x v="0"/>
    <m/>
    <x v="0"/>
    <x v="0"/>
    <n v="-4.6737000000000001E-2"/>
    <m/>
    <x v="0"/>
    <x v="0"/>
    <x v="0"/>
    <x v="2"/>
    <x v="2"/>
  </r>
  <r>
    <s v="Singapore"/>
    <x v="0"/>
    <s v="SG2"/>
    <m/>
    <x v="0"/>
    <x v="3"/>
    <x v="1"/>
    <x v="0"/>
    <x v="0"/>
    <x v="0"/>
    <x v="0"/>
    <m/>
    <x v="0"/>
    <x v="0"/>
    <n v="-0.15579000000000001"/>
    <m/>
    <x v="0"/>
    <x v="1"/>
    <x v="0"/>
    <x v="0"/>
    <x v="2"/>
  </r>
  <r>
    <s v="Singapore"/>
    <x v="2"/>
    <s v="SG4"/>
    <m/>
    <x v="1"/>
    <x v="2"/>
    <x v="3"/>
    <x v="2"/>
    <x v="0"/>
    <x v="0"/>
    <x v="0"/>
    <m/>
    <x v="0"/>
    <x v="0"/>
    <n v="-0.66833910000000007"/>
    <m/>
    <x v="2"/>
    <x v="2"/>
    <x v="0"/>
    <x v="5"/>
    <x v="2"/>
  </r>
  <r>
    <s v="Singapore"/>
    <x v="2"/>
    <s v="SG2"/>
    <m/>
    <x v="0"/>
    <x v="1"/>
    <x v="2"/>
    <x v="2"/>
    <x v="0"/>
    <x v="0"/>
    <x v="0"/>
    <m/>
    <x v="0"/>
    <x v="0"/>
    <n v="-0.28012599900000001"/>
    <m/>
    <x v="0"/>
    <x v="3"/>
    <x v="0"/>
    <x v="4"/>
    <x v="0"/>
  </r>
  <r>
    <s v="Singapore"/>
    <x v="1"/>
    <s v="SG4"/>
    <m/>
    <x v="5"/>
    <x v="2"/>
    <x v="2"/>
    <x v="1"/>
    <x v="0"/>
    <x v="0"/>
    <x v="0"/>
    <m/>
    <x v="0"/>
    <x v="0"/>
    <n v="0.77895000000000003"/>
    <m/>
    <x v="4"/>
    <x v="3"/>
    <x v="0"/>
    <x v="3"/>
    <x v="1"/>
  </r>
  <r>
    <s v="Singapore"/>
    <x v="5"/>
    <s v="SG2"/>
    <m/>
    <x v="5"/>
    <x v="4"/>
    <x v="0"/>
    <x v="5"/>
    <x v="0"/>
    <x v="0"/>
    <x v="0"/>
    <m/>
    <x v="0"/>
    <x v="0"/>
    <n v="-0.12463200000000001"/>
    <m/>
    <x v="0"/>
    <x v="1"/>
    <x v="0"/>
    <x v="3"/>
    <x v="2"/>
  </r>
  <r>
    <s v="Singapore"/>
    <x v="3"/>
    <s v="SG1"/>
    <m/>
    <x v="2"/>
    <x v="3"/>
    <x v="3"/>
    <x v="5"/>
    <x v="0"/>
    <x v="0"/>
    <x v="0"/>
    <m/>
    <x v="0"/>
    <x v="0"/>
    <n v="0.17839512900000001"/>
    <m/>
    <x v="1"/>
    <x v="3"/>
    <x v="0"/>
    <x v="2"/>
    <x v="0"/>
  </r>
  <r>
    <s v="Singapore"/>
    <x v="2"/>
    <s v="SG2"/>
    <m/>
    <x v="0"/>
    <x v="2"/>
    <x v="3"/>
    <x v="3"/>
    <x v="0"/>
    <x v="0"/>
    <x v="0"/>
    <m/>
    <x v="0"/>
    <x v="0"/>
    <n v="-9.3474000000000002E-2"/>
    <m/>
    <x v="4"/>
    <x v="2"/>
    <x v="0"/>
    <x v="2"/>
    <x v="1"/>
  </r>
  <r>
    <s v="Singapore"/>
    <x v="0"/>
    <s v="SG3"/>
    <m/>
    <x v="1"/>
    <x v="1"/>
    <x v="2"/>
    <x v="0"/>
    <x v="0"/>
    <x v="0"/>
    <x v="0"/>
    <m/>
    <x v="0"/>
    <x v="0"/>
    <n v="-0.15579000000000001"/>
    <m/>
    <x v="4"/>
    <x v="3"/>
    <x v="0"/>
    <x v="5"/>
    <x v="2"/>
  </r>
  <r>
    <s v="Singapore"/>
    <x v="3"/>
    <s v="SG1"/>
    <m/>
    <x v="5"/>
    <x v="0"/>
    <x v="3"/>
    <x v="0"/>
    <x v="0"/>
    <x v="0"/>
    <x v="0"/>
    <m/>
    <x v="0"/>
    <x v="0"/>
    <n v="-0.15579000000000001"/>
    <m/>
    <x v="0"/>
    <x v="2"/>
    <x v="0"/>
    <x v="2"/>
    <x v="2"/>
  </r>
  <r>
    <s v="Singapore"/>
    <x v="2"/>
    <s v="SG1"/>
    <m/>
    <x v="3"/>
    <x v="1"/>
    <x v="0"/>
    <x v="1"/>
    <x v="0"/>
    <x v="0"/>
    <x v="0"/>
    <m/>
    <x v="0"/>
    <x v="0"/>
    <n v="-2.775180744"/>
    <m/>
    <x v="4"/>
    <x v="0"/>
    <x v="0"/>
    <x v="5"/>
    <x v="1"/>
  </r>
  <r>
    <s v="Singapore"/>
    <x v="3"/>
    <s v="SG3"/>
    <m/>
    <x v="3"/>
    <x v="3"/>
    <x v="2"/>
    <x v="2"/>
    <x v="0"/>
    <x v="0"/>
    <x v="0"/>
    <m/>
    <x v="0"/>
    <x v="0"/>
    <n v="-0.84126600000000007"/>
    <m/>
    <x v="4"/>
    <x v="1"/>
    <x v="0"/>
    <x v="5"/>
    <x v="0"/>
  </r>
  <r>
    <s v="Singapore"/>
    <x v="2"/>
    <s v="SG1"/>
    <m/>
    <x v="0"/>
    <x v="0"/>
    <x v="2"/>
    <x v="2"/>
    <x v="0"/>
    <x v="0"/>
    <x v="0"/>
    <m/>
    <x v="0"/>
    <x v="0"/>
    <n v="-7.7895000000000006E-2"/>
    <m/>
    <x v="4"/>
    <x v="3"/>
    <x v="0"/>
    <x v="3"/>
    <x v="0"/>
  </r>
  <r>
    <s v="Singapore"/>
    <x v="3"/>
    <s v="SG2"/>
    <m/>
    <x v="1"/>
    <x v="3"/>
    <x v="0"/>
    <x v="4"/>
    <x v="0"/>
    <x v="0"/>
    <x v="0"/>
    <m/>
    <x v="0"/>
    <x v="0"/>
    <n v="-1.5579000000000001"/>
    <m/>
    <x v="2"/>
    <x v="3"/>
    <x v="0"/>
    <x v="3"/>
    <x v="0"/>
  </r>
  <r>
    <s v="Singapore"/>
    <x v="0"/>
    <s v="SG1"/>
    <m/>
    <x v="1"/>
    <x v="3"/>
    <x v="4"/>
    <x v="5"/>
    <x v="0"/>
    <x v="0"/>
    <x v="0"/>
    <m/>
    <x v="0"/>
    <x v="0"/>
    <n v="0.12463200000000001"/>
    <m/>
    <x v="0"/>
    <x v="2"/>
    <x v="0"/>
    <x v="4"/>
    <x v="2"/>
  </r>
  <r>
    <s v="Singapore"/>
    <x v="5"/>
    <s v="SG4"/>
    <m/>
    <x v="5"/>
    <x v="3"/>
    <x v="0"/>
    <x v="4"/>
    <x v="0"/>
    <x v="0"/>
    <x v="0"/>
    <m/>
    <x v="0"/>
    <x v="0"/>
    <n v="-0.1838322"/>
    <m/>
    <x v="4"/>
    <x v="0"/>
    <x v="0"/>
    <x v="0"/>
    <x v="0"/>
  </r>
  <r>
    <s v="Singapore"/>
    <x v="4"/>
    <s v="SG1"/>
    <m/>
    <x v="5"/>
    <x v="3"/>
    <x v="3"/>
    <x v="5"/>
    <x v="0"/>
    <x v="0"/>
    <x v="0"/>
    <m/>
    <x v="0"/>
    <x v="0"/>
    <n v="-44.867519999999999"/>
    <m/>
    <x v="2"/>
    <x v="2"/>
    <x v="0"/>
    <x v="3"/>
    <x v="1"/>
  </r>
  <r>
    <s v="Singapore"/>
    <x v="4"/>
    <s v="SG1"/>
    <m/>
    <x v="4"/>
    <x v="3"/>
    <x v="3"/>
    <x v="3"/>
    <x v="0"/>
    <x v="0"/>
    <x v="0"/>
    <m/>
    <x v="0"/>
    <x v="0"/>
    <n v="-0.12463200000000001"/>
    <m/>
    <x v="4"/>
    <x v="0"/>
    <x v="0"/>
    <x v="4"/>
    <x v="0"/>
  </r>
  <r>
    <s v="Singapore"/>
    <x v="5"/>
    <s v="SG4"/>
    <m/>
    <x v="5"/>
    <x v="3"/>
    <x v="2"/>
    <x v="3"/>
    <x v="0"/>
    <x v="0"/>
    <x v="0"/>
    <m/>
    <x v="0"/>
    <x v="0"/>
    <n v="-0.126283374"/>
    <m/>
    <x v="4"/>
    <x v="2"/>
    <x v="0"/>
    <x v="4"/>
    <x v="2"/>
  </r>
  <r>
    <s v="Singapore"/>
    <x v="2"/>
    <s v="SG3"/>
    <m/>
    <x v="3"/>
    <x v="3"/>
    <x v="2"/>
    <x v="1"/>
    <x v="0"/>
    <x v="0"/>
    <x v="0"/>
    <m/>
    <x v="0"/>
    <x v="0"/>
    <n v="-0.31158000000000002"/>
    <m/>
    <x v="4"/>
    <x v="3"/>
    <x v="0"/>
    <x v="0"/>
    <x v="1"/>
  </r>
  <r>
    <s v="Singapore"/>
    <x v="2"/>
    <s v="SG2"/>
    <m/>
    <x v="2"/>
    <x v="4"/>
    <x v="1"/>
    <x v="2"/>
    <x v="0"/>
    <x v="0"/>
    <x v="0"/>
    <m/>
    <x v="0"/>
    <x v="0"/>
    <n v="-2.0252700000000002E-2"/>
    <m/>
    <x v="2"/>
    <x v="3"/>
    <x v="0"/>
    <x v="2"/>
    <x v="2"/>
  </r>
  <r>
    <s v="Singapore"/>
    <x v="3"/>
    <s v="SG2"/>
    <m/>
    <x v="2"/>
    <x v="2"/>
    <x v="1"/>
    <x v="0"/>
    <x v="0"/>
    <x v="0"/>
    <x v="0"/>
    <m/>
    <x v="0"/>
    <x v="0"/>
    <n v="-55.520440200000003"/>
    <m/>
    <x v="4"/>
    <x v="0"/>
    <x v="0"/>
    <x v="3"/>
    <x v="1"/>
  </r>
  <r>
    <s v="Singapore"/>
    <x v="2"/>
    <s v="SG1"/>
    <m/>
    <x v="0"/>
    <x v="4"/>
    <x v="3"/>
    <x v="1"/>
    <x v="0"/>
    <x v="0"/>
    <x v="0"/>
    <m/>
    <x v="0"/>
    <x v="0"/>
    <n v="-0.31158000000000002"/>
    <m/>
    <x v="4"/>
    <x v="2"/>
    <x v="0"/>
    <x v="1"/>
    <x v="0"/>
  </r>
  <r>
    <s v="Singapore"/>
    <x v="0"/>
    <s v="SG1"/>
    <m/>
    <x v="1"/>
    <x v="1"/>
    <x v="1"/>
    <x v="2"/>
    <x v="0"/>
    <x v="0"/>
    <x v="0"/>
    <m/>
    <x v="0"/>
    <x v="0"/>
    <n v="0.17136900000000002"/>
    <m/>
    <x v="8"/>
    <x v="0"/>
    <x v="0"/>
    <x v="1"/>
    <x v="1"/>
  </r>
  <r>
    <s v="Singapore"/>
    <x v="0"/>
    <s v="SG2"/>
    <m/>
    <x v="3"/>
    <x v="1"/>
    <x v="3"/>
    <x v="5"/>
    <x v="0"/>
    <x v="0"/>
    <x v="0"/>
    <m/>
    <x v="0"/>
    <x v="0"/>
    <n v="7.7895000000000003"/>
    <m/>
    <x v="8"/>
    <x v="3"/>
    <x v="0"/>
    <x v="5"/>
    <x v="0"/>
  </r>
  <r>
    <s v="Singapore"/>
    <x v="2"/>
    <s v="SG1"/>
    <m/>
    <x v="1"/>
    <x v="2"/>
    <x v="2"/>
    <x v="2"/>
    <x v="0"/>
    <x v="0"/>
    <x v="0"/>
    <m/>
    <x v="0"/>
    <x v="0"/>
    <n v="0.37389600000000001"/>
    <m/>
    <x v="1"/>
    <x v="2"/>
    <x v="0"/>
    <x v="2"/>
    <x v="2"/>
  </r>
  <r>
    <s v="Singapore"/>
    <x v="3"/>
    <s v="SG4"/>
    <m/>
    <x v="2"/>
    <x v="4"/>
    <x v="3"/>
    <x v="3"/>
    <x v="0"/>
    <x v="0"/>
    <x v="0"/>
    <m/>
    <x v="0"/>
    <x v="0"/>
    <n v="-0.37389600000000001"/>
    <m/>
    <x v="4"/>
    <x v="1"/>
    <x v="0"/>
    <x v="1"/>
    <x v="0"/>
  </r>
  <r>
    <s v="Singapore"/>
    <x v="2"/>
    <s v="SG3"/>
    <m/>
    <x v="5"/>
    <x v="2"/>
    <x v="4"/>
    <x v="5"/>
    <x v="0"/>
    <x v="0"/>
    <x v="0"/>
    <m/>
    <x v="0"/>
    <x v="0"/>
    <n v="-7.7895000000000003"/>
    <m/>
    <x v="2"/>
    <x v="3"/>
    <x v="0"/>
    <x v="2"/>
    <x v="0"/>
  </r>
  <r>
    <s v="Singapore"/>
    <x v="1"/>
    <s v="SG1"/>
    <m/>
    <x v="0"/>
    <x v="0"/>
    <x v="0"/>
    <x v="3"/>
    <x v="0"/>
    <x v="0"/>
    <x v="0"/>
    <m/>
    <x v="0"/>
    <x v="0"/>
    <n v="2.8556307000000003"/>
    <m/>
    <x v="1"/>
    <x v="3"/>
    <x v="0"/>
    <x v="5"/>
    <x v="2"/>
  </r>
  <r>
    <s v="Singapore"/>
    <x v="1"/>
    <s v="SG2"/>
    <m/>
    <x v="5"/>
    <x v="2"/>
    <x v="2"/>
    <x v="0"/>
    <x v="0"/>
    <x v="0"/>
    <x v="0"/>
    <m/>
    <x v="0"/>
    <x v="0"/>
    <n v="-0.93474000000000002"/>
    <m/>
    <x v="4"/>
    <x v="1"/>
    <x v="0"/>
    <x v="3"/>
    <x v="1"/>
  </r>
  <r>
    <s v="Singapore"/>
    <x v="3"/>
    <s v="SG2"/>
    <m/>
    <x v="3"/>
    <x v="2"/>
    <x v="1"/>
    <x v="5"/>
    <x v="0"/>
    <x v="0"/>
    <x v="0"/>
    <m/>
    <x v="0"/>
    <x v="0"/>
    <n v="1.6638372000000001"/>
    <m/>
    <x v="3"/>
    <x v="3"/>
    <x v="0"/>
    <x v="4"/>
    <x v="1"/>
  </r>
  <r>
    <s v="Singapore"/>
    <x v="5"/>
    <s v="SG1"/>
    <m/>
    <x v="1"/>
    <x v="4"/>
    <x v="0"/>
    <x v="0"/>
    <x v="0"/>
    <x v="0"/>
    <x v="0"/>
    <m/>
    <x v="0"/>
    <x v="0"/>
    <n v="-2.4069555"/>
    <m/>
    <x v="3"/>
    <x v="3"/>
    <x v="0"/>
    <x v="0"/>
    <x v="1"/>
  </r>
  <r>
    <s v="Singapore"/>
    <x v="2"/>
    <s v="SG4"/>
    <m/>
    <x v="1"/>
    <x v="2"/>
    <x v="1"/>
    <x v="1"/>
    <x v="0"/>
    <x v="0"/>
    <x v="0"/>
    <m/>
    <x v="0"/>
    <x v="0"/>
    <n v="-0.81010800000000005"/>
    <m/>
    <x v="4"/>
    <x v="2"/>
    <x v="0"/>
    <x v="0"/>
    <x v="1"/>
  </r>
  <r>
    <s v="Singapore"/>
    <x v="4"/>
    <s v="SG1"/>
    <m/>
    <x v="2"/>
    <x v="2"/>
    <x v="1"/>
    <x v="3"/>
    <x v="0"/>
    <x v="0"/>
    <x v="0"/>
    <m/>
    <x v="0"/>
    <x v="0"/>
    <n v="-4.6737000000000001E-2"/>
    <m/>
    <x v="0"/>
    <x v="0"/>
    <x v="0"/>
    <x v="4"/>
    <x v="1"/>
  </r>
  <r>
    <s v="Singapore"/>
    <x v="0"/>
    <s v="SG2"/>
    <m/>
    <x v="2"/>
    <x v="1"/>
    <x v="3"/>
    <x v="4"/>
    <x v="0"/>
    <x v="0"/>
    <x v="0"/>
    <m/>
    <x v="0"/>
    <x v="0"/>
    <n v="-6.963813"/>
    <m/>
    <x v="6"/>
    <x v="0"/>
    <x v="0"/>
    <x v="0"/>
    <x v="2"/>
  </r>
  <r>
    <s v="Singapore"/>
    <x v="1"/>
    <s v="SG4"/>
    <m/>
    <x v="3"/>
    <x v="1"/>
    <x v="1"/>
    <x v="4"/>
    <x v="0"/>
    <x v="0"/>
    <x v="0"/>
    <m/>
    <x v="0"/>
    <x v="0"/>
    <n v="-0.21810600000000002"/>
    <m/>
    <x v="4"/>
    <x v="1"/>
    <x v="0"/>
    <x v="2"/>
    <x v="0"/>
  </r>
  <r>
    <s v="Singapore"/>
    <x v="0"/>
    <s v="SG3"/>
    <m/>
    <x v="1"/>
    <x v="3"/>
    <x v="2"/>
    <x v="4"/>
    <x v="0"/>
    <x v="0"/>
    <x v="0"/>
    <m/>
    <x v="0"/>
    <x v="0"/>
    <n v="0.15579000000000001"/>
    <m/>
    <x v="1"/>
    <x v="3"/>
    <x v="0"/>
    <x v="4"/>
    <x v="1"/>
  </r>
  <r>
    <s v="Singapore"/>
    <x v="5"/>
    <s v="SG2"/>
    <m/>
    <x v="4"/>
    <x v="3"/>
    <x v="0"/>
    <x v="4"/>
    <x v="0"/>
    <x v="0"/>
    <x v="0"/>
    <m/>
    <x v="0"/>
    <x v="0"/>
    <n v="2.3680080000000001"/>
    <m/>
    <x v="1"/>
    <x v="1"/>
    <x v="0"/>
    <x v="0"/>
    <x v="0"/>
  </r>
  <r>
    <s v="Singapore"/>
    <x v="5"/>
    <s v="SG4"/>
    <m/>
    <x v="2"/>
    <x v="2"/>
    <x v="1"/>
    <x v="3"/>
    <x v="0"/>
    <x v="0"/>
    <x v="0"/>
    <m/>
    <x v="0"/>
    <x v="0"/>
    <n v="-7.0105500000000001E-2"/>
    <m/>
    <x v="4"/>
    <x v="0"/>
    <x v="0"/>
    <x v="5"/>
    <x v="0"/>
  </r>
  <r>
    <s v="Singapore"/>
    <x v="5"/>
    <s v="SG3"/>
    <m/>
    <x v="4"/>
    <x v="1"/>
    <x v="3"/>
    <x v="2"/>
    <x v="0"/>
    <x v="0"/>
    <x v="0"/>
    <m/>
    <x v="0"/>
    <x v="0"/>
    <n v="-0.12463200000000001"/>
    <m/>
    <x v="0"/>
    <x v="0"/>
    <x v="0"/>
    <x v="5"/>
    <x v="1"/>
  </r>
  <r>
    <s v="Singapore"/>
    <x v="4"/>
    <s v="SG4"/>
    <m/>
    <x v="2"/>
    <x v="2"/>
    <x v="1"/>
    <x v="4"/>
    <x v="0"/>
    <x v="0"/>
    <x v="0"/>
    <m/>
    <x v="0"/>
    <x v="0"/>
    <n v="-0.545265"/>
    <m/>
    <x v="0"/>
    <x v="3"/>
    <x v="0"/>
    <x v="4"/>
    <x v="1"/>
  </r>
  <r>
    <s v="Singapore"/>
    <x v="2"/>
    <s v="SG3"/>
    <m/>
    <x v="2"/>
    <x v="3"/>
    <x v="4"/>
    <x v="2"/>
    <x v="0"/>
    <x v="0"/>
    <x v="0"/>
    <m/>
    <x v="0"/>
    <x v="0"/>
    <n v="1.3008465"/>
    <m/>
    <x v="1"/>
    <x v="0"/>
    <x v="0"/>
    <x v="1"/>
    <x v="2"/>
  </r>
  <r>
    <s v="Singapore"/>
    <x v="2"/>
    <s v="SG2"/>
    <m/>
    <x v="0"/>
    <x v="3"/>
    <x v="2"/>
    <x v="1"/>
    <x v="0"/>
    <x v="0"/>
    <x v="0"/>
    <m/>
    <x v="0"/>
    <x v="0"/>
    <n v="-0.1838322"/>
    <m/>
    <x v="4"/>
    <x v="2"/>
    <x v="0"/>
    <x v="0"/>
    <x v="1"/>
  </r>
  <r>
    <s v="Singapore"/>
    <x v="0"/>
    <s v="SG4"/>
    <m/>
    <x v="5"/>
    <x v="1"/>
    <x v="4"/>
    <x v="1"/>
    <x v="0"/>
    <x v="0"/>
    <x v="0"/>
    <m/>
    <x v="0"/>
    <x v="0"/>
    <n v="8.3447355600000002"/>
    <m/>
    <x v="8"/>
    <x v="3"/>
    <x v="0"/>
    <x v="0"/>
    <x v="0"/>
  </r>
  <r>
    <s v="Singapore"/>
    <x v="5"/>
    <s v="SG3"/>
    <m/>
    <x v="3"/>
    <x v="3"/>
    <x v="1"/>
    <x v="2"/>
    <x v="0"/>
    <x v="0"/>
    <x v="0"/>
    <m/>
    <x v="0"/>
    <x v="0"/>
    <n v="-0.186948"/>
    <m/>
    <x v="0"/>
    <x v="0"/>
    <x v="0"/>
    <x v="0"/>
    <x v="0"/>
  </r>
  <r>
    <s v="Singapore"/>
    <x v="0"/>
    <s v="SG4"/>
    <m/>
    <x v="5"/>
    <x v="0"/>
    <x v="2"/>
    <x v="3"/>
    <x v="0"/>
    <x v="0"/>
    <x v="0"/>
    <m/>
    <x v="0"/>
    <x v="0"/>
    <n v="4.0505400000000004E-2"/>
    <m/>
    <x v="2"/>
    <x v="1"/>
    <x v="0"/>
    <x v="5"/>
    <x v="0"/>
  </r>
  <r>
    <s v="Singapore"/>
    <x v="2"/>
    <s v="SG4"/>
    <m/>
    <x v="5"/>
    <x v="1"/>
    <x v="1"/>
    <x v="3"/>
    <x v="0"/>
    <x v="0"/>
    <x v="0"/>
    <m/>
    <x v="0"/>
    <x v="0"/>
    <n v="72.136627704000006"/>
    <m/>
    <x v="5"/>
    <x v="1"/>
    <x v="0"/>
    <x v="2"/>
    <x v="1"/>
  </r>
  <r>
    <s v="Singapore"/>
    <x v="2"/>
    <s v="SG3"/>
    <m/>
    <x v="1"/>
    <x v="4"/>
    <x v="3"/>
    <x v="2"/>
    <x v="0"/>
    <x v="0"/>
    <x v="0"/>
    <m/>
    <x v="0"/>
    <x v="0"/>
    <n v="0.15579000000000001"/>
    <m/>
    <x v="1"/>
    <x v="0"/>
    <x v="0"/>
    <x v="3"/>
    <x v="2"/>
  </r>
  <r>
    <s v="Singapore"/>
    <x v="5"/>
    <s v="SG4"/>
    <m/>
    <x v="0"/>
    <x v="4"/>
    <x v="0"/>
    <x v="3"/>
    <x v="0"/>
    <x v="0"/>
    <x v="0"/>
    <m/>
    <x v="0"/>
    <x v="0"/>
    <n v="1.5069566700000001"/>
    <m/>
    <x v="1"/>
    <x v="3"/>
    <x v="0"/>
    <x v="5"/>
    <x v="1"/>
  </r>
  <r>
    <s v="Singapore"/>
    <x v="1"/>
    <s v="SG4"/>
    <m/>
    <x v="1"/>
    <x v="3"/>
    <x v="0"/>
    <x v="1"/>
    <x v="0"/>
    <x v="0"/>
    <x v="0"/>
    <m/>
    <x v="0"/>
    <x v="0"/>
    <n v="-0.81010800000000005"/>
    <m/>
    <x v="4"/>
    <x v="0"/>
    <x v="0"/>
    <x v="4"/>
    <x v="1"/>
  </r>
  <r>
    <s v="Singapore"/>
    <x v="4"/>
    <s v="SG3"/>
    <m/>
    <x v="5"/>
    <x v="0"/>
    <x v="4"/>
    <x v="0"/>
    <x v="0"/>
    <x v="0"/>
    <x v="0"/>
    <m/>
    <x v="0"/>
    <x v="0"/>
    <n v="-0.264843"/>
    <m/>
    <x v="0"/>
    <x v="1"/>
    <x v="0"/>
    <x v="0"/>
    <x v="1"/>
  </r>
  <r>
    <s v="Singapore"/>
    <x v="5"/>
    <s v="SG4"/>
    <m/>
    <x v="2"/>
    <x v="3"/>
    <x v="0"/>
    <x v="2"/>
    <x v="0"/>
    <x v="0"/>
    <x v="0"/>
    <m/>
    <x v="0"/>
    <x v="0"/>
    <n v="0.51410699999999998"/>
    <m/>
    <x v="7"/>
    <x v="0"/>
    <x v="0"/>
    <x v="1"/>
    <x v="1"/>
  </r>
  <r>
    <s v="Singapore"/>
    <x v="2"/>
    <s v="SG4"/>
    <m/>
    <x v="3"/>
    <x v="3"/>
    <x v="4"/>
    <x v="1"/>
    <x v="0"/>
    <x v="0"/>
    <x v="0"/>
    <m/>
    <x v="0"/>
    <x v="0"/>
    <n v="-0.27037354500000005"/>
    <m/>
    <x v="0"/>
    <x v="2"/>
    <x v="0"/>
    <x v="0"/>
    <x v="2"/>
  </r>
  <r>
    <s v="Singapore"/>
    <x v="1"/>
    <s v="SG3"/>
    <m/>
    <x v="1"/>
    <x v="4"/>
    <x v="2"/>
    <x v="3"/>
    <x v="0"/>
    <x v="0"/>
    <x v="0"/>
    <m/>
    <x v="0"/>
    <x v="0"/>
    <n v="-0.280422"/>
    <m/>
    <x v="0"/>
    <x v="1"/>
    <x v="0"/>
    <x v="4"/>
    <x v="0"/>
  </r>
  <r>
    <s v="Singapore"/>
    <x v="5"/>
    <s v="SG2"/>
    <m/>
    <x v="2"/>
    <x v="3"/>
    <x v="0"/>
    <x v="4"/>
    <x v="0"/>
    <x v="0"/>
    <x v="0"/>
    <m/>
    <x v="0"/>
    <x v="0"/>
    <n v="-6.2316000000000003E-2"/>
    <m/>
    <x v="0"/>
    <x v="1"/>
    <x v="0"/>
    <x v="5"/>
    <x v="2"/>
  </r>
  <r>
    <s v="Singapore"/>
    <x v="5"/>
    <s v="SG4"/>
    <m/>
    <x v="2"/>
    <x v="3"/>
    <x v="2"/>
    <x v="4"/>
    <x v="0"/>
    <x v="0"/>
    <x v="0"/>
    <m/>
    <x v="0"/>
    <x v="0"/>
    <n v="-0.25088421599999999"/>
    <m/>
    <x v="3"/>
    <x v="1"/>
    <x v="0"/>
    <x v="1"/>
    <x v="1"/>
  </r>
  <r>
    <s v="Singapore"/>
    <x v="5"/>
    <s v="SG3"/>
    <m/>
    <x v="0"/>
    <x v="0"/>
    <x v="4"/>
    <x v="5"/>
    <x v="0"/>
    <x v="0"/>
    <x v="0"/>
    <m/>
    <x v="0"/>
    <x v="0"/>
    <n v="1.137267"/>
    <m/>
    <x v="1"/>
    <x v="1"/>
    <x v="0"/>
    <x v="3"/>
    <x v="2"/>
  </r>
  <r>
    <s v="Singapore"/>
    <x v="0"/>
    <s v="SG1"/>
    <m/>
    <x v="0"/>
    <x v="3"/>
    <x v="1"/>
    <x v="4"/>
    <x v="0"/>
    <x v="0"/>
    <x v="0"/>
    <m/>
    <x v="0"/>
    <x v="0"/>
    <n v="-7.0105500000000001E-2"/>
    <m/>
    <x v="4"/>
    <x v="3"/>
    <x v="0"/>
    <x v="1"/>
    <x v="1"/>
  </r>
  <r>
    <s v="Singapore"/>
    <x v="5"/>
    <s v="SG1"/>
    <m/>
    <x v="1"/>
    <x v="0"/>
    <x v="4"/>
    <x v="3"/>
    <x v="0"/>
    <x v="0"/>
    <x v="0"/>
    <m/>
    <x v="0"/>
    <x v="0"/>
    <n v="-2.33685E-2"/>
    <m/>
    <x v="0"/>
    <x v="2"/>
    <x v="0"/>
    <x v="3"/>
    <x v="1"/>
  </r>
  <r>
    <s v="Singapore"/>
    <x v="0"/>
    <s v="SG4"/>
    <m/>
    <x v="2"/>
    <x v="3"/>
    <x v="2"/>
    <x v="0"/>
    <x v="0"/>
    <x v="0"/>
    <x v="0"/>
    <m/>
    <x v="0"/>
    <x v="0"/>
    <n v="-9.3474000000000004"/>
    <m/>
    <x v="4"/>
    <x v="0"/>
    <x v="0"/>
    <x v="3"/>
    <x v="1"/>
  </r>
  <r>
    <s v="Singapore"/>
    <x v="2"/>
    <s v="SG2"/>
    <m/>
    <x v="3"/>
    <x v="1"/>
    <x v="3"/>
    <x v="5"/>
    <x v="0"/>
    <x v="0"/>
    <x v="0"/>
    <m/>
    <x v="0"/>
    <x v="0"/>
    <n v="0.70105499999999998"/>
    <m/>
    <x v="1"/>
    <x v="3"/>
    <x v="0"/>
    <x v="3"/>
    <x v="0"/>
  </r>
  <r>
    <s v="Singapore"/>
    <x v="2"/>
    <s v="SG4"/>
    <m/>
    <x v="5"/>
    <x v="3"/>
    <x v="0"/>
    <x v="4"/>
    <x v="0"/>
    <x v="0"/>
    <x v="0"/>
    <m/>
    <x v="0"/>
    <x v="0"/>
    <n v="0.7244235"/>
    <m/>
    <x v="1"/>
    <x v="3"/>
    <x v="0"/>
    <x v="4"/>
    <x v="1"/>
  </r>
  <r>
    <s v="Singapore"/>
    <x v="2"/>
    <s v="SG1"/>
    <m/>
    <x v="1"/>
    <x v="2"/>
    <x v="0"/>
    <x v="4"/>
    <x v="0"/>
    <x v="0"/>
    <x v="0"/>
    <m/>
    <x v="0"/>
    <x v="0"/>
    <n v="0.94003685999999997"/>
    <m/>
    <x v="1"/>
    <x v="3"/>
    <x v="0"/>
    <x v="2"/>
    <x v="2"/>
  </r>
  <r>
    <s v="Singapore"/>
    <x v="3"/>
    <s v="SG4"/>
    <m/>
    <x v="2"/>
    <x v="3"/>
    <x v="2"/>
    <x v="5"/>
    <x v="0"/>
    <x v="0"/>
    <x v="0"/>
    <m/>
    <x v="0"/>
    <x v="0"/>
    <n v="-4.2842250000000002"/>
    <m/>
    <x v="3"/>
    <x v="3"/>
    <x v="0"/>
    <x v="2"/>
    <x v="2"/>
  </r>
  <r>
    <s v="Singapore"/>
    <x v="0"/>
    <s v="SG1"/>
    <m/>
    <x v="4"/>
    <x v="4"/>
    <x v="3"/>
    <x v="1"/>
    <x v="0"/>
    <x v="0"/>
    <x v="0"/>
    <m/>
    <x v="0"/>
    <x v="0"/>
    <n v="0.15579000000000001"/>
    <m/>
    <x v="1"/>
    <x v="1"/>
    <x v="0"/>
    <x v="1"/>
    <x v="2"/>
  </r>
  <r>
    <s v="Singapore"/>
    <x v="4"/>
    <s v="SG1"/>
    <m/>
    <x v="1"/>
    <x v="3"/>
    <x v="4"/>
    <x v="4"/>
    <x v="0"/>
    <x v="0"/>
    <x v="0"/>
    <m/>
    <x v="0"/>
    <x v="0"/>
    <n v="-4.6737000000000001E-2"/>
    <m/>
    <x v="0"/>
    <x v="1"/>
    <x v="0"/>
    <x v="2"/>
    <x v="0"/>
  </r>
  <r>
    <s v="Singapore"/>
    <x v="4"/>
    <s v="SG3"/>
    <m/>
    <x v="5"/>
    <x v="4"/>
    <x v="0"/>
    <x v="5"/>
    <x v="0"/>
    <x v="0"/>
    <x v="0"/>
    <m/>
    <x v="0"/>
    <x v="0"/>
    <n v="-0.17136900000000002"/>
    <m/>
    <x v="8"/>
    <x v="1"/>
    <x v="0"/>
    <x v="5"/>
    <x v="0"/>
  </r>
  <r>
    <s v="Singapore"/>
    <x v="0"/>
    <s v="SG2"/>
    <m/>
    <x v="5"/>
    <x v="4"/>
    <x v="4"/>
    <x v="5"/>
    <x v="0"/>
    <x v="0"/>
    <x v="0"/>
    <m/>
    <x v="0"/>
    <x v="0"/>
    <n v="0.13122191700000002"/>
    <m/>
    <x v="9"/>
    <x v="3"/>
    <x v="0"/>
    <x v="4"/>
    <x v="2"/>
  </r>
  <r>
    <s v="Singapore"/>
    <x v="0"/>
    <s v="SG3"/>
    <m/>
    <x v="2"/>
    <x v="1"/>
    <x v="2"/>
    <x v="5"/>
    <x v="0"/>
    <x v="0"/>
    <x v="0"/>
    <m/>
    <x v="0"/>
    <x v="0"/>
    <n v="-0.12463200000000001"/>
    <m/>
    <x v="4"/>
    <x v="1"/>
    <x v="0"/>
    <x v="2"/>
    <x v="1"/>
  </r>
  <r>
    <s v="Singapore"/>
    <x v="5"/>
    <s v="SG1"/>
    <m/>
    <x v="4"/>
    <x v="3"/>
    <x v="2"/>
    <x v="5"/>
    <x v="0"/>
    <x v="0"/>
    <x v="0"/>
    <m/>
    <x v="0"/>
    <x v="0"/>
    <n v="-2.3212710000000003"/>
    <m/>
    <x v="3"/>
    <x v="0"/>
    <x v="0"/>
    <x v="3"/>
    <x v="2"/>
  </r>
  <r>
    <s v="Singapore"/>
    <x v="0"/>
    <s v="SG4"/>
    <m/>
    <x v="5"/>
    <x v="1"/>
    <x v="3"/>
    <x v="5"/>
    <x v="0"/>
    <x v="0"/>
    <x v="0"/>
    <m/>
    <x v="0"/>
    <x v="0"/>
    <n v="1.137267"/>
    <m/>
    <x v="1"/>
    <x v="2"/>
    <x v="0"/>
    <x v="0"/>
    <x v="2"/>
  </r>
  <r>
    <s v="Singapore"/>
    <x v="0"/>
    <s v="SG1"/>
    <m/>
    <x v="3"/>
    <x v="1"/>
    <x v="2"/>
    <x v="5"/>
    <x v="0"/>
    <x v="0"/>
    <x v="0"/>
    <m/>
    <x v="0"/>
    <x v="0"/>
    <n v="-7.7895000000000006E-2"/>
    <m/>
    <x v="4"/>
    <x v="1"/>
    <x v="0"/>
    <x v="2"/>
    <x v="0"/>
  </r>
  <r>
    <s v="Singapore"/>
    <x v="4"/>
    <s v="SG1"/>
    <m/>
    <x v="0"/>
    <x v="0"/>
    <x v="2"/>
    <x v="5"/>
    <x v="0"/>
    <x v="0"/>
    <x v="0"/>
    <m/>
    <x v="0"/>
    <x v="0"/>
    <n v="-0.12463200000000001"/>
    <m/>
    <x v="4"/>
    <x v="2"/>
    <x v="0"/>
    <x v="4"/>
    <x v="2"/>
  </r>
  <r>
    <s v="Singapore"/>
    <x v="2"/>
    <s v="SG4"/>
    <m/>
    <x v="1"/>
    <x v="4"/>
    <x v="0"/>
    <x v="5"/>
    <x v="0"/>
    <x v="0"/>
    <x v="0"/>
    <m/>
    <x v="0"/>
    <x v="0"/>
    <n v="-6.2589255660000003"/>
    <m/>
    <x v="7"/>
    <x v="3"/>
    <x v="0"/>
    <x v="0"/>
    <x v="1"/>
  </r>
  <r>
    <s v="Singapore"/>
    <x v="4"/>
    <s v="SG2"/>
    <m/>
    <x v="0"/>
    <x v="3"/>
    <x v="3"/>
    <x v="0"/>
    <x v="0"/>
    <x v="0"/>
    <x v="0"/>
    <m/>
    <x v="0"/>
    <x v="0"/>
    <n v="0.140211"/>
    <m/>
    <x v="8"/>
    <x v="1"/>
    <x v="0"/>
    <x v="5"/>
    <x v="1"/>
  </r>
  <r>
    <s v="Singapore"/>
    <x v="0"/>
    <s v="SG1"/>
    <m/>
    <x v="2"/>
    <x v="1"/>
    <x v="4"/>
    <x v="3"/>
    <x v="0"/>
    <x v="0"/>
    <x v="0"/>
    <m/>
    <x v="0"/>
    <x v="0"/>
    <n v="5.6084399999999999"/>
    <m/>
    <x v="1"/>
    <x v="1"/>
    <x v="0"/>
    <x v="4"/>
    <x v="1"/>
  </r>
  <r>
    <s v="Singapore"/>
    <x v="0"/>
    <s v="SG1"/>
    <m/>
    <x v="0"/>
    <x v="4"/>
    <x v="1"/>
    <x v="4"/>
    <x v="0"/>
    <x v="0"/>
    <x v="0"/>
    <m/>
    <x v="0"/>
    <x v="0"/>
    <n v="0.1215162"/>
    <m/>
    <x v="3"/>
    <x v="2"/>
    <x v="0"/>
    <x v="3"/>
    <x v="1"/>
  </r>
  <r>
    <s v="Singapore"/>
    <x v="5"/>
    <s v="SG2"/>
    <m/>
    <x v="4"/>
    <x v="2"/>
    <x v="0"/>
    <x v="2"/>
    <x v="0"/>
    <x v="0"/>
    <x v="0"/>
    <m/>
    <x v="0"/>
    <x v="0"/>
    <n v="12.463200000000001"/>
    <m/>
    <x v="4"/>
    <x v="3"/>
    <x v="0"/>
    <x v="3"/>
    <x v="2"/>
  </r>
  <r>
    <s v="Singapore"/>
    <x v="0"/>
    <s v="SG2"/>
    <m/>
    <x v="2"/>
    <x v="1"/>
    <x v="1"/>
    <x v="0"/>
    <x v="0"/>
    <x v="0"/>
    <x v="0"/>
    <m/>
    <x v="0"/>
    <x v="0"/>
    <n v="1869.48"/>
    <m/>
    <x v="2"/>
    <x v="0"/>
    <x v="0"/>
    <x v="3"/>
    <x v="0"/>
  </r>
  <r>
    <s v="Singapore"/>
    <x v="4"/>
    <s v="SG3"/>
    <m/>
    <x v="4"/>
    <x v="3"/>
    <x v="3"/>
    <x v="2"/>
    <x v="0"/>
    <x v="0"/>
    <x v="0"/>
    <m/>
    <x v="0"/>
    <x v="0"/>
    <n v="-0.62316000000000005"/>
    <m/>
    <x v="4"/>
    <x v="0"/>
    <x v="0"/>
    <x v="2"/>
    <x v="0"/>
  </r>
  <r>
    <s v="Singapore"/>
    <x v="0"/>
    <s v="SG2"/>
    <m/>
    <x v="0"/>
    <x v="0"/>
    <x v="1"/>
    <x v="3"/>
    <x v="0"/>
    <x v="0"/>
    <x v="0"/>
    <m/>
    <x v="0"/>
    <x v="0"/>
    <n v="-9.3474000000000004"/>
    <m/>
    <x v="4"/>
    <x v="0"/>
    <x v="0"/>
    <x v="1"/>
    <x v="0"/>
  </r>
  <r>
    <s v="Singapore"/>
    <x v="4"/>
    <s v="SG4"/>
    <m/>
    <x v="4"/>
    <x v="4"/>
    <x v="1"/>
    <x v="4"/>
    <x v="0"/>
    <x v="0"/>
    <x v="0"/>
    <m/>
    <x v="0"/>
    <x v="0"/>
    <n v="-0.154029573"/>
    <m/>
    <x v="4"/>
    <x v="1"/>
    <x v="0"/>
    <x v="0"/>
    <x v="2"/>
  </r>
  <r>
    <s v="Singapore"/>
    <x v="1"/>
    <s v="SG1"/>
    <m/>
    <x v="5"/>
    <x v="2"/>
    <x v="4"/>
    <x v="5"/>
    <x v="0"/>
    <x v="0"/>
    <x v="0"/>
    <m/>
    <x v="0"/>
    <x v="0"/>
    <n v="0.292542462"/>
    <m/>
    <x v="7"/>
    <x v="1"/>
    <x v="0"/>
    <x v="1"/>
    <x v="0"/>
  </r>
  <r>
    <s v="Singapore"/>
    <x v="5"/>
    <s v="SG1"/>
    <m/>
    <x v="4"/>
    <x v="3"/>
    <x v="4"/>
    <x v="4"/>
    <x v="0"/>
    <x v="0"/>
    <x v="0"/>
    <m/>
    <x v="0"/>
    <x v="0"/>
    <n v="-14.623680141000003"/>
    <m/>
    <x v="4"/>
    <x v="2"/>
    <x v="0"/>
    <x v="0"/>
    <x v="2"/>
  </r>
  <r>
    <s v="Singapore"/>
    <x v="0"/>
    <s v="SG1"/>
    <m/>
    <x v="1"/>
    <x v="0"/>
    <x v="1"/>
    <x v="1"/>
    <x v="0"/>
    <x v="0"/>
    <x v="0"/>
    <m/>
    <x v="0"/>
    <x v="0"/>
    <n v="-14.6053125"/>
    <m/>
    <x v="4"/>
    <x v="1"/>
    <x v="0"/>
    <x v="1"/>
    <x v="2"/>
  </r>
  <r>
    <s v="Singapore"/>
    <x v="4"/>
    <s v="SG2"/>
    <m/>
    <x v="3"/>
    <x v="4"/>
    <x v="4"/>
    <x v="0"/>
    <x v="0"/>
    <x v="0"/>
    <x v="0"/>
    <m/>
    <x v="0"/>
    <x v="0"/>
    <n v="-0.12463200000000001"/>
    <m/>
    <x v="0"/>
    <x v="0"/>
    <x v="0"/>
    <x v="3"/>
    <x v="1"/>
  </r>
  <r>
    <s v="Singapore"/>
    <x v="4"/>
    <s v="SG2"/>
    <m/>
    <x v="1"/>
    <x v="2"/>
    <x v="0"/>
    <x v="0"/>
    <x v="0"/>
    <x v="0"/>
    <x v="0"/>
    <m/>
    <x v="0"/>
    <x v="0"/>
    <n v="-2.2573970999999999"/>
    <m/>
    <x v="3"/>
    <x v="0"/>
    <x v="0"/>
    <x v="2"/>
    <x v="1"/>
  </r>
  <r>
    <s v="Singapore"/>
    <x v="3"/>
    <s v="SG2"/>
    <m/>
    <x v="2"/>
    <x v="3"/>
    <x v="4"/>
    <x v="1"/>
    <x v="0"/>
    <x v="0"/>
    <x v="0"/>
    <m/>
    <x v="0"/>
    <x v="0"/>
    <n v="-1.2058146000000001"/>
    <m/>
    <x v="2"/>
    <x v="3"/>
    <x v="0"/>
    <x v="3"/>
    <x v="2"/>
  </r>
  <r>
    <s v="Singapore"/>
    <x v="4"/>
    <s v="SG2"/>
    <m/>
    <x v="2"/>
    <x v="4"/>
    <x v="0"/>
    <x v="4"/>
    <x v="0"/>
    <x v="0"/>
    <x v="0"/>
    <m/>
    <x v="0"/>
    <x v="0"/>
    <n v="31.158000000000001"/>
    <m/>
    <x v="1"/>
    <x v="3"/>
    <x v="0"/>
    <x v="5"/>
    <x v="2"/>
  </r>
  <r>
    <s v="Singapore"/>
    <x v="1"/>
    <s v="SG3"/>
    <m/>
    <x v="3"/>
    <x v="0"/>
    <x v="3"/>
    <x v="4"/>
    <x v="0"/>
    <x v="0"/>
    <x v="0"/>
    <m/>
    <x v="0"/>
    <x v="0"/>
    <n v="-0.31158000000000002"/>
    <m/>
    <x v="0"/>
    <x v="1"/>
    <x v="0"/>
    <x v="1"/>
    <x v="1"/>
  </r>
  <r>
    <s v="Singapore"/>
    <x v="2"/>
    <s v="SG1"/>
    <m/>
    <x v="4"/>
    <x v="2"/>
    <x v="3"/>
    <x v="3"/>
    <x v="0"/>
    <x v="0"/>
    <x v="0"/>
    <m/>
    <x v="0"/>
    <x v="0"/>
    <n v="-0.81010800000000005"/>
    <m/>
    <x v="4"/>
    <x v="2"/>
    <x v="0"/>
    <x v="0"/>
    <x v="2"/>
  </r>
  <r>
    <s v="Singapore"/>
    <x v="5"/>
    <s v="SG1"/>
    <m/>
    <x v="0"/>
    <x v="0"/>
    <x v="2"/>
    <x v="3"/>
    <x v="0"/>
    <x v="0"/>
    <x v="0"/>
    <m/>
    <x v="0"/>
    <x v="0"/>
    <n v="-1.6030791"/>
    <m/>
    <x v="2"/>
    <x v="0"/>
    <x v="0"/>
    <x v="5"/>
    <x v="0"/>
  </r>
  <r>
    <s v="Singapore"/>
    <x v="0"/>
    <s v="SG2"/>
    <m/>
    <x v="4"/>
    <x v="3"/>
    <x v="0"/>
    <x v="1"/>
    <x v="0"/>
    <x v="0"/>
    <x v="0"/>
    <m/>
    <x v="0"/>
    <x v="0"/>
    <n v="-3.8947500000000003E-2"/>
    <m/>
    <x v="0"/>
    <x v="2"/>
    <x v="0"/>
    <x v="3"/>
    <x v="1"/>
  </r>
  <r>
    <s v="Singapore"/>
    <x v="4"/>
    <s v="SG3"/>
    <m/>
    <x v="0"/>
    <x v="1"/>
    <x v="0"/>
    <x v="5"/>
    <x v="0"/>
    <x v="0"/>
    <x v="0"/>
    <m/>
    <x v="0"/>
    <x v="0"/>
    <n v="-2.775180744"/>
    <m/>
    <x v="4"/>
    <x v="2"/>
    <x v="0"/>
    <x v="3"/>
    <x v="1"/>
  </r>
  <r>
    <s v="Singapore"/>
    <x v="4"/>
    <s v="SG3"/>
    <m/>
    <x v="2"/>
    <x v="1"/>
    <x v="3"/>
    <x v="0"/>
    <x v="0"/>
    <x v="0"/>
    <x v="0"/>
    <m/>
    <x v="0"/>
    <x v="0"/>
    <n v="-0.14800050000000001"/>
    <m/>
    <x v="4"/>
    <x v="3"/>
    <x v="0"/>
    <x v="4"/>
    <x v="1"/>
  </r>
  <r>
    <s v="Singapore"/>
    <x v="5"/>
    <s v="SG3"/>
    <m/>
    <x v="1"/>
    <x v="3"/>
    <x v="2"/>
    <x v="5"/>
    <x v="0"/>
    <x v="0"/>
    <x v="0"/>
    <m/>
    <x v="0"/>
    <x v="0"/>
    <n v="-0.12463200000000001"/>
    <m/>
    <x v="0"/>
    <x v="0"/>
    <x v="0"/>
    <x v="4"/>
    <x v="1"/>
  </r>
  <r>
    <s v="Singapore"/>
    <x v="1"/>
    <s v="SG1"/>
    <m/>
    <x v="3"/>
    <x v="0"/>
    <x v="4"/>
    <x v="1"/>
    <x v="0"/>
    <x v="0"/>
    <x v="0"/>
    <m/>
    <x v="0"/>
    <x v="0"/>
    <n v="-0.17136900000000002"/>
    <m/>
    <x v="4"/>
    <x v="0"/>
    <x v="0"/>
    <x v="1"/>
    <x v="2"/>
  </r>
  <r>
    <s v="Singapore"/>
    <x v="3"/>
    <s v="SG4"/>
    <m/>
    <x v="4"/>
    <x v="2"/>
    <x v="4"/>
    <x v="0"/>
    <x v="0"/>
    <x v="0"/>
    <x v="0"/>
    <m/>
    <x v="0"/>
    <x v="0"/>
    <n v="-0.31158000000000002"/>
    <m/>
    <x v="4"/>
    <x v="1"/>
    <x v="0"/>
    <x v="1"/>
    <x v="2"/>
  </r>
  <r>
    <s v="Singapore"/>
    <x v="2"/>
    <s v="SG2"/>
    <m/>
    <x v="3"/>
    <x v="2"/>
    <x v="1"/>
    <x v="1"/>
    <x v="0"/>
    <x v="0"/>
    <x v="0"/>
    <m/>
    <x v="0"/>
    <x v="0"/>
    <n v="-3.1158000000000002E-2"/>
    <m/>
    <x v="0"/>
    <x v="3"/>
    <x v="0"/>
    <x v="4"/>
    <x v="1"/>
  </r>
  <r>
    <s v="Singapore"/>
    <x v="4"/>
    <s v="SG4"/>
    <m/>
    <x v="0"/>
    <x v="3"/>
    <x v="3"/>
    <x v="4"/>
    <x v="0"/>
    <x v="0"/>
    <x v="0"/>
    <m/>
    <x v="0"/>
    <x v="0"/>
    <n v="0.77895000000000003"/>
    <m/>
    <x v="4"/>
    <x v="0"/>
    <x v="0"/>
    <x v="4"/>
    <x v="1"/>
  </r>
  <r>
    <s v="Singapore"/>
    <x v="2"/>
    <s v="SG3"/>
    <m/>
    <x v="5"/>
    <x v="3"/>
    <x v="2"/>
    <x v="0"/>
    <x v="0"/>
    <x v="0"/>
    <x v="0"/>
    <m/>
    <x v="0"/>
    <x v="0"/>
    <n v="9.3474000000000002E-2"/>
    <m/>
    <x v="0"/>
    <x v="1"/>
    <x v="0"/>
    <x v="1"/>
    <x v="1"/>
  </r>
  <r>
    <s v="Singapore"/>
    <x v="5"/>
    <s v="SG4"/>
    <m/>
    <x v="5"/>
    <x v="4"/>
    <x v="3"/>
    <x v="0"/>
    <x v="0"/>
    <x v="0"/>
    <x v="0"/>
    <m/>
    <x v="0"/>
    <x v="0"/>
    <n v="-4.6737000000000002"/>
    <m/>
    <x v="4"/>
    <x v="0"/>
    <x v="0"/>
    <x v="4"/>
    <x v="1"/>
  </r>
  <r>
    <s v="Singapore"/>
    <x v="1"/>
    <s v="SG3"/>
    <m/>
    <x v="2"/>
    <x v="2"/>
    <x v="0"/>
    <x v="0"/>
    <x v="0"/>
    <x v="0"/>
    <x v="0"/>
    <m/>
    <x v="0"/>
    <x v="0"/>
    <n v="-0.12463200000000001"/>
    <m/>
    <x v="4"/>
    <x v="1"/>
    <x v="0"/>
    <x v="5"/>
    <x v="0"/>
  </r>
  <r>
    <s v="Singapore"/>
    <x v="3"/>
    <s v="SG1"/>
    <m/>
    <x v="2"/>
    <x v="2"/>
    <x v="0"/>
    <x v="5"/>
    <x v="0"/>
    <x v="0"/>
    <x v="0"/>
    <m/>
    <x v="0"/>
    <x v="0"/>
    <n v="-512.08024999500003"/>
    <m/>
    <x v="2"/>
    <x v="3"/>
    <x v="0"/>
    <x v="1"/>
    <x v="0"/>
  </r>
  <r>
    <s v="Singapore"/>
    <x v="2"/>
    <s v="SG3"/>
    <m/>
    <x v="5"/>
    <x v="4"/>
    <x v="3"/>
    <x v="5"/>
    <x v="0"/>
    <x v="0"/>
    <x v="0"/>
    <m/>
    <x v="0"/>
    <x v="0"/>
    <n v="0.264843"/>
    <m/>
    <x v="1"/>
    <x v="3"/>
    <x v="0"/>
    <x v="2"/>
    <x v="0"/>
  </r>
  <r>
    <s v="Singapore"/>
    <x v="1"/>
    <s v="SG4"/>
    <m/>
    <x v="3"/>
    <x v="4"/>
    <x v="4"/>
    <x v="4"/>
    <x v="0"/>
    <x v="0"/>
    <x v="0"/>
    <m/>
    <x v="0"/>
    <x v="0"/>
    <n v="-0.46737000000000001"/>
    <m/>
    <x v="0"/>
    <x v="0"/>
    <x v="0"/>
    <x v="4"/>
    <x v="0"/>
  </r>
  <r>
    <s v="Singapore"/>
    <x v="2"/>
    <s v="SG4"/>
    <m/>
    <x v="2"/>
    <x v="4"/>
    <x v="4"/>
    <x v="2"/>
    <x v="0"/>
    <x v="0"/>
    <x v="0"/>
    <m/>
    <x v="0"/>
    <x v="0"/>
    <n v="-2.4926400000000002"/>
    <m/>
    <x v="11"/>
    <x v="0"/>
    <x v="0"/>
    <x v="4"/>
    <x v="2"/>
  </r>
  <r>
    <s v="Singapore"/>
    <x v="0"/>
    <s v="SG3"/>
    <m/>
    <x v="4"/>
    <x v="2"/>
    <x v="1"/>
    <x v="3"/>
    <x v="0"/>
    <x v="0"/>
    <x v="0"/>
    <m/>
    <x v="0"/>
    <x v="0"/>
    <n v="-0.292542462"/>
    <m/>
    <x v="7"/>
    <x v="1"/>
    <x v="0"/>
    <x v="5"/>
    <x v="1"/>
  </r>
  <r>
    <s v="Singapore"/>
    <x v="4"/>
    <s v="SG1"/>
    <m/>
    <x v="1"/>
    <x v="1"/>
    <x v="3"/>
    <x v="4"/>
    <x v="0"/>
    <x v="0"/>
    <x v="0"/>
    <m/>
    <x v="0"/>
    <x v="0"/>
    <n v="-2.835378"/>
    <m/>
    <x v="4"/>
    <x v="2"/>
    <x v="0"/>
    <x v="2"/>
    <x v="1"/>
  </r>
  <r>
    <s v="Singapore"/>
    <x v="5"/>
    <s v="SG1"/>
    <m/>
    <x v="2"/>
    <x v="1"/>
    <x v="2"/>
    <x v="2"/>
    <x v="0"/>
    <x v="0"/>
    <x v="0"/>
    <m/>
    <x v="0"/>
    <x v="0"/>
    <n v="0.74467620000000001"/>
    <m/>
    <x v="1"/>
    <x v="2"/>
    <x v="0"/>
    <x v="4"/>
    <x v="0"/>
  </r>
  <r>
    <s v="Singapore"/>
    <x v="0"/>
    <s v="SG1"/>
    <m/>
    <x v="0"/>
    <x v="0"/>
    <x v="2"/>
    <x v="5"/>
    <x v="0"/>
    <x v="0"/>
    <x v="0"/>
    <m/>
    <x v="0"/>
    <x v="0"/>
    <n v="0.15579000000000001"/>
    <m/>
    <x v="1"/>
    <x v="1"/>
    <x v="0"/>
    <x v="4"/>
    <x v="1"/>
  </r>
  <r>
    <s v="Singapore"/>
    <x v="3"/>
    <s v="SG2"/>
    <m/>
    <x v="5"/>
    <x v="1"/>
    <x v="3"/>
    <x v="2"/>
    <x v="0"/>
    <x v="0"/>
    <x v="0"/>
    <m/>
    <x v="0"/>
    <x v="0"/>
    <n v="-3.8947500000000003E-2"/>
    <m/>
    <x v="0"/>
    <x v="1"/>
    <x v="0"/>
    <x v="2"/>
    <x v="0"/>
  </r>
  <r>
    <s v="Singapore"/>
    <x v="2"/>
    <s v="SG4"/>
    <m/>
    <x v="5"/>
    <x v="1"/>
    <x v="3"/>
    <x v="1"/>
    <x v="0"/>
    <x v="0"/>
    <x v="0"/>
    <m/>
    <x v="0"/>
    <x v="0"/>
    <n v="-0.15579000000000001"/>
    <m/>
    <x v="0"/>
    <x v="2"/>
    <x v="0"/>
    <x v="3"/>
    <x v="2"/>
  </r>
  <r>
    <s v="Singapore"/>
    <x v="2"/>
    <s v="SG1"/>
    <m/>
    <x v="0"/>
    <x v="0"/>
    <x v="1"/>
    <x v="1"/>
    <x v="0"/>
    <x v="0"/>
    <x v="0"/>
    <m/>
    <x v="0"/>
    <x v="0"/>
    <n v="-1.6428990240000001"/>
    <m/>
    <x v="3"/>
    <x v="0"/>
    <x v="0"/>
    <x v="1"/>
    <x v="0"/>
  </r>
  <r>
    <s v="Singapore"/>
    <x v="2"/>
    <s v="SG4"/>
    <m/>
    <x v="3"/>
    <x v="3"/>
    <x v="2"/>
    <x v="3"/>
    <x v="0"/>
    <x v="0"/>
    <x v="0"/>
    <m/>
    <x v="0"/>
    <x v="0"/>
    <n v="-24.649483275000001"/>
    <m/>
    <x v="4"/>
    <x v="1"/>
    <x v="0"/>
    <x v="1"/>
    <x v="0"/>
  </r>
  <r>
    <s v="Singapore"/>
    <x v="2"/>
    <s v="SG2"/>
    <m/>
    <x v="4"/>
    <x v="2"/>
    <x v="3"/>
    <x v="2"/>
    <x v="0"/>
    <x v="0"/>
    <x v="0"/>
    <m/>
    <x v="0"/>
    <x v="0"/>
    <n v="7.7895000000000006E-2"/>
    <m/>
    <x v="6"/>
    <x v="2"/>
    <x v="0"/>
    <x v="5"/>
    <x v="0"/>
  </r>
  <r>
    <s v="Singapore"/>
    <x v="0"/>
    <s v="SG3"/>
    <m/>
    <x v="3"/>
    <x v="2"/>
    <x v="2"/>
    <x v="3"/>
    <x v="0"/>
    <x v="0"/>
    <x v="0"/>
    <m/>
    <x v="0"/>
    <x v="0"/>
    <n v="2.243376"/>
    <m/>
    <x v="1"/>
    <x v="1"/>
    <x v="0"/>
    <x v="0"/>
    <x v="1"/>
  </r>
  <r>
    <s v="Singapore"/>
    <x v="3"/>
    <s v="SG1"/>
    <m/>
    <x v="3"/>
    <x v="4"/>
    <x v="2"/>
    <x v="1"/>
    <x v="0"/>
    <x v="0"/>
    <x v="0"/>
    <m/>
    <x v="0"/>
    <x v="0"/>
    <n v="0.28012599900000001"/>
    <m/>
    <x v="0"/>
    <x v="2"/>
    <x v="0"/>
    <x v="5"/>
    <x v="1"/>
  </r>
  <r>
    <s v="Singapore"/>
    <x v="2"/>
    <s v="SG3"/>
    <m/>
    <x v="5"/>
    <x v="2"/>
    <x v="4"/>
    <x v="4"/>
    <x v="0"/>
    <x v="0"/>
    <x v="0"/>
    <m/>
    <x v="0"/>
    <x v="0"/>
    <n v="3.8021640030000006"/>
    <m/>
    <x v="7"/>
    <x v="3"/>
    <x v="0"/>
    <x v="2"/>
    <x v="2"/>
  </r>
  <r>
    <s v="Singapore"/>
    <x v="5"/>
    <s v="SG1"/>
    <m/>
    <x v="5"/>
    <x v="1"/>
    <x v="1"/>
    <x v="5"/>
    <x v="0"/>
    <x v="0"/>
    <x v="0"/>
    <m/>
    <x v="0"/>
    <x v="0"/>
    <n v="-1.6018483590000001"/>
    <m/>
    <x v="0"/>
    <x v="0"/>
    <x v="0"/>
    <x v="4"/>
    <x v="0"/>
  </r>
  <r>
    <s v="Singapore"/>
    <x v="0"/>
    <s v="SG1"/>
    <m/>
    <x v="0"/>
    <x v="3"/>
    <x v="3"/>
    <x v="4"/>
    <x v="0"/>
    <x v="0"/>
    <x v="0"/>
    <m/>
    <x v="0"/>
    <x v="0"/>
    <n v="0.63724341600000012"/>
    <m/>
    <x v="8"/>
    <x v="1"/>
    <x v="0"/>
    <x v="3"/>
    <x v="1"/>
  </r>
  <r>
    <s v="Singapore"/>
    <x v="3"/>
    <s v="SG2"/>
    <m/>
    <x v="2"/>
    <x v="0"/>
    <x v="4"/>
    <x v="5"/>
    <x v="0"/>
    <x v="0"/>
    <x v="0"/>
    <m/>
    <x v="0"/>
    <x v="0"/>
    <n v="0.60990227100000005"/>
    <m/>
    <x v="1"/>
    <x v="1"/>
    <x v="0"/>
    <x v="3"/>
    <x v="0"/>
  </r>
  <r>
    <s v="Singapore"/>
    <x v="4"/>
    <s v="SG1"/>
    <m/>
    <x v="1"/>
    <x v="3"/>
    <x v="4"/>
    <x v="2"/>
    <x v="0"/>
    <x v="0"/>
    <x v="0"/>
    <m/>
    <x v="0"/>
    <x v="0"/>
    <n v="1.1450565000000001"/>
    <m/>
    <x v="1"/>
    <x v="1"/>
    <x v="0"/>
    <x v="5"/>
    <x v="0"/>
  </r>
  <r>
    <s v="Singapore"/>
    <x v="3"/>
    <s v="SG4"/>
    <m/>
    <x v="5"/>
    <x v="4"/>
    <x v="3"/>
    <x v="1"/>
    <x v="0"/>
    <x v="0"/>
    <x v="0"/>
    <m/>
    <x v="0"/>
    <x v="0"/>
    <n v="-7.7895000000000006E-2"/>
    <m/>
    <x v="0"/>
    <x v="2"/>
    <x v="0"/>
    <x v="4"/>
    <x v="1"/>
  </r>
  <r>
    <s v="Singapore"/>
    <x v="4"/>
    <s v="SG3"/>
    <m/>
    <x v="3"/>
    <x v="4"/>
    <x v="0"/>
    <x v="1"/>
    <x v="0"/>
    <x v="0"/>
    <x v="0"/>
    <m/>
    <x v="0"/>
    <x v="0"/>
    <n v="-2.6484300000000003"/>
    <m/>
    <x v="1"/>
    <x v="2"/>
    <x v="0"/>
    <x v="4"/>
    <x v="1"/>
  </r>
  <r>
    <s v="Singapore"/>
    <x v="0"/>
    <s v="SG1"/>
    <m/>
    <x v="4"/>
    <x v="4"/>
    <x v="0"/>
    <x v="2"/>
    <x v="0"/>
    <x v="0"/>
    <x v="0"/>
    <m/>
    <x v="0"/>
    <x v="0"/>
    <n v="-9.3474000000000002E-2"/>
    <m/>
    <x v="4"/>
    <x v="3"/>
    <x v="0"/>
    <x v="0"/>
    <x v="1"/>
  </r>
  <r>
    <s v="Singapore"/>
    <x v="2"/>
    <s v="SG3"/>
    <m/>
    <x v="1"/>
    <x v="3"/>
    <x v="0"/>
    <x v="0"/>
    <x v="0"/>
    <x v="0"/>
    <x v="0"/>
    <m/>
    <x v="0"/>
    <x v="0"/>
    <n v="-0.37389600000000001"/>
    <m/>
    <x v="4"/>
    <x v="3"/>
    <x v="0"/>
    <x v="5"/>
    <x v="1"/>
  </r>
  <r>
    <s v="Singapore"/>
    <x v="2"/>
    <s v="SG3"/>
    <m/>
    <x v="2"/>
    <x v="4"/>
    <x v="4"/>
    <x v="1"/>
    <x v="0"/>
    <x v="0"/>
    <x v="0"/>
    <m/>
    <x v="0"/>
    <x v="0"/>
    <n v="-0.15579000000000001"/>
    <m/>
    <x v="0"/>
    <x v="0"/>
    <x v="0"/>
    <x v="3"/>
    <x v="1"/>
  </r>
  <r>
    <s v="Singapore"/>
    <x v="3"/>
    <s v="SG3"/>
    <m/>
    <x v="5"/>
    <x v="2"/>
    <x v="2"/>
    <x v="4"/>
    <x v="0"/>
    <x v="0"/>
    <x v="0"/>
    <m/>
    <x v="0"/>
    <x v="0"/>
    <n v="-4.6737000000000002"/>
    <m/>
    <x v="4"/>
    <x v="0"/>
    <x v="0"/>
    <x v="3"/>
    <x v="1"/>
  </r>
  <r>
    <s v="Singapore"/>
    <x v="3"/>
    <s v="SG4"/>
    <m/>
    <x v="5"/>
    <x v="0"/>
    <x v="0"/>
    <x v="1"/>
    <x v="0"/>
    <x v="0"/>
    <x v="0"/>
    <m/>
    <x v="0"/>
    <x v="0"/>
    <n v="0.27933147000000003"/>
    <m/>
    <x v="8"/>
    <x v="2"/>
    <x v="0"/>
    <x v="5"/>
    <x v="0"/>
  </r>
  <r>
    <s v="Singapore"/>
    <x v="5"/>
    <s v="SG1"/>
    <m/>
    <x v="0"/>
    <x v="3"/>
    <x v="1"/>
    <x v="1"/>
    <x v="0"/>
    <x v="0"/>
    <x v="0"/>
    <m/>
    <x v="0"/>
    <x v="0"/>
    <n v="0.15579000000000001"/>
    <m/>
    <x v="1"/>
    <x v="3"/>
    <x v="0"/>
    <x v="2"/>
    <x v="0"/>
  </r>
  <r>
    <s v="Singapore"/>
    <x v="5"/>
    <s v="SG3"/>
    <m/>
    <x v="4"/>
    <x v="2"/>
    <x v="4"/>
    <x v="1"/>
    <x v="0"/>
    <x v="0"/>
    <x v="0"/>
    <m/>
    <x v="0"/>
    <x v="0"/>
    <n v="-3.7389599999999999E-3"/>
    <m/>
    <x v="6"/>
    <x v="3"/>
    <x v="0"/>
    <x v="3"/>
    <x v="0"/>
  </r>
  <r>
    <s v="Singapore"/>
    <x v="0"/>
    <s v="SG2"/>
    <m/>
    <x v="2"/>
    <x v="2"/>
    <x v="2"/>
    <x v="0"/>
    <x v="0"/>
    <x v="0"/>
    <x v="0"/>
    <m/>
    <x v="0"/>
    <x v="0"/>
    <n v="0.60758100000000004"/>
    <m/>
    <x v="8"/>
    <x v="0"/>
    <x v="0"/>
    <x v="2"/>
    <x v="2"/>
  </r>
  <r>
    <s v="Singapore"/>
    <x v="4"/>
    <s v="SG3"/>
    <m/>
    <x v="2"/>
    <x v="3"/>
    <x v="4"/>
    <x v="4"/>
    <x v="0"/>
    <x v="0"/>
    <x v="0"/>
    <m/>
    <x v="0"/>
    <x v="0"/>
    <n v="3.2092740000000002"/>
    <m/>
    <x v="1"/>
    <x v="0"/>
    <x v="0"/>
    <x v="5"/>
    <x v="0"/>
  </r>
  <r>
    <s v="Singapore"/>
    <x v="5"/>
    <s v="SG4"/>
    <m/>
    <x v="4"/>
    <x v="3"/>
    <x v="1"/>
    <x v="2"/>
    <x v="0"/>
    <x v="0"/>
    <x v="0"/>
    <m/>
    <x v="0"/>
    <x v="0"/>
    <n v="-0.54643342500000003"/>
    <m/>
    <x v="4"/>
    <x v="2"/>
    <x v="0"/>
    <x v="0"/>
    <x v="1"/>
  </r>
  <r>
    <s v="Singapore"/>
    <x v="3"/>
    <s v="SG1"/>
    <m/>
    <x v="5"/>
    <x v="0"/>
    <x v="2"/>
    <x v="1"/>
    <x v="0"/>
    <x v="0"/>
    <x v="0"/>
    <m/>
    <x v="0"/>
    <x v="0"/>
    <n v="-0.545265"/>
    <m/>
    <x v="4"/>
    <x v="3"/>
    <x v="0"/>
    <x v="0"/>
    <x v="0"/>
  </r>
  <r>
    <s v="Singapore"/>
    <x v="3"/>
    <s v="SG2"/>
    <m/>
    <x v="0"/>
    <x v="1"/>
    <x v="4"/>
    <x v="2"/>
    <x v="0"/>
    <x v="0"/>
    <x v="0"/>
    <m/>
    <x v="0"/>
    <x v="0"/>
    <n v="-0.62316000000000005"/>
    <m/>
    <x v="4"/>
    <x v="0"/>
    <x v="0"/>
    <x v="2"/>
    <x v="1"/>
  </r>
  <r>
    <s v="Singapore"/>
    <x v="5"/>
    <s v="SG1"/>
    <m/>
    <x v="5"/>
    <x v="1"/>
    <x v="3"/>
    <x v="5"/>
    <x v="0"/>
    <x v="0"/>
    <x v="0"/>
    <m/>
    <x v="0"/>
    <x v="0"/>
    <n v="-0.18373872600000002"/>
    <m/>
    <x v="0"/>
    <x v="1"/>
    <x v="0"/>
    <x v="2"/>
    <x v="0"/>
  </r>
  <r>
    <s v="Singapore"/>
    <x v="0"/>
    <s v="SG3"/>
    <m/>
    <x v="1"/>
    <x v="1"/>
    <x v="2"/>
    <x v="1"/>
    <x v="0"/>
    <x v="0"/>
    <x v="0"/>
    <m/>
    <x v="0"/>
    <x v="0"/>
    <n v="-0.31158000000000002"/>
    <m/>
    <x v="4"/>
    <x v="3"/>
    <x v="0"/>
    <x v="0"/>
    <x v="1"/>
  </r>
  <r>
    <s v="Singapore"/>
    <x v="3"/>
    <s v="SG4"/>
    <m/>
    <x v="1"/>
    <x v="0"/>
    <x v="3"/>
    <x v="0"/>
    <x v="0"/>
    <x v="0"/>
    <x v="0"/>
    <m/>
    <x v="0"/>
    <x v="0"/>
    <n v="-1.6825320000000001"/>
    <m/>
    <x v="0"/>
    <x v="2"/>
    <x v="0"/>
    <x v="4"/>
    <x v="0"/>
  </r>
  <r>
    <s v="Singapore"/>
    <x v="0"/>
    <s v="SG2"/>
    <m/>
    <x v="4"/>
    <x v="1"/>
    <x v="0"/>
    <x v="4"/>
    <x v="0"/>
    <x v="0"/>
    <x v="0"/>
    <m/>
    <x v="0"/>
    <x v="0"/>
    <n v="1.3008465"/>
    <m/>
    <x v="1"/>
    <x v="2"/>
    <x v="0"/>
    <x v="2"/>
    <x v="2"/>
  </r>
  <r>
    <s v="Singapore"/>
    <x v="5"/>
    <s v="SG4"/>
    <m/>
    <x v="5"/>
    <x v="2"/>
    <x v="4"/>
    <x v="1"/>
    <x v="0"/>
    <x v="0"/>
    <x v="0"/>
    <m/>
    <x v="0"/>
    <x v="0"/>
    <n v="-9.4904463779999997"/>
    <m/>
    <x v="2"/>
    <x v="0"/>
    <x v="0"/>
    <x v="5"/>
    <x v="0"/>
  </r>
  <r>
    <s v="Singapore"/>
    <x v="2"/>
    <s v="SG3"/>
    <m/>
    <x v="3"/>
    <x v="3"/>
    <x v="2"/>
    <x v="2"/>
    <x v="0"/>
    <x v="0"/>
    <x v="0"/>
    <m/>
    <x v="0"/>
    <x v="0"/>
    <n v="0.67768650000000008"/>
    <m/>
    <x v="1"/>
    <x v="3"/>
    <x v="0"/>
    <x v="1"/>
    <x v="2"/>
  </r>
  <r>
    <s v="Singapore"/>
    <x v="4"/>
    <s v="SG2"/>
    <m/>
    <x v="3"/>
    <x v="2"/>
    <x v="2"/>
    <x v="0"/>
    <x v="0"/>
    <x v="0"/>
    <x v="0"/>
    <m/>
    <x v="0"/>
    <x v="0"/>
    <n v="0.17136900000000002"/>
    <m/>
    <x v="0"/>
    <x v="1"/>
    <x v="0"/>
    <x v="4"/>
    <x v="0"/>
  </r>
  <r>
    <s v="Singapore"/>
    <x v="1"/>
    <s v="SG3"/>
    <m/>
    <x v="5"/>
    <x v="0"/>
    <x v="2"/>
    <x v="2"/>
    <x v="0"/>
    <x v="0"/>
    <x v="0"/>
    <m/>
    <x v="0"/>
    <x v="0"/>
    <n v="-2.8042199999999999"/>
    <m/>
    <x v="2"/>
    <x v="1"/>
    <x v="0"/>
    <x v="0"/>
    <x v="2"/>
  </r>
  <r>
    <s v="Singapore"/>
    <x v="0"/>
    <s v="SG2"/>
    <m/>
    <x v="2"/>
    <x v="2"/>
    <x v="4"/>
    <x v="3"/>
    <x v="0"/>
    <x v="0"/>
    <x v="0"/>
    <m/>
    <x v="0"/>
    <x v="0"/>
    <n v="-3.2715900000000002"/>
    <m/>
    <x v="8"/>
    <x v="1"/>
    <x v="0"/>
    <x v="1"/>
    <x v="2"/>
  </r>
  <r>
    <s v="Singapore"/>
    <x v="3"/>
    <s v="SG1"/>
    <m/>
    <x v="0"/>
    <x v="4"/>
    <x v="1"/>
    <x v="2"/>
    <x v="0"/>
    <x v="0"/>
    <x v="0"/>
    <m/>
    <x v="0"/>
    <x v="0"/>
    <n v="-0.37389600000000001"/>
    <m/>
    <x v="4"/>
    <x v="1"/>
    <x v="0"/>
    <x v="0"/>
    <x v="2"/>
  </r>
  <r>
    <s v="Singapore"/>
    <x v="3"/>
    <s v="SG3"/>
    <m/>
    <x v="0"/>
    <x v="1"/>
    <x v="0"/>
    <x v="0"/>
    <x v="0"/>
    <x v="0"/>
    <x v="0"/>
    <m/>
    <x v="0"/>
    <x v="0"/>
    <n v="0.42063300000000003"/>
    <m/>
    <x v="4"/>
    <x v="3"/>
    <x v="0"/>
    <x v="2"/>
    <x v="1"/>
  </r>
  <r>
    <s v="Singapore"/>
    <x v="5"/>
    <s v="SG2"/>
    <m/>
    <x v="0"/>
    <x v="1"/>
    <x v="0"/>
    <x v="4"/>
    <x v="0"/>
    <x v="0"/>
    <x v="0"/>
    <m/>
    <x v="0"/>
    <x v="0"/>
    <n v="13.242150000000001"/>
    <m/>
    <x v="7"/>
    <x v="2"/>
    <x v="0"/>
    <x v="0"/>
    <x v="1"/>
  </r>
  <r>
    <s v="Singapore"/>
    <x v="5"/>
    <s v="SG4"/>
    <m/>
    <x v="3"/>
    <x v="3"/>
    <x v="1"/>
    <x v="4"/>
    <x v="0"/>
    <x v="0"/>
    <x v="0"/>
    <m/>
    <x v="0"/>
    <x v="0"/>
    <n v="-0.25315874999999999"/>
    <m/>
    <x v="1"/>
    <x v="3"/>
    <x v="0"/>
    <x v="4"/>
    <x v="1"/>
  </r>
  <r>
    <s v="Singapore"/>
    <x v="4"/>
    <s v="SG3"/>
    <m/>
    <x v="3"/>
    <x v="4"/>
    <x v="2"/>
    <x v="2"/>
    <x v="0"/>
    <x v="0"/>
    <x v="0"/>
    <m/>
    <x v="0"/>
    <x v="0"/>
    <n v="-0.77895000000000003"/>
    <m/>
    <x v="4"/>
    <x v="1"/>
    <x v="0"/>
    <x v="3"/>
    <x v="1"/>
  </r>
  <r>
    <s v="Singapore"/>
    <x v="5"/>
    <s v="SG4"/>
    <m/>
    <x v="2"/>
    <x v="0"/>
    <x v="2"/>
    <x v="5"/>
    <x v="0"/>
    <x v="0"/>
    <x v="0"/>
    <m/>
    <x v="0"/>
    <x v="0"/>
    <n v="-0.10905300000000001"/>
    <m/>
    <x v="4"/>
    <x v="0"/>
    <x v="0"/>
    <x v="3"/>
    <x v="0"/>
  </r>
  <r>
    <s v="Singapore"/>
    <x v="4"/>
    <s v="SG4"/>
    <m/>
    <x v="1"/>
    <x v="3"/>
    <x v="2"/>
    <x v="0"/>
    <x v="0"/>
    <x v="0"/>
    <x v="0"/>
    <m/>
    <x v="0"/>
    <x v="0"/>
    <n v="-0.38947500000000002"/>
    <m/>
    <x v="0"/>
    <x v="3"/>
    <x v="0"/>
    <x v="0"/>
    <x v="2"/>
  </r>
  <r>
    <s v="Singapore"/>
    <x v="3"/>
    <s v="SG3"/>
    <m/>
    <x v="0"/>
    <x v="0"/>
    <x v="3"/>
    <x v="3"/>
    <x v="0"/>
    <x v="0"/>
    <x v="0"/>
    <m/>
    <x v="0"/>
    <x v="0"/>
    <n v="-0.20252700000000001"/>
    <m/>
    <x v="0"/>
    <x v="3"/>
    <x v="0"/>
    <x v="2"/>
    <x v="1"/>
  </r>
  <r>
    <s v="Singapore"/>
    <x v="3"/>
    <s v="SG3"/>
    <m/>
    <x v="4"/>
    <x v="2"/>
    <x v="3"/>
    <x v="3"/>
    <x v="0"/>
    <x v="0"/>
    <x v="0"/>
    <m/>
    <x v="0"/>
    <x v="0"/>
    <n v="-0.233685"/>
    <m/>
    <x v="0"/>
    <x v="1"/>
    <x v="0"/>
    <x v="2"/>
    <x v="1"/>
  </r>
  <r>
    <s v="Singapore"/>
    <x v="3"/>
    <s v="SG1"/>
    <m/>
    <x v="3"/>
    <x v="2"/>
    <x v="1"/>
    <x v="4"/>
    <x v="0"/>
    <x v="0"/>
    <x v="0"/>
    <m/>
    <x v="0"/>
    <x v="0"/>
    <n v="-0.46737000000000001"/>
    <m/>
    <x v="1"/>
    <x v="1"/>
    <x v="0"/>
    <x v="5"/>
    <x v="0"/>
  </r>
  <r>
    <s v="Singapore"/>
    <x v="4"/>
    <s v="SG1"/>
    <m/>
    <x v="5"/>
    <x v="1"/>
    <x v="1"/>
    <x v="5"/>
    <x v="0"/>
    <x v="0"/>
    <x v="0"/>
    <m/>
    <x v="0"/>
    <x v="0"/>
    <n v="-9.8147700000000004E-2"/>
    <m/>
    <x v="3"/>
    <x v="2"/>
    <x v="0"/>
    <x v="0"/>
    <x v="1"/>
  </r>
  <r>
    <s v="Singapore"/>
    <x v="2"/>
    <s v="SG3"/>
    <m/>
    <x v="3"/>
    <x v="1"/>
    <x v="3"/>
    <x v="1"/>
    <x v="0"/>
    <x v="0"/>
    <x v="0"/>
    <m/>
    <x v="0"/>
    <x v="0"/>
    <n v="-0.70105499999999998"/>
    <m/>
    <x v="1"/>
    <x v="1"/>
    <x v="0"/>
    <x v="2"/>
    <x v="0"/>
  </r>
  <r>
    <s v="Singapore"/>
    <x v="5"/>
    <s v="SG1"/>
    <m/>
    <x v="0"/>
    <x v="4"/>
    <x v="2"/>
    <x v="2"/>
    <x v="0"/>
    <x v="0"/>
    <x v="0"/>
    <m/>
    <x v="0"/>
    <x v="0"/>
    <n v="0.1838322"/>
    <m/>
    <x v="4"/>
    <x v="2"/>
    <x v="0"/>
    <x v="4"/>
    <x v="0"/>
  </r>
  <r>
    <s v="Singapore"/>
    <x v="2"/>
    <s v="SG1"/>
    <m/>
    <x v="2"/>
    <x v="4"/>
    <x v="3"/>
    <x v="1"/>
    <x v="0"/>
    <x v="0"/>
    <x v="0"/>
    <m/>
    <x v="0"/>
    <x v="0"/>
    <n v="-9.3474000000000002E-2"/>
    <m/>
    <x v="0"/>
    <x v="2"/>
    <x v="0"/>
    <x v="2"/>
    <x v="0"/>
  </r>
  <r>
    <s v="Singapore"/>
    <x v="3"/>
    <s v="SG3"/>
    <m/>
    <x v="3"/>
    <x v="1"/>
    <x v="2"/>
    <x v="2"/>
    <x v="0"/>
    <x v="0"/>
    <x v="0"/>
    <m/>
    <x v="0"/>
    <x v="0"/>
    <n v="0.233685"/>
    <m/>
    <x v="1"/>
    <x v="3"/>
    <x v="0"/>
    <x v="0"/>
    <x v="0"/>
  </r>
  <r>
    <s v="Singapore"/>
    <x v="3"/>
    <s v="SG4"/>
    <m/>
    <x v="3"/>
    <x v="2"/>
    <x v="1"/>
    <x v="1"/>
    <x v="0"/>
    <x v="0"/>
    <x v="0"/>
    <m/>
    <x v="0"/>
    <x v="0"/>
    <n v="-7.0105500000000001E-2"/>
    <m/>
    <x v="4"/>
    <x v="1"/>
    <x v="0"/>
    <x v="4"/>
    <x v="1"/>
  </r>
  <r>
    <s v="Singapore"/>
    <x v="2"/>
    <s v="SG2"/>
    <m/>
    <x v="5"/>
    <x v="0"/>
    <x v="3"/>
    <x v="2"/>
    <x v="0"/>
    <x v="0"/>
    <x v="0"/>
    <m/>
    <x v="0"/>
    <x v="0"/>
    <n v="-1.5579000000000001E-2"/>
    <m/>
    <x v="0"/>
    <x v="1"/>
    <x v="0"/>
    <x v="3"/>
    <x v="0"/>
  </r>
  <r>
    <s v="Singapore"/>
    <x v="1"/>
    <s v="SG3"/>
    <m/>
    <x v="1"/>
    <x v="4"/>
    <x v="3"/>
    <x v="0"/>
    <x v="0"/>
    <x v="0"/>
    <x v="0"/>
    <m/>
    <x v="0"/>
    <x v="0"/>
    <n v="-0.90552937500000008"/>
    <m/>
    <x v="0"/>
    <x v="3"/>
    <x v="0"/>
    <x v="4"/>
    <x v="0"/>
  </r>
  <r>
    <s v="Singapore"/>
    <x v="1"/>
    <s v="SG1"/>
    <m/>
    <x v="1"/>
    <x v="0"/>
    <x v="4"/>
    <x v="1"/>
    <x v="0"/>
    <x v="0"/>
    <x v="0"/>
    <m/>
    <x v="0"/>
    <x v="0"/>
    <n v="4.424436"/>
    <m/>
    <x v="11"/>
    <x v="3"/>
    <x v="0"/>
    <x v="2"/>
    <x v="2"/>
  </r>
  <r>
    <s v="Singapore"/>
    <x v="3"/>
    <s v="SG2"/>
    <m/>
    <x v="0"/>
    <x v="1"/>
    <x v="3"/>
    <x v="2"/>
    <x v="0"/>
    <x v="0"/>
    <x v="0"/>
    <m/>
    <x v="0"/>
    <x v="0"/>
    <n v="0.15579000000000001"/>
    <m/>
    <x v="1"/>
    <x v="3"/>
    <x v="0"/>
    <x v="5"/>
    <x v="0"/>
  </r>
  <r>
    <s v="Singapore"/>
    <x v="0"/>
    <s v="SG4"/>
    <m/>
    <x v="4"/>
    <x v="4"/>
    <x v="2"/>
    <x v="5"/>
    <x v="0"/>
    <x v="0"/>
    <x v="0"/>
    <m/>
    <x v="0"/>
    <x v="0"/>
    <n v="0.21031650000000002"/>
    <m/>
    <x v="1"/>
    <x v="0"/>
    <x v="0"/>
    <x v="3"/>
    <x v="2"/>
  </r>
  <r>
    <s v="Singapore"/>
    <x v="5"/>
    <s v="SG3"/>
    <m/>
    <x v="5"/>
    <x v="0"/>
    <x v="3"/>
    <x v="2"/>
    <x v="0"/>
    <x v="0"/>
    <x v="0"/>
    <m/>
    <x v="0"/>
    <x v="0"/>
    <n v="-0.60758100000000004"/>
    <m/>
    <x v="4"/>
    <x v="1"/>
    <x v="0"/>
    <x v="3"/>
    <x v="0"/>
  </r>
  <r>
    <s v="Singapore"/>
    <x v="1"/>
    <s v="SG1"/>
    <m/>
    <x v="1"/>
    <x v="2"/>
    <x v="2"/>
    <x v="4"/>
    <x v="0"/>
    <x v="0"/>
    <x v="0"/>
    <m/>
    <x v="0"/>
    <x v="0"/>
    <n v="1.137267"/>
    <m/>
    <x v="1"/>
    <x v="2"/>
    <x v="0"/>
    <x v="1"/>
    <x v="1"/>
  </r>
  <r>
    <s v="Singapore"/>
    <x v="5"/>
    <s v="SG1"/>
    <m/>
    <x v="4"/>
    <x v="1"/>
    <x v="1"/>
    <x v="0"/>
    <x v="0"/>
    <x v="0"/>
    <x v="0"/>
    <m/>
    <x v="0"/>
    <x v="0"/>
    <n v="-0.12307410000000001"/>
    <m/>
    <x v="4"/>
    <x v="0"/>
    <x v="0"/>
    <x v="5"/>
    <x v="2"/>
  </r>
  <r>
    <s v="Singapore"/>
    <x v="1"/>
    <s v="SG4"/>
    <m/>
    <x v="5"/>
    <x v="3"/>
    <x v="0"/>
    <x v="5"/>
    <x v="0"/>
    <x v="0"/>
    <x v="0"/>
    <m/>
    <x v="0"/>
    <x v="0"/>
    <n v="-4.0505400000000004E-2"/>
    <m/>
    <x v="2"/>
    <x v="3"/>
    <x v="0"/>
    <x v="3"/>
    <x v="0"/>
  </r>
  <r>
    <s v="Singapore"/>
    <x v="0"/>
    <s v="SG3"/>
    <m/>
    <x v="0"/>
    <x v="4"/>
    <x v="1"/>
    <x v="2"/>
    <x v="0"/>
    <x v="0"/>
    <x v="0"/>
    <m/>
    <x v="0"/>
    <x v="0"/>
    <n v="-0.12463200000000001"/>
    <m/>
    <x v="0"/>
    <x v="2"/>
    <x v="0"/>
    <x v="5"/>
    <x v="0"/>
  </r>
  <r>
    <s v="Singapore"/>
    <x v="1"/>
    <s v="SG2"/>
    <m/>
    <x v="4"/>
    <x v="4"/>
    <x v="3"/>
    <x v="2"/>
    <x v="0"/>
    <x v="0"/>
    <x v="0"/>
    <m/>
    <x v="0"/>
    <x v="0"/>
    <n v="1651.523059872"/>
    <m/>
    <x v="5"/>
    <x v="3"/>
    <x v="0"/>
    <x v="0"/>
    <x v="0"/>
  </r>
  <r>
    <s v="Singapore"/>
    <x v="4"/>
    <s v="SG2"/>
    <m/>
    <x v="1"/>
    <x v="2"/>
    <x v="0"/>
    <x v="0"/>
    <x v="0"/>
    <x v="0"/>
    <x v="0"/>
    <m/>
    <x v="0"/>
    <x v="0"/>
    <n v="-0.545265"/>
    <m/>
    <x v="1"/>
    <x v="1"/>
    <x v="0"/>
    <x v="1"/>
    <x v="1"/>
  </r>
  <r>
    <s v="Singapore"/>
    <x v="0"/>
    <s v="SG2"/>
    <m/>
    <x v="1"/>
    <x v="4"/>
    <x v="2"/>
    <x v="0"/>
    <x v="0"/>
    <x v="0"/>
    <x v="0"/>
    <m/>
    <x v="0"/>
    <x v="0"/>
    <n v="-7.7895000000000004E-3"/>
    <m/>
    <x v="0"/>
    <x v="1"/>
    <x v="0"/>
    <x v="1"/>
    <x v="1"/>
  </r>
  <r>
    <s v="Singapore"/>
    <x v="4"/>
    <s v="SG1"/>
    <m/>
    <x v="2"/>
    <x v="3"/>
    <x v="3"/>
    <x v="1"/>
    <x v="0"/>
    <x v="0"/>
    <x v="0"/>
    <m/>
    <x v="0"/>
    <x v="0"/>
    <n v="-7.0105500000000001E-2"/>
    <m/>
    <x v="4"/>
    <x v="0"/>
    <x v="0"/>
    <x v="1"/>
    <x v="2"/>
  </r>
  <r>
    <s v="Singapore"/>
    <x v="4"/>
    <s v="SG2"/>
    <m/>
    <x v="1"/>
    <x v="3"/>
    <x v="0"/>
    <x v="2"/>
    <x v="0"/>
    <x v="0"/>
    <x v="0"/>
    <m/>
    <x v="0"/>
    <x v="0"/>
    <n v="-7.0105500000000001E-2"/>
    <m/>
    <x v="4"/>
    <x v="0"/>
    <x v="0"/>
    <x v="1"/>
    <x v="2"/>
  </r>
  <r>
    <s v="Singapore"/>
    <x v="3"/>
    <s v="SG1"/>
    <m/>
    <x v="0"/>
    <x v="2"/>
    <x v="1"/>
    <x v="1"/>
    <x v="0"/>
    <x v="0"/>
    <x v="0"/>
    <m/>
    <x v="0"/>
    <x v="0"/>
    <n v="-0.46737000000000001"/>
    <m/>
    <x v="0"/>
    <x v="0"/>
    <x v="0"/>
    <x v="5"/>
    <x v="1"/>
  </r>
  <r>
    <s v="Singapore"/>
    <x v="5"/>
    <s v="SG4"/>
    <m/>
    <x v="1"/>
    <x v="4"/>
    <x v="3"/>
    <x v="4"/>
    <x v="0"/>
    <x v="0"/>
    <x v="0"/>
    <m/>
    <x v="0"/>
    <x v="0"/>
    <n v="-0.37389600000000001"/>
    <m/>
    <x v="4"/>
    <x v="3"/>
    <x v="0"/>
    <x v="4"/>
    <x v="0"/>
  </r>
  <r>
    <s v="Singapore"/>
    <x v="2"/>
    <s v="SG3"/>
    <m/>
    <x v="3"/>
    <x v="0"/>
    <x v="1"/>
    <x v="5"/>
    <x v="0"/>
    <x v="0"/>
    <x v="0"/>
    <m/>
    <x v="0"/>
    <x v="0"/>
    <n v="-0.15579000000000001"/>
    <m/>
    <x v="4"/>
    <x v="2"/>
    <x v="0"/>
    <x v="4"/>
    <x v="2"/>
  </r>
  <r>
    <s v="Singapore"/>
    <x v="4"/>
    <s v="SG4"/>
    <m/>
    <x v="4"/>
    <x v="4"/>
    <x v="4"/>
    <x v="2"/>
    <x v="0"/>
    <x v="0"/>
    <x v="0"/>
    <m/>
    <x v="0"/>
    <x v="0"/>
    <n v="-0.12463200000000001"/>
    <m/>
    <x v="4"/>
    <x v="2"/>
    <x v="0"/>
    <x v="2"/>
    <x v="1"/>
  </r>
  <r>
    <s v="Singapore"/>
    <x v="3"/>
    <s v="SG4"/>
    <m/>
    <x v="3"/>
    <x v="1"/>
    <x v="1"/>
    <x v="0"/>
    <x v="0"/>
    <x v="0"/>
    <x v="0"/>
    <m/>
    <x v="0"/>
    <x v="0"/>
    <n v="-0.12463200000000001"/>
    <m/>
    <x v="4"/>
    <x v="3"/>
    <x v="0"/>
    <x v="1"/>
    <x v="1"/>
  </r>
  <r>
    <s v="Singapore"/>
    <x v="0"/>
    <s v="SG3"/>
    <m/>
    <x v="4"/>
    <x v="3"/>
    <x v="0"/>
    <x v="3"/>
    <x v="0"/>
    <x v="0"/>
    <x v="0"/>
    <m/>
    <x v="0"/>
    <x v="0"/>
    <n v="-1.9473750000000001"/>
    <m/>
    <x v="2"/>
    <x v="0"/>
    <x v="0"/>
    <x v="0"/>
    <x v="1"/>
  </r>
  <r>
    <s v="Singapore"/>
    <x v="2"/>
    <s v="SG4"/>
    <m/>
    <x v="5"/>
    <x v="0"/>
    <x v="2"/>
    <x v="0"/>
    <x v="0"/>
    <x v="0"/>
    <x v="0"/>
    <m/>
    <x v="0"/>
    <x v="0"/>
    <n v="-0.1324215"/>
    <m/>
    <x v="4"/>
    <x v="2"/>
    <x v="0"/>
    <x v="2"/>
    <x v="0"/>
  </r>
  <r>
    <s v="Singapore"/>
    <x v="3"/>
    <s v="SG1"/>
    <m/>
    <x v="2"/>
    <x v="0"/>
    <x v="3"/>
    <x v="2"/>
    <x v="0"/>
    <x v="0"/>
    <x v="0"/>
    <m/>
    <x v="0"/>
    <x v="0"/>
    <n v="-1.4469930989999999"/>
    <m/>
    <x v="2"/>
    <x v="1"/>
    <x v="0"/>
    <x v="2"/>
    <x v="2"/>
  </r>
  <r>
    <s v="Singapore"/>
    <x v="2"/>
    <s v="SG2"/>
    <m/>
    <x v="4"/>
    <x v="3"/>
    <x v="2"/>
    <x v="0"/>
    <x v="0"/>
    <x v="0"/>
    <x v="0"/>
    <m/>
    <x v="0"/>
    <x v="0"/>
    <n v="-0.24926400000000001"/>
    <m/>
    <x v="0"/>
    <x v="1"/>
    <x v="0"/>
    <x v="2"/>
    <x v="2"/>
  </r>
  <r>
    <s v="Singapore"/>
    <x v="4"/>
    <s v="SG4"/>
    <m/>
    <x v="1"/>
    <x v="0"/>
    <x v="2"/>
    <x v="0"/>
    <x v="0"/>
    <x v="0"/>
    <x v="0"/>
    <m/>
    <x v="0"/>
    <x v="0"/>
    <n v="2.6484300000000003"/>
    <m/>
    <x v="1"/>
    <x v="1"/>
    <x v="0"/>
    <x v="4"/>
    <x v="1"/>
  </r>
  <r>
    <s v="Singapore"/>
    <x v="2"/>
    <s v="SG1"/>
    <m/>
    <x v="1"/>
    <x v="4"/>
    <x v="2"/>
    <x v="1"/>
    <x v="0"/>
    <x v="0"/>
    <x v="0"/>
    <m/>
    <x v="0"/>
    <x v="0"/>
    <n v="-4.6737000000000001E-2"/>
    <m/>
    <x v="4"/>
    <x v="2"/>
    <x v="0"/>
    <x v="4"/>
    <x v="1"/>
  </r>
  <r>
    <s v="Singapore"/>
    <x v="3"/>
    <s v="SG2"/>
    <m/>
    <x v="4"/>
    <x v="0"/>
    <x v="0"/>
    <x v="4"/>
    <x v="0"/>
    <x v="0"/>
    <x v="0"/>
    <m/>
    <x v="0"/>
    <x v="0"/>
    <n v="0.70105499999999998"/>
    <m/>
    <x v="1"/>
    <x v="2"/>
    <x v="0"/>
    <x v="0"/>
    <x v="0"/>
  </r>
  <r>
    <s v="Singapore"/>
    <x v="0"/>
    <s v="SG4"/>
    <m/>
    <x v="2"/>
    <x v="4"/>
    <x v="0"/>
    <x v="2"/>
    <x v="0"/>
    <x v="0"/>
    <x v="0"/>
    <m/>
    <x v="0"/>
    <x v="0"/>
    <n v="0.17136900000000002"/>
    <m/>
    <x v="8"/>
    <x v="2"/>
    <x v="0"/>
    <x v="3"/>
    <x v="0"/>
  </r>
  <r>
    <s v="Singapore"/>
    <x v="0"/>
    <s v="SG2"/>
    <m/>
    <x v="1"/>
    <x v="1"/>
    <x v="2"/>
    <x v="5"/>
    <x v="0"/>
    <x v="0"/>
    <x v="0"/>
    <m/>
    <x v="0"/>
    <x v="0"/>
    <n v="-0.46737000000000001"/>
    <m/>
    <x v="4"/>
    <x v="3"/>
    <x v="0"/>
    <x v="0"/>
    <x v="2"/>
  </r>
  <r>
    <s v="Singapore"/>
    <x v="2"/>
    <s v="SG2"/>
    <m/>
    <x v="5"/>
    <x v="2"/>
    <x v="0"/>
    <x v="0"/>
    <x v="0"/>
    <x v="0"/>
    <x v="0"/>
    <m/>
    <x v="0"/>
    <x v="0"/>
    <n v="-2.1031650000000002"/>
    <m/>
    <x v="4"/>
    <x v="1"/>
    <x v="0"/>
    <x v="0"/>
    <x v="0"/>
  </r>
  <r>
    <s v="Singapore"/>
    <x v="0"/>
    <s v="SG4"/>
    <m/>
    <x v="0"/>
    <x v="3"/>
    <x v="3"/>
    <x v="5"/>
    <x v="0"/>
    <x v="0"/>
    <x v="0"/>
    <m/>
    <x v="0"/>
    <x v="0"/>
    <n v="0.62316000000000005"/>
    <m/>
    <x v="1"/>
    <x v="1"/>
    <x v="0"/>
    <x v="2"/>
    <x v="2"/>
  </r>
  <r>
    <s v="Singapore"/>
    <x v="4"/>
    <s v="SG4"/>
    <m/>
    <x v="5"/>
    <x v="3"/>
    <x v="2"/>
    <x v="5"/>
    <x v="0"/>
    <x v="0"/>
    <x v="0"/>
    <m/>
    <x v="0"/>
    <x v="0"/>
    <n v="-1.137267"/>
    <m/>
    <x v="4"/>
    <x v="1"/>
    <x v="0"/>
    <x v="3"/>
    <x v="2"/>
  </r>
  <r>
    <s v="Singapore"/>
    <x v="5"/>
    <s v="SG3"/>
    <m/>
    <x v="5"/>
    <x v="3"/>
    <x v="3"/>
    <x v="2"/>
    <x v="0"/>
    <x v="0"/>
    <x v="0"/>
    <m/>
    <x v="0"/>
    <x v="0"/>
    <n v="2.1890208690000001"/>
    <m/>
    <x v="1"/>
    <x v="2"/>
    <x v="0"/>
    <x v="1"/>
    <x v="2"/>
  </r>
  <r>
    <s v="Singapore"/>
    <x v="5"/>
    <s v="SG2"/>
    <m/>
    <x v="0"/>
    <x v="4"/>
    <x v="2"/>
    <x v="2"/>
    <x v="0"/>
    <x v="0"/>
    <x v="0"/>
    <m/>
    <x v="0"/>
    <x v="0"/>
    <n v="0.15579000000000001"/>
    <m/>
    <x v="1"/>
    <x v="1"/>
    <x v="0"/>
    <x v="1"/>
    <x v="0"/>
  </r>
  <r>
    <s v="Singapore"/>
    <x v="1"/>
    <s v="SG4"/>
    <m/>
    <x v="4"/>
    <x v="2"/>
    <x v="3"/>
    <x v="1"/>
    <x v="0"/>
    <x v="0"/>
    <x v="0"/>
    <m/>
    <x v="0"/>
    <x v="0"/>
    <n v="-29.823128964000002"/>
    <m/>
    <x v="4"/>
    <x v="1"/>
    <x v="0"/>
    <x v="3"/>
    <x v="0"/>
  </r>
  <r>
    <s v="Singapore"/>
    <x v="5"/>
    <s v="SG3"/>
    <m/>
    <x v="0"/>
    <x v="1"/>
    <x v="4"/>
    <x v="2"/>
    <x v="0"/>
    <x v="0"/>
    <x v="0"/>
    <m/>
    <x v="0"/>
    <x v="0"/>
    <n v="-0.14800050000000001"/>
    <m/>
    <x v="4"/>
    <x v="3"/>
    <x v="0"/>
    <x v="2"/>
    <x v="0"/>
  </r>
  <r>
    <s v="Singapore"/>
    <x v="3"/>
    <s v="SG3"/>
    <m/>
    <x v="4"/>
    <x v="1"/>
    <x v="4"/>
    <x v="2"/>
    <x v="0"/>
    <x v="0"/>
    <x v="0"/>
    <m/>
    <x v="0"/>
    <x v="0"/>
    <n v="8.6463450000000002"/>
    <m/>
    <x v="1"/>
    <x v="2"/>
    <x v="0"/>
    <x v="5"/>
    <x v="2"/>
  </r>
  <r>
    <s v="Singapore"/>
    <x v="1"/>
    <s v="SG4"/>
    <m/>
    <x v="3"/>
    <x v="0"/>
    <x v="0"/>
    <x v="1"/>
    <x v="0"/>
    <x v="0"/>
    <x v="0"/>
    <m/>
    <x v="0"/>
    <x v="0"/>
    <n v="0.17984397600000002"/>
    <m/>
    <x v="1"/>
    <x v="0"/>
    <x v="0"/>
    <x v="4"/>
    <x v="2"/>
  </r>
  <r>
    <s v="Singapore"/>
    <x v="2"/>
    <s v="SG4"/>
    <m/>
    <x v="2"/>
    <x v="1"/>
    <x v="3"/>
    <x v="5"/>
    <x v="0"/>
    <x v="0"/>
    <x v="0"/>
    <m/>
    <x v="0"/>
    <x v="0"/>
    <n v="-1.5579000000000001E-2"/>
    <m/>
    <x v="0"/>
    <x v="0"/>
    <x v="0"/>
    <x v="0"/>
    <x v="1"/>
  </r>
  <r>
    <s v="Singapore"/>
    <x v="4"/>
    <s v="SG3"/>
    <m/>
    <x v="1"/>
    <x v="0"/>
    <x v="2"/>
    <x v="0"/>
    <x v="0"/>
    <x v="0"/>
    <x v="0"/>
    <m/>
    <x v="0"/>
    <x v="0"/>
    <n v="-0.42063300000000003"/>
    <m/>
    <x v="4"/>
    <x v="1"/>
    <x v="0"/>
    <x v="1"/>
    <x v="2"/>
  </r>
  <r>
    <s v="Singapore"/>
    <x v="0"/>
    <s v="SG3"/>
    <m/>
    <x v="4"/>
    <x v="3"/>
    <x v="3"/>
    <x v="1"/>
    <x v="0"/>
    <x v="0"/>
    <x v="0"/>
    <m/>
    <x v="0"/>
    <x v="0"/>
    <n v="-0.77895000000000003"/>
    <m/>
    <x v="4"/>
    <x v="2"/>
    <x v="0"/>
    <x v="5"/>
    <x v="0"/>
  </r>
  <r>
    <s v="Singapore"/>
    <x v="2"/>
    <s v="SG3"/>
    <m/>
    <x v="1"/>
    <x v="1"/>
    <x v="4"/>
    <x v="0"/>
    <x v="0"/>
    <x v="0"/>
    <x v="0"/>
    <m/>
    <x v="0"/>
    <x v="0"/>
    <n v="-0.10126350000000001"/>
    <m/>
    <x v="0"/>
    <x v="3"/>
    <x v="0"/>
    <x v="3"/>
    <x v="1"/>
  </r>
  <r>
    <s v="Singapore"/>
    <x v="0"/>
    <s v="SG1"/>
    <m/>
    <x v="2"/>
    <x v="2"/>
    <x v="1"/>
    <x v="1"/>
    <x v="0"/>
    <x v="0"/>
    <x v="0"/>
    <m/>
    <x v="0"/>
    <x v="0"/>
    <n v="0.38947500000000002"/>
    <m/>
    <x v="1"/>
    <x v="1"/>
    <x v="0"/>
    <x v="2"/>
    <x v="2"/>
  </r>
  <r>
    <s v="Singapore"/>
    <x v="3"/>
    <s v="SG2"/>
    <m/>
    <x v="1"/>
    <x v="1"/>
    <x v="2"/>
    <x v="1"/>
    <x v="0"/>
    <x v="0"/>
    <x v="0"/>
    <m/>
    <x v="0"/>
    <x v="0"/>
    <n v="-0.46737000000000001"/>
    <m/>
    <x v="4"/>
    <x v="3"/>
    <x v="0"/>
    <x v="1"/>
    <x v="0"/>
  </r>
  <r>
    <s v="Singapore"/>
    <x v="5"/>
    <s v="SG3"/>
    <m/>
    <x v="5"/>
    <x v="2"/>
    <x v="4"/>
    <x v="5"/>
    <x v="0"/>
    <x v="0"/>
    <x v="0"/>
    <m/>
    <x v="0"/>
    <x v="0"/>
    <n v="0.25604086500000001"/>
    <m/>
    <x v="8"/>
    <x v="2"/>
    <x v="0"/>
    <x v="1"/>
    <x v="1"/>
  </r>
  <r>
    <s v="Singapore"/>
    <x v="0"/>
    <s v="SG2"/>
    <m/>
    <x v="0"/>
    <x v="3"/>
    <x v="4"/>
    <x v="1"/>
    <x v="0"/>
    <x v="0"/>
    <x v="0"/>
    <m/>
    <x v="0"/>
    <x v="0"/>
    <n v="-9.3474000000000005E-3"/>
    <m/>
    <x v="3"/>
    <x v="1"/>
    <x v="0"/>
    <x v="0"/>
    <x v="0"/>
  </r>
  <r>
    <s v="Singapore"/>
    <x v="2"/>
    <s v="SG3"/>
    <m/>
    <x v="1"/>
    <x v="0"/>
    <x v="0"/>
    <x v="0"/>
    <x v="0"/>
    <x v="0"/>
    <x v="0"/>
    <m/>
    <x v="0"/>
    <x v="0"/>
    <n v="-1.5579000000000001E-2"/>
    <m/>
    <x v="0"/>
    <x v="1"/>
    <x v="0"/>
    <x v="2"/>
    <x v="2"/>
  </r>
  <r>
    <s v="Singapore"/>
    <x v="5"/>
    <s v="SG3"/>
    <m/>
    <x v="5"/>
    <x v="0"/>
    <x v="4"/>
    <x v="5"/>
    <x v="0"/>
    <x v="0"/>
    <x v="0"/>
    <m/>
    <x v="0"/>
    <x v="0"/>
    <n v="-2.775180744"/>
    <m/>
    <x v="4"/>
    <x v="3"/>
    <x v="0"/>
    <x v="1"/>
    <x v="1"/>
  </r>
  <r>
    <s v="Singapore"/>
    <x v="0"/>
    <s v="SG4"/>
    <m/>
    <x v="0"/>
    <x v="2"/>
    <x v="3"/>
    <x v="2"/>
    <x v="0"/>
    <x v="0"/>
    <x v="0"/>
    <m/>
    <x v="0"/>
    <x v="0"/>
    <n v="-4.6737000000000003E-3"/>
    <m/>
    <x v="3"/>
    <x v="0"/>
    <x v="0"/>
    <x v="5"/>
    <x v="2"/>
  </r>
  <r>
    <s v="Singapore"/>
    <x v="1"/>
    <s v="SG2"/>
    <m/>
    <x v="1"/>
    <x v="4"/>
    <x v="4"/>
    <x v="4"/>
    <x v="0"/>
    <x v="0"/>
    <x v="0"/>
    <m/>
    <x v="0"/>
    <x v="0"/>
    <n v="-16.912515663000001"/>
    <m/>
    <x v="3"/>
    <x v="3"/>
    <x v="0"/>
    <x v="5"/>
    <x v="0"/>
  </r>
  <r>
    <s v="Singapore"/>
    <x v="4"/>
    <s v="SG2"/>
    <m/>
    <x v="1"/>
    <x v="2"/>
    <x v="1"/>
    <x v="0"/>
    <x v="0"/>
    <x v="0"/>
    <x v="0"/>
    <m/>
    <x v="0"/>
    <x v="0"/>
    <n v="4.6737000000000003E-3"/>
    <m/>
    <x v="3"/>
    <x v="0"/>
    <x v="0"/>
    <x v="0"/>
    <x v="1"/>
  </r>
  <r>
    <s v="Singapore"/>
    <x v="3"/>
    <s v="SG2"/>
    <m/>
    <x v="5"/>
    <x v="1"/>
    <x v="1"/>
    <x v="0"/>
    <x v="0"/>
    <x v="0"/>
    <x v="0"/>
    <m/>
    <x v="0"/>
    <x v="0"/>
    <n v="1.3008465"/>
    <m/>
    <x v="1"/>
    <x v="3"/>
    <x v="0"/>
    <x v="0"/>
    <x v="0"/>
  </r>
  <r>
    <s v="Singapore"/>
    <x v="5"/>
    <s v="SG4"/>
    <m/>
    <x v="3"/>
    <x v="3"/>
    <x v="3"/>
    <x v="1"/>
    <x v="0"/>
    <x v="0"/>
    <x v="0"/>
    <m/>
    <x v="0"/>
    <x v="0"/>
    <n v="-0.17136900000000002"/>
    <m/>
    <x v="4"/>
    <x v="2"/>
    <x v="0"/>
    <x v="4"/>
    <x v="0"/>
  </r>
  <r>
    <s v="Singapore"/>
    <x v="0"/>
    <s v="SG3"/>
    <m/>
    <x v="1"/>
    <x v="3"/>
    <x v="2"/>
    <x v="1"/>
    <x v="0"/>
    <x v="0"/>
    <x v="0"/>
    <m/>
    <x v="0"/>
    <x v="0"/>
    <n v="0.21031650000000002"/>
    <m/>
    <x v="1"/>
    <x v="3"/>
    <x v="0"/>
    <x v="5"/>
    <x v="0"/>
  </r>
  <r>
    <s v="Singapore"/>
    <x v="0"/>
    <s v="SG1"/>
    <m/>
    <x v="2"/>
    <x v="1"/>
    <x v="3"/>
    <x v="1"/>
    <x v="0"/>
    <x v="0"/>
    <x v="0"/>
    <m/>
    <x v="0"/>
    <x v="0"/>
    <n v="-2.4926400000000002"/>
    <m/>
    <x v="1"/>
    <x v="0"/>
    <x v="0"/>
    <x v="3"/>
    <x v="0"/>
  </r>
  <r>
    <s v="Singapore"/>
    <x v="3"/>
    <s v="SG2"/>
    <m/>
    <x v="3"/>
    <x v="1"/>
    <x v="1"/>
    <x v="0"/>
    <x v="0"/>
    <x v="0"/>
    <x v="0"/>
    <m/>
    <x v="0"/>
    <x v="0"/>
    <n v="-0.1324215"/>
    <m/>
    <x v="4"/>
    <x v="1"/>
    <x v="0"/>
    <x v="3"/>
    <x v="2"/>
  </r>
  <r>
    <s v="Singapore"/>
    <x v="3"/>
    <s v="SG3"/>
    <m/>
    <x v="5"/>
    <x v="2"/>
    <x v="4"/>
    <x v="5"/>
    <x v="0"/>
    <x v="0"/>
    <x v="0"/>
    <m/>
    <x v="0"/>
    <x v="0"/>
    <n v="-0.15579000000000001"/>
    <m/>
    <x v="0"/>
    <x v="2"/>
    <x v="0"/>
    <x v="5"/>
    <x v="1"/>
  </r>
  <r>
    <s v="Singapore"/>
    <x v="1"/>
    <s v="SG2"/>
    <m/>
    <x v="2"/>
    <x v="4"/>
    <x v="1"/>
    <x v="2"/>
    <x v="0"/>
    <x v="0"/>
    <x v="0"/>
    <m/>
    <x v="0"/>
    <x v="0"/>
    <n v="3.1158000000000001"/>
    <m/>
    <x v="1"/>
    <x v="0"/>
    <x v="0"/>
    <x v="1"/>
    <x v="2"/>
  </r>
  <r>
    <s v="Singapore"/>
    <x v="1"/>
    <s v="SG1"/>
    <m/>
    <x v="4"/>
    <x v="0"/>
    <x v="2"/>
    <x v="2"/>
    <x v="0"/>
    <x v="0"/>
    <x v="0"/>
    <m/>
    <x v="0"/>
    <x v="0"/>
    <n v="11.138813631000001"/>
    <m/>
    <x v="8"/>
    <x v="0"/>
    <x v="0"/>
    <x v="2"/>
    <x v="2"/>
  </r>
  <r>
    <s v="Singapore"/>
    <x v="0"/>
    <s v="SG2"/>
    <m/>
    <x v="1"/>
    <x v="4"/>
    <x v="2"/>
    <x v="0"/>
    <x v="0"/>
    <x v="0"/>
    <x v="0"/>
    <m/>
    <x v="0"/>
    <x v="0"/>
    <n v="0.15579000000000001"/>
    <m/>
    <x v="1"/>
    <x v="1"/>
    <x v="0"/>
    <x v="1"/>
    <x v="0"/>
  </r>
  <r>
    <s v="Singapore"/>
    <x v="5"/>
    <s v="SG4"/>
    <m/>
    <x v="1"/>
    <x v="0"/>
    <x v="0"/>
    <x v="3"/>
    <x v="0"/>
    <x v="0"/>
    <x v="0"/>
    <m/>
    <x v="0"/>
    <x v="0"/>
    <n v="-0.92227680000000001"/>
    <m/>
    <x v="6"/>
    <x v="2"/>
    <x v="0"/>
    <x v="5"/>
    <x v="1"/>
  </r>
  <r>
    <s v="Singapore"/>
    <x v="1"/>
    <s v="SG1"/>
    <m/>
    <x v="3"/>
    <x v="3"/>
    <x v="3"/>
    <x v="1"/>
    <x v="0"/>
    <x v="0"/>
    <x v="0"/>
    <m/>
    <x v="0"/>
    <x v="0"/>
    <n v="-0.85684500000000008"/>
    <m/>
    <x v="2"/>
    <x v="2"/>
    <x v="0"/>
    <x v="1"/>
    <x v="0"/>
  </r>
  <r>
    <s v="Singapore"/>
    <x v="3"/>
    <s v="SG2"/>
    <m/>
    <x v="5"/>
    <x v="1"/>
    <x v="3"/>
    <x v="0"/>
    <x v="0"/>
    <x v="0"/>
    <x v="0"/>
    <m/>
    <x v="0"/>
    <x v="0"/>
    <n v="-3.8947500000000003E-2"/>
    <m/>
    <x v="0"/>
    <x v="3"/>
    <x v="0"/>
    <x v="0"/>
    <x v="1"/>
  </r>
  <r>
    <s v="Singapore"/>
    <x v="5"/>
    <s v="SG4"/>
    <m/>
    <x v="4"/>
    <x v="3"/>
    <x v="2"/>
    <x v="0"/>
    <x v="0"/>
    <x v="0"/>
    <x v="0"/>
    <m/>
    <x v="0"/>
    <x v="0"/>
    <n v="-4.8840165000000004"/>
    <m/>
    <x v="4"/>
    <x v="1"/>
    <x v="0"/>
    <x v="1"/>
    <x v="1"/>
  </r>
  <r>
    <s v="Singapore"/>
    <x v="4"/>
    <s v="SG2"/>
    <m/>
    <x v="3"/>
    <x v="2"/>
    <x v="1"/>
    <x v="1"/>
    <x v="0"/>
    <x v="0"/>
    <x v="0"/>
    <m/>
    <x v="0"/>
    <x v="0"/>
    <n v="0.29600100000000001"/>
    <m/>
    <x v="8"/>
    <x v="3"/>
    <x v="0"/>
    <x v="5"/>
    <x v="2"/>
  </r>
  <r>
    <s v="Singapore"/>
    <x v="4"/>
    <s v="SG1"/>
    <m/>
    <x v="4"/>
    <x v="0"/>
    <x v="4"/>
    <x v="2"/>
    <x v="0"/>
    <x v="0"/>
    <x v="0"/>
    <m/>
    <x v="0"/>
    <x v="0"/>
    <n v="0.34273800000000004"/>
    <m/>
    <x v="8"/>
    <x v="2"/>
    <x v="0"/>
    <x v="1"/>
    <x v="2"/>
  </r>
  <r>
    <s v="Singapore"/>
    <x v="0"/>
    <s v="SG2"/>
    <m/>
    <x v="3"/>
    <x v="1"/>
    <x v="2"/>
    <x v="5"/>
    <x v="0"/>
    <x v="0"/>
    <x v="0"/>
    <m/>
    <x v="0"/>
    <x v="0"/>
    <n v="-6.1130438100000006"/>
    <m/>
    <x v="3"/>
    <x v="3"/>
    <x v="0"/>
    <x v="5"/>
    <x v="0"/>
  </r>
  <r>
    <s v="Singapore"/>
    <x v="3"/>
    <s v="SG3"/>
    <m/>
    <x v="4"/>
    <x v="2"/>
    <x v="1"/>
    <x v="0"/>
    <x v="0"/>
    <x v="0"/>
    <x v="0"/>
    <m/>
    <x v="0"/>
    <x v="0"/>
    <n v="1.059372"/>
    <m/>
    <x v="1"/>
    <x v="3"/>
    <x v="0"/>
    <x v="5"/>
    <x v="0"/>
  </r>
  <r>
    <s v="Singapore"/>
    <x v="5"/>
    <s v="SG3"/>
    <m/>
    <x v="3"/>
    <x v="2"/>
    <x v="3"/>
    <x v="0"/>
    <x v="0"/>
    <x v="0"/>
    <x v="0"/>
    <m/>
    <x v="0"/>
    <x v="0"/>
    <n v="-0.12307410000000001"/>
    <m/>
    <x v="4"/>
    <x v="0"/>
    <x v="0"/>
    <x v="0"/>
    <x v="2"/>
  </r>
  <r>
    <s v="Singapore"/>
    <x v="1"/>
    <s v="SG2"/>
    <m/>
    <x v="0"/>
    <x v="2"/>
    <x v="3"/>
    <x v="5"/>
    <x v="0"/>
    <x v="0"/>
    <x v="0"/>
    <m/>
    <x v="0"/>
    <x v="0"/>
    <n v="-0.93474000000000002"/>
    <m/>
    <x v="4"/>
    <x v="1"/>
    <x v="0"/>
    <x v="2"/>
    <x v="2"/>
  </r>
  <r>
    <s v="Singapore"/>
    <x v="4"/>
    <s v="SG2"/>
    <m/>
    <x v="0"/>
    <x v="4"/>
    <x v="1"/>
    <x v="1"/>
    <x v="0"/>
    <x v="0"/>
    <x v="0"/>
    <m/>
    <x v="0"/>
    <x v="0"/>
    <n v="2.8556307000000003"/>
    <m/>
    <x v="1"/>
    <x v="0"/>
    <x v="0"/>
    <x v="1"/>
    <x v="2"/>
  </r>
  <r>
    <s v="Singapore"/>
    <x v="3"/>
    <s v="SG4"/>
    <m/>
    <x v="4"/>
    <x v="0"/>
    <x v="4"/>
    <x v="5"/>
    <x v="0"/>
    <x v="0"/>
    <x v="0"/>
    <m/>
    <x v="0"/>
    <x v="0"/>
    <n v="17.498675538000001"/>
    <m/>
    <x v="7"/>
    <x v="3"/>
    <x v="0"/>
    <x v="1"/>
    <x v="2"/>
  </r>
  <r>
    <s v="Singapore"/>
    <x v="2"/>
    <s v="SG3"/>
    <m/>
    <x v="3"/>
    <x v="3"/>
    <x v="3"/>
    <x v="0"/>
    <x v="0"/>
    <x v="0"/>
    <x v="0"/>
    <m/>
    <x v="0"/>
    <x v="0"/>
    <n v="-1.7822376000000002"/>
    <m/>
    <x v="5"/>
    <x v="0"/>
    <x v="0"/>
    <x v="2"/>
    <x v="0"/>
  </r>
  <r>
    <s v="Singapore"/>
    <x v="1"/>
    <s v="SG4"/>
    <m/>
    <x v="3"/>
    <x v="2"/>
    <x v="2"/>
    <x v="4"/>
    <x v="0"/>
    <x v="0"/>
    <x v="0"/>
    <m/>
    <x v="0"/>
    <x v="0"/>
    <n v="-0.31103473500000001"/>
    <m/>
    <x v="0"/>
    <x v="1"/>
    <x v="0"/>
    <x v="0"/>
    <x v="2"/>
  </r>
  <r>
    <s v="Singapore"/>
    <x v="5"/>
    <s v="SG4"/>
    <m/>
    <x v="5"/>
    <x v="0"/>
    <x v="4"/>
    <x v="4"/>
    <x v="0"/>
    <x v="0"/>
    <x v="0"/>
    <m/>
    <x v="0"/>
    <x v="0"/>
    <n v="-7.7895000000000004E-3"/>
    <m/>
    <x v="0"/>
    <x v="0"/>
    <x v="0"/>
    <x v="3"/>
    <x v="0"/>
  </r>
  <r>
    <s v="Singapore"/>
    <x v="1"/>
    <s v="SG2"/>
    <m/>
    <x v="1"/>
    <x v="1"/>
    <x v="0"/>
    <x v="1"/>
    <x v="0"/>
    <x v="0"/>
    <x v="0"/>
    <m/>
    <x v="0"/>
    <x v="0"/>
    <n v="0.77895000000000003"/>
    <m/>
    <x v="4"/>
    <x v="0"/>
    <x v="0"/>
    <x v="2"/>
    <x v="0"/>
  </r>
  <r>
    <s v="Singapore"/>
    <x v="2"/>
    <s v="SG4"/>
    <m/>
    <x v="1"/>
    <x v="0"/>
    <x v="2"/>
    <x v="0"/>
    <x v="0"/>
    <x v="0"/>
    <x v="0"/>
    <m/>
    <x v="0"/>
    <x v="0"/>
    <n v="1.6202160000000001"/>
    <m/>
    <x v="1"/>
    <x v="1"/>
    <x v="0"/>
    <x v="2"/>
    <x v="0"/>
  </r>
  <r>
    <s v="Singapore"/>
    <x v="4"/>
    <s v="SG1"/>
    <m/>
    <x v="1"/>
    <x v="1"/>
    <x v="1"/>
    <x v="5"/>
    <x v="0"/>
    <x v="0"/>
    <x v="0"/>
    <m/>
    <x v="0"/>
    <x v="0"/>
    <n v="-0.12463200000000001"/>
    <m/>
    <x v="0"/>
    <x v="3"/>
    <x v="0"/>
    <x v="5"/>
    <x v="1"/>
  </r>
  <r>
    <s v="Singapore"/>
    <x v="4"/>
    <s v="SG3"/>
    <m/>
    <x v="1"/>
    <x v="3"/>
    <x v="3"/>
    <x v="1"/>
    <x v="0"/>
    <x v="0"/>
    <x v="0"/>
    <m/>
    <x v="0"/>
    <x v="0"/>
    <n v="0.1838322"/>
    <m/>
    <x v="4"/>
    <x v="2"/>
    <x v="0"/>
    <x v="2"/>
    <x v="2"/>
  </r>
  <r>
    <s v="Singapore"/>
    <x v="3"/>
    <s v="SG3"/>
    <m/>
    <x v="5"/>
    <x v="3"/>
    <x v="1"/>
    <x v="2"/>
    <x v="0"/>
    <x v="0"/>
    <x v="0"/>
    <m/>
    <x v="0"/>
    <x v="0"/>
    <n v="0.59200200000000003"/>
    <m/>
    <x v="1"/>
    <x v="0"/>
    <x v="0"/>
    <x v="0"/>
    <x v="1"/>
  </r>
  <r>
    <s v="Singapore"/>
    <x v="5"/>
    <s v="SG4"/>
    <m/>
    <x v="0"/>
    <x v="3"/>
    <x v="2"/>
    <x v="2"/>
    <x v="0"/>
    <x v="0"/>
    <x v="0"/>
    <m/>
    <x v="0"/>
    <x v="0"/>
    <n v="-0.31158000000000002"/>
    <m/>
    <x v="4"/>
    <x v="3"/>
    <x v="0"/>
    <x v="2"/>
    <x v="0"/>
  </r>
  <r>
    <s v="Singapore"/>
    <x v="1"/>
    <s v="SG2"/>
    <m/>
    <x v="5"/>
    <x v="1"/>
    <x v="0"/>
    <x v="2"/>
    <x v="0"/>
    <x v="0"/>
    <x v="0"/>
    <m/>
    <x v="0"/>
    <x v="0"/>
    <n v="-0.70105499999999998"/>
    <m/>
    <x v="4"/>
    <x v="0"/>
    <x v="0"/>
    <x v="0"/>
    <x v="1"/>
  </r>
  <r>
    <s v="Singapore"/>
    <x v="1"/>
    <s v="SG4"/>
    <m/>
    <x v="5"/>
    <x v="2"/>
    <x v="1"/>
    <x v="0"/>
    <x v="0"/>
    <x v="0"/>
    <x v="0"/>
    <m/>
    <x v="0"/>
    <x v="0"/>
    <n v="-0.42063300000000003"/>
    <m/>
    <x v="4"/>
    <x v="3"/>
    <x v="0"/>
    <x v="4"/>
    <x v="2"/>
  </r>
  <r>
    <s v="Singapore"/>
    <x v="4"/>
    <s v="SG4"/>
    <m/>
    <x v="0"/>
    <x v="1"/>
    <x v="2"/>
    <x v="0"/>
    <x v="0"/>
    <x v="0"/>
    <x v="0"/>
    <m/>
    <x v="0"/>
    <x v="0"/>
    <n v="19.473750000000003"/>
    <m/>
    <x v="7"/>
    <x v="1"/>
    <x v="0"/>
    <x v="0"/>
    <x v="0"/>
  </r>
  <r>
    <s v="Singapore"/>
    <x v="1"/>
    <s v="SG3"/>
    <m/>
    <x v="2"/>
    <x v="0"/>
    <x v="2"/>
    <x v="2"/>
    <x v="0"/>
    <x v="0"/>
    <x v="0"/>
    <m/>
    <x v="0"/>
    <x v="0"/>
    <n v="0.1838322"/>
    <m/>
    <x v="4"/>
    <x v="0"/>
    <x v="0"/>
    <x v="2"/>
    <x v="1"/>
  </r>
  <r>
    <s v="Singapore"/>
    <x v="3"/>
    <s v="SG4"/>
    <m/>
    <x v="2"/>
    <x v="3"/>
    <x v="2"/>
    <x v="2"/>
    <x v="0"/>
    <x v="0"/>
    <x v="0"/>
    <m/>
    <x v="0"/>
    <x v="0"/>
    <n v="-0.15579000000000001"/>
    <m/>
    <x v="0"/>
    <x v="1"/>
    <x v="0"/>
    <x v="0"/>
    <x v="1"/>
  </r>
  <r>
    <s v="Singapore"/>
    <x v="0"/>
    <s v="SG4"/>
    <m/>
    <x v="3"/>
    <x v="1"/>
    <x v="1"/>
    <x v="3"/>
    <x v="0"/>
    <x v="0"/>
    <x v="0"/>
    <m/>
    <x v="0"/>
    <x v="0"/>
    <n v="-0.15579000000000001"/>
    <m/>
    <x v="4"/>
    <x v="2"/>
    <x v="0"/>
    <x v="5"/>
    <x v="1"/>
  </r>
  <r>
    <s v="Singapore"/>
    <x v="5"/>
    <s v="SG1"/>
    <m/>
    <x v="5"/>
    <x v="1"/>
    <x v="1"/>
    <x v="5"/>
    <x v="0"/>
    <x v="0"/>
    <x v="0"/>
    <m/>
    <x v="0"/>
    <x v="0"/>
    <n v="-7.7895000000000006E-2"/>
    <m/>
    <x v="0"/>
    <x v="2"/>
    <x v="0"/>
    <x v="4"/>
    <x v="1"/>
  </r>
  <r>
    <s v="Singapore"/>
    <x v="0"/>
    <s v="SG4"/>
    <m/>
    <x v="2"/>
    <x v="1"/>
    <x v="2"/>
    <x v="1"/>
    <x v="0"/>
    <x v="0"/>
    <x v="0"/>
    <m/>
    <x v="0"/>
    <x v="0"/>
    <n v="-2.1031650000000002"/>
    <m/>
    <x v="4"/>
    <x v="3"/>
    <x v="0"/>
    <x v="2"/>
    <x v="2"/>
  </r>
  <r>
    <s v="Singapore"/>
    <x v="0"/>
    <s v="SG2"/>
    <m/>
    <x v="2"/>
    <x v="4"/>
    <x v="1"/>
    <x v="4"/>
    <x v="0"/>
    <x v="0"/>
    <x v="0"/>
    <m/>
    <x v="0"/>
    <x v="0"/>
    <n v="2.7652725"/>
    <m/>
    <x v="1"/>
    <x v="3"/>
    <x v="0"/>
    <x v="0"/>
    <x v="1"/>
  </r>
  <r>
    <s v="Singapore"/>
    <x v="5"/>
    <s v="SG4"/>
    <m/>
    <x v="1"/>
    <x v="2"/>
    <x v="0"/>
    <x v="3"/>
    <x v="0"/>
    <x v="0"/>
    <x v="0"/>
    <m/>
    <x v="0"/>
    <x v="0"/>
    <n v="5.4526500000000002"/>
    <m/>
    <x v="1"/>
    <x v="3"/>
    <x v="0"/>
    <x v="0"/>
    <x v="2"/>
  </r>
  <r>
    <s v="Singapore"/>
    <x v="2"/>
    <s v="SG4"/>
    <m/>
    <x v="2"/>
    <x v="0"/>
    <x v="0"/>
    <x v="4"/>
    <x v="0"/>
    <x v="0"/>
    <x v="0"/>
    <m/>
    <x v="0"/>
    <x v="0"/>
    <n v="-7.0105500000000001E-2"/>
    <m/>
    <x v="4"/>
    <x v="0"/>
    <x v="0"/>
    <x v="3"/>
    <x v="1"/>
  </r>
  <r>
    <s v="Singapore"/>
    <x v="3"/>
    <s v="SG4"/>
    <m/>
    <x v="3"/>
    <x v="3"/>
    <x v="4"/>
    <x v="1"/>
    <x v="0"/>
    <x v="0"/>
    <x v="0"/>
    <m/>
    <x v="0"/>
    <x v="0"/>
    <n v="0.140211"/>
    <m/>
    <x v="0"/>
    <x v="2"/>
    <x v="0"/>
    <x v="1"/>
    <x v="2"/>
  </r>
  <r>
    <s v="Singapore"/>
    <x v="5"/>
    <s v="SG4"/>
    <m/>
    <x v="5"/>
    <x v="1"/>
    <x v="3"/>
    <x v="5"/>
    <x v="0"/>
    <x v="0"/>
    <x v="0"/>
    <m/>
    <x v="0"/>
    <x v="0"/>
    <n v="0.24926400000000001"/>
    <m/>
    <x v="0"/>
    <x v="1"/>
    <x v="0"/>
    <x v="1"/>
    <x v="1"/>
  </r>
  <r>
    <s v="Singapore"/>
    <x v="3"/>
    <s v="SG4"/>
    <m/>
    <x v="0"/>
    <x v="3"/>
    <x v="1"/>
    <x v="1"/>
    <x v="0"/>
    <x v="0"/>
    <x v="0"/>
    <m/>
    <x v="0"/>
    <x v="0"/>
    <n v="0.15579000000000001"/>
    <m/>
    <x v="1"/>
    <x v="0"/>
    <x v="0"/>
    <x v="0"/>
    <x v="2"/>
  </r>
  <r>
    <s v="Singapore"/>
    <x v="5"/>
    <s v="SG4"/>
    <m/>
    <x v="1"/>
    <x v="1"/>
    <x v="0"/>
    <x v="3"/>
    <x v="0"/>
    <x v="0"/>
    <x v="0"/>
    <m/>
    <x v="0"/>
    <x v="0"/>
    <n v="-7.0105500000000001E-2"/>
    <m/>
    <x v="4"/>
    <x v="0"/>
    <x v="0"/>
    <x v="5"/>
    <x v="0"/>
  </r>
  <r>
    <s v="Singapore"/>
    <x v="4"/>
    <s v="SG1"/>
    <m/>
    <x v="2"/>
    <x v="4"/>
    <x v="1"/>
    <x v="0"/>
    <x v="0"/>
    <x v="0"/>
    <x v="0"/>
    <m/>
    <x v="0"/>
    <x v="0"/>
    <n v="0.15579000000000001"/>
    <m/>
    <x v="1"/>
    <x v="1"/>
    <x v="0"/>
    <x v="4"/>
    <x v="0"/>
  </r>
  <r>
    <s v="Singapore"/>
    <x v="0"/>
    <s v="SG1"/>
    <m/>
    <x v="4"/>
    <x v="1"/>
    <x v="4"/>
    <x v="2"/>
    <x v="0"/>
    <x v="0"/>
    <x v="0"/>
    <m/>
    <x v="0"/>
    <x v="0"/>
    <n v="-7.0105500000000001E-2"/>
    <m/>
    <x v="4"/>
    <x v="2"/>
    <x v="0"/>
    <x v="4"/>
    <x v="2"/>
  </r>
  <r>
    <s v="Singapore"/>
    <x v="2"/>
    <s v="SG1"/>
    <m/>
    <x v="4"/>
    <x v="2"/>
    <x v="1"/>
    <x v="1"/>
    <x v="0"/>
    <x v="0"/>
    <x v="0"/>
    <m/>
    <x v="0"/>
    <x v="0"/>
    <n v="-3.1158000000000002E-2"/>
    <m/>
    <x v="0"/>
    <x v="2"/>
    <x v="0"/>
    <x v="2"/>
    <x v="0"/>
  </r>
  <r>
    <s v="Singapore"/>
    <x v="2"/>
    <s v="SG3"/>
    <m/>
    <x v="4"/>
    <x v="1"/>
    <x v="4"/>
    <x v="3"/>
    <x v="0"/>
    <x v="0"/>
    <x v="0"/>
    <m/>
    <x v="0"/>
    <x v="0"/>
    <n v="-0.42063300000000003"/>
    <m/>
    <x v="4"/>
    <x v="0"/>
    <x v="0"/>
    <x v="0"/>
    <x v="2"/>
  </r>
  <r>
    <s v="Singapore"/>
    <x v="1"/>
    <s v="SG3"/>
    <m/>
    <x v="2"/>
    <x v="2"/>
    <x v="3"/>
    <x v="3"/>
    <x v="0"/>
    <x v="0"/>
    <x v="0"/>
    <m/>
    <x v="0"/>
    <x v="0"/>
    <n v="-0.59200200000000003"/>
    <m/>
    <x v="1"/>
    <x v="0"/>
    <x v="0"/>
    <x v="2"/>
    <x v="0"/>
  </r>
  <r>
    <s v="Singapore"/>
    <x v="2"/>
    <s v="SG1"/>
    <m/>
    <x v="0"/>
    <x v="2"/>
    <x v="4"/>
    <x v="3"/>
    <x v="0"/>
    <x v="0"/>
    <x v="0"/>
    <m/>
    <x v="0"/>
    <x v="0"/>
    <n v="7.5573729000000006E-2"/>
    <m/>
    <x v="9"/>
    <x v="1"/>
    <x v="0"/>
    <x v="0"/>
    <x v="0"/>
  </r>
  <r>
    <s v="Singapore"/>
    <x v="3"/>
    <s v="SG3"/>
    <m/>
    <x v="1"/>
    <x v="1"/>
    <x v="3"/>
    <x v="2"/>
    <x v="0"/>
    <x v="0"/>
    <x v="0"/>
    <m/>
    <x v="0"/>
    <x v="0"/>
    <n v="-1.1917935000000002"/>
    <m/>
    <x v="0"/>
    <x v="1"/>
    <x v="0"/>
    <x v="1"/>
    <x v="0"/>
  </r>
  <r>
    <s v="Singapore"/>
    <x v="4"/>
    <s v="SG4"/>
    <m/>
    <x v="5"/>
    <x v="3"/>
    <x v="2"/>
    <x v="2"/>
    <x v="0"/>
    <x v="0"/>
    <x v="0"/>
    <m/>
    <x v="0"/>
    <x v="0"/>
    <n v="0.44400150000000005"/>
    <m/>
    <x v="1"/>
    <x v="1"/>
    <x v="0"/>
    <x v="2"/>
    <x v="1"/>
  </r>
  <r>
    <s v="Singapore"/>
    <x v="0"/>
    <s v="SG4"/>
    <m/>
    <x v="0"/>
    <x v="0"/>
    <x v="3"/>
    <x v="2"/>
    <x v="0"/>
    <x v="0"/>
    <x v="0"/>
    <m/>
    <x v="0"/>
    <x v="0"/>
    <n v="98.146998945000007"/>
    <m/>
    <x v="7"/>
    <x v="2"/>
    <x v="0"/>
    <x v="3"/>
    <x v="1"/>
  </r>
  <r>
    <s v="Singapore"/>
    <x v="1"/>
    <s v="SG1"/>
    <m/>
    <x v="2"/>
    <x v="2"/>
    <x v="4"/>
    <x v="2"/>
    <x v="0"/>
    <x v="0"/>
    <x v="0"/>
    <m/>
    <x v="0"/>
    <x v="0"/>
    <n v="0.98147700000000004"/>
    <m/>
    <x v="1"/>
    <x v="3"/>
    <x v="0"/>
    <x v="3"/>
    <x v="2"/>
  </r>
  <r>
    <s v="Singapore"/>
    <x v="5"/>
    <s v="SG1"/>
    <m/>
    <x v="2"/>
    <x v="1"/>
    <x v="1"/>
    <x v="1"/>
    <x v="0"/>
    <x v="0"/>
    <x v="0"/>
    <m/>
    <x v="0"/>
    <x v="0"/>
    <n v="-0.31158000000000002"/>
    <m/>
    <x v="0"/>
    <x v="3"/>
    <x v="0"/>
    <x v="0"/>
    <x v="2"/>
  </r>
  <r>
    <s v="Singapore"/>
    <x v="3"/>
    <s v="SG3"/>
    <m/>
    <x v="1"/>
    <x v="1"/>
    <x v="2"/>
    <x v="3"/>
    <x v="0"/>
    <x v="0"/>
    <x v="0"/>
    <m/>
    <x v="0"/>
    <x v="0"/>
    <n v="-0.1838322"/>
    <m/>
    <x v="4"/>
    <x v="1"/>
    <x v="0"/>
    <x v="3"/>
    <x v="0"/>
  </r>
  <r>
    <s v="Singapore"/>
    <x v="1"/>
    <s v="SG3"/>
    <m/>
    <x v="2"/>
    <x v="3"/>
    <x v="4"/>
    <x v="2"/>
    <x v="0"/>
    <x v="0"/>
    <x v="0"/>
    <m/>
    <x v="0"/>
    <x v="0"/>
    <n v="0.44400150000000005"/>
    <m/>
    <x v="1"/>
    <x v="1"/>
    <x v="0"/>
    <x v="1"/>
    <x v="2"/>
  </r>
  <r>
    <s v="Singapore"/>
    <x v="3"/>
    <s v="SG3"/>
    <m/>
    <x v="0"/>
    <x v="2"/>
    <x v="3"/>
    <x v="5"/>
    <x v="0"/>
    <x v="0"/>
    <x v="0"/>
    <m/>
    <x v="0"/>
    <x v="0"/>
    <n v="0.233685"/>
    <m/>
    <x v="11"/>
    <x v="1"/>
    <x v="0"/>
    <x v="5"/>
    <x v="1"/>
  </r>
  <r>
    <s v="Singapore"/>
    <x v="1"/>
    <s v="SG1"/>
    <m/>
    <x v="1"/>
    <x v="1"/>
    <x v="0"/>
    <x v="0"/>
    <x v="0"/>
    <x v="0"/>
    <x v="0"/>
    <m/>
    <x v="0"/>
    <x v="0"/>
    <n v="-0.1168425"/>
    <m/>
    <x v="0"/>
    <x v="2"/>
    <x v="0"/>
    <x v="4"/>
    <x v="1"/>
  </r>
  <r>
    <s v="Singapore"/>
    <x v="1"/>
    <s v="SG3"/>
    <m/>
    <x v="2"/>
    <x v="3"/>
    <x v="4"/>
    <x v="4"/>
    <x v="0"/>
    <x v="0"/>
    <x v="0"/>
    <m/>
    <x v="0"/>
    <x v="0"/>
    <n v="-0.81010800000000005"/>
    <m/>
    <x v="4"/>
    <x v="0"/>
    <x v="0"/>
    <x v="4"/>
    <x v="0"/>
  </r>
  <r>
    <s v="Singapore"/>
    <x v="3"/>
    <s v="SG3"/>
    <m/>
    <x v="1"/>
    <x v="3"/>
    <x v="4"/>
    <x v="4"/>
    <x v="0"/>
    <x v="0"/>
    <x v="0"/>
    <m/>
    <x v="0"/>
    <x v="0"/>
    <n v="35.753805"/>
    <m/>
    <x v="3"/>
    <x v="0"/>
    <x v="0"/>
    <x v="3"/>
    <x v="0"/>
  </r>
  <r>
    <s v="Singapore"/>
    <x v="3"/>
    <s v="SG2"/>
    <m/>
    <x v="2"/>
    <x v="3"/>
    <x v="2"/>
    <x v="1"/>
    <x v="0"/>
    <x v="0"/>
    <x v="0"/>
    <m/>
    <x v="0"/>
    <x v="0"/>
    <n v="-0.77895000000000003"/>
    <m/>
    <x v="4"/>
    <x v="1"/>
    <x v="0"/>
    <x v="4"/>
    <x v="0"/>
  </r>
  <r>
    <s v="Singapore"/>
    <x v="3"/>
    <s v="SG1"/>
    <m/>
    <x v="3"/>
    <x v="1"/>
    <x v="4"/>
    <x v="4"/>
    <x v="0"/>
    <x v="0"/>
    <x v="0"/>
    <m/>
    <x v="0"/>
    <x v="0"/>
    <n v="0.46737000000000001"/>
    <m/>
    <x v="1"/>
    <x v="2"/>
    <x v="0"/>
    <x v="1"/>
    <x v="0"/>
  </r>
  <r>
    <s v="Singapore"/>
    <x v="0"/>
    <s v="SG2"/>
    <m/>
    <x v="0"/>
    <x v="2"/>
    <x v="3"/>
    <x v="2"/>
    <x v="0"/>
    <x v="0"/>
    <x v="0"/>
    <m/>
    <x v="0"/>
    <x v="0"/>
    <n v="-0.12463200000000001"/>
    <m/>
    <x v="0"/>
    <x v="0"/>
    <x v="0"/>
    <x v="5"/>
    <x v="0"/>
  </r>
  <r>
    <s v="Singapore"/>
    <x v="4"/>
    <s v="SG3"/>
    <m/>
    <x v="5"/>
    <x v="4"/>
    <x v="2"/>
    <x v="5"/>
    <x v="0"/>
    <x v="0"/>
    <x v="0"/>
    <m/>
    <x v="0"/>
    <x v="0"/>
    <n v="0.16748982900000001"/>
    <m/>
    <x v="1"/>
    <x v="3"/>
    <x v="0"/>
    <x v="4"/>
    <x v="2"/>
  </r>
  <r>
    <s v="Singapore"/>
    <x v="5"/>
    <s v="SG2"/>
    <m/>
    <x v="5"/>
    <x v="1"/>
    <x v="4"/>
    <x v="0"/>
    <x v="0"/>
    <x v="0"/>
    <x v="0"/>
    <m/>
    <x v="0"/>
    <x v="0"/>
    <n v="-1.5579000000000001E-2"/>
    <m/>
    <x v="0"/>
    <x v="1"/>
    <x v="0"/>
    <x v="1"/>
    <x v="2"/>
  </r>
  <r>
    <s v="Singapore"/>
    <x v="5"/>
    <s v="SG1"/>
    <m/>
    <x v="5"/>
    <x v="2"/>
    <x v="3"/>
    <x v="5"/>
    <x v="0"/>
    <x v="0"/>
    <x v="0"/>
    <m/>
    <x v="0"/>
    <x v="0"/>
    <n v="0.178410708"/>
    <m/>
    <x v="1"/>
    <x v="0"/>
    <x v="0"/>
    <x v="1"/>
    <x v="2"/>
  </r>
  <r>
    <s v="Singapore"/>
    <x v="2"/>
    <s v="SG4"/>
    <m/>
    <x v="5"/>
    <x v="0"/>
    <x v="4"/>
    <x v="3"/>
    <x v="0"/>
    <x v="0"/>
    <x v="0"/>
    <m/>
    <x v="0"/>
    <x v="0"/>
    <n v="-0.15579000000000001"/>
    <m/>
    <x v="0"/>
    <x v="3"/>
    <x v="0"/>
    <x v="2"/>
    <x v="2"/>
  </r>
  <r>
    <s v="Singapore"/>
    <x v="4"/>
    <s v="SG2"/>
    <m/>
    <x v="2"/>
    <x v="0"/>
    <x v="4"/>
    <x v="3"/>
    <x v="0"/>
    <x v="0"/>
    <x v="0"/>
    <m/>
    <x v="0"/>
    <x v="0"/>
    <n v="-0.12463200000000001"/>
    <m/>
    <x v="0"/>
    <x v="0"/>
    <x v="0"/>
    <x v="2"/>
    <x v="0"/>
  </r>
  <r>
    <s v="Singapore"/>
    <x v="1"/>
    <s v="SG2"/>
    <m/>
    <x v="2"/>
    <x v="4"/>
    <x v="2"/>
    <x v="2"/>
    <x v="0"/>
    <x v="0"/>
    <x v="0"/>
    <m/>
    <x v="0"/>
    <x v="0"/>
    <n v="-0.233685"/>
    <m/>
    <x v="0"/>
    <x v="0"/>
    <x v="0"/>
    <x v="1"/>
    <x v="0"/>
  </r>
  <r>
    <s v="Singapore"/>
    <x v="4"/>
    <s v="SG4"/>
    <m/>
    <x v="1"/>
    <x v="4"/>
    <x v="1"/>
    <x v="4"/>
    <x v="0"/>
    <x v="0"/>
    <x v="0"/>
    <m/>
    <x v="0"/>
    <x v="0"/>
    <n v="1.8173682449999999"/>
    <m/>
    <x v="7"/>
    <x v="3"/>
    <x v="0"/>
    <x v="5"/>
    <x v="2"/>
  </r>
  <r>
    <s v="Singapore"/>
    <x v="3"/>
    <s v="SG2"/>
    <m/>
    <x v="3"/>
    <x v="0"/>
    <x v="1"/>
    <x v="0"/>
    <x v="0"/>
    <x v="0"/>
    <x v="0"/>
    <m/>
    <x v="0"/>
    <x v="0"/>
    <n v="-0.15579000000000001"/>
    <m/>
    <x v="0"/>
    <x v="3"/>
    <x v="0"/>
    <x v="2"/>
    <x v="2"/>
  </r>
  <r>
    <s v="Singapore"/>
    <x v="2"/>
    <s v="SG2"/>
    <m/>
    <x v="4"/>
    <x v="3"/>
    <x v="0"/>
    <x v="4"/>
    <x v="0"/>
    <x v="0"/>
    <x v="0"/>
    <m/>
    <x v="0"/>
    <x v="0"/>
    <n v="1.3008465"/>
    <m/>
    <x v="1"/>
    <x v="3"/>
    <x v="0"/>
    <x v="5"/>
    <x v="0"/>
  </r>
  <r>
    <s v="Singapore"/>
    <x v="0"/>
    <s v="SG4"/>
    <m/>
    <x v="0"/>
    <x v="4"/>
    <x v="1"/>
    <x v="4"/>
    <x v="0"/>
    <x v="0"/>
    <x v="0"/>
    <m/>
    <x v="0"/>
    <x v="0"/>
    <n v="-0.20441205900000003"/>
    <m/>
    <x v="0"/>
    <x v="3"/>
    <x v="0"/>
    <x v="5"/>
    <x v="1"/>
  </r>
  <r>
    <s v="Singapore"/>
    <x v="5"/>
    <s v="SG1"/>
    <m/>
    <x v="3"/>
    <x v="4"/>
    <x v="0"/>
    <x v="2"/>
    <x v="0"/>
    <x v="0"/>
    <x v="0"/>
    <m/>
    <x v="0"/>
    <x v="0"/>
    <n v="-7.7895000000000006E-2"/>
    <m/>
    <x v="1"/>
    <x v="1"/>
    <x v="0"/>
    <x v="3"/>
    <x v="1"/>
  </r>
  <r>
    <s v="Singapore"/>
    <x v="3"/>
    <s v="SG4"/>
    <m/>
    <x v="4"/>
    <x v="1"/>
    <x v="1"/>
    <x v="5"/>
    <x v="0"/>
    <x v="0"/>
    <x v="0"/>
    <m/>
    <x v="0"/>
    <x v="0"/>
    <n v="0.91662162300000005"/>
    <m/>
    <x v="1"/>
    <x v="1"/>
    <x v="0"/>
    <x v="1"/>
    <x v="1"/>
  </r>
  <r>
    <s v="Singapore"/>
    <x v="3"/>
    <s v="SG4"/>
    <m/>
    <x v="1"/>
    <x v="1"/>
    <x v="3"/>
    <x v="5"/>
    <x v="0"/>
    <x v="0"/>
    <x v="0"/>
    <m/>
    <x v="0"/>
    <x v="0"/>
    <n v="-0.186948"/>
    <m/>
    <x v="0"/>
    <x v="0"/>
    <x v="0"/>
    <x v="0"/>
    <x v="2"/>
  </r>
  <r>
    <s v="Singapore"/>
    <x v="4"/>
    <s v="SG4"/>
    <m/>
    <x v="4"/>
    <x v="2"/>
    <x v="0"/>
    <x v="3"/>
    <x v="0"/>
    <x v="0"/>
    <x v="0"/>
    <m/>
    <x v="0"/>
    <x v="0"/>
    <n v="-0.24926400000000001"/>
    <m/>
    <x v="0"/>
    <x v="1"/>
    <x v="0"/>
    <x v="5"/>
    <x v="1"/>
  </r>
  <r>
    <s v="Singapore"/>
    <x v="5"/>
    <s v="SG1"/>
    <m/>
    <x v="4"/>
    <x v="2"/>
    <x v="1"/>
    <x v="1"/>
    <x v="0"/>
    <x v="0"/>
    <x v="0"/>
    <m/>
    <x v="0"/>
    <x v="0"/>
    <n v="-0.87242400000000009"/>
    <m/>
    <x v="1"/>
    <x v="3"/>
    <x v="0"/>
    <x v="3"/>
    <x v="0"/>
  </r>
  <r>
    <s v="Singapore"/>
    <x v="4"/>
    <s v="SG1"/>
    <m/>
    <x v="1"/>
    <x v="1"/>
    <x v="0"/>
    <x v="1"/>
    <x v="0"/>
    <x v="0"/>
    <x v="0"/>
    <m/>
    <x v="0"/>
    <x v="0"/>
    <n v="-66.472087725000009"/>
    <m/>
    <x v="1"/>
    <x v="1"/>
    <x v="0"/>
    <x v="2"/>
    <x v="1"/>
  </r>
  <r>
    <s v="Singapore"/>
    <x v="5"/>
    <s v="SG3"/>
    <m/>
    <x v="0"/>
    <x v="2"/>
    <x v="3"/>
    <x v="2"/>
    <x v="0"/>
    <x v="0"/>
    <x v="0"/>
    <m/>
    <x v="0"/>
    <x v="0"/>
    <n v="-0.140211"/>
    <m/>
    <x v="0"/>
    <x v="1"/>
    <x v="0"/>
    <x v="3"/>
    <x v="0"/>
  </r>
  <r>
    <s v="Singapore"/>
    <x v="4"/>
    <s v="SG3"/>
    <m/>
    <x v="4"/>
    <x v="4"/>
    <x v="4"/>
    <x v="0"/>
    <x v="0"/>
    <x v="0"/>
    <x v="0"/>
    <m/>
    <x v="0"/>
    <x v="0"/>
    <n v="-0.545265"/>
    <m/>
    <x v="4"/>
    <x v="1"/>
    <x v="0"/>
    <x v="5"/>
    <x v="2"/>
  </r>
  <r>
    <s v="Singapore"/>
    <x v="0"/>
    <s v="SG1"/>
    <m/>
    <x v="3"/>
    <x v="0"/>
    <x v="1"/>
    <x v="4"/>
    <x v="0"/>
    <x v="0"/>
    <x v="0"/>
    <m/>
    <x v="0"/>
    <x v="0"/>
    <n v="-7.7895000000000004E-3"/>
    <m/>
    <x v="0"/>
    <x v="2"/>
    <x v="0"/>
    <x v="2"/>
    <x v="2"/>
  </r>
  <r>
    <s v="Singapore"/>
    <x v="4"/>
    <s v="SG2"/>
    <m/>
    <x v="2"/>
    <x v="3"/>
    <x v="1"/>
    <x v="2"/>
    <x v="0"/>
    <x v="0"/>
    <x v="0"/>
    <m/>
    <x v="0"/>
    <x v="0"/>
    <n v="-4.6737000000000001E-2"/>
    <m/>
    <x v="0"/>
    <x v="3"/>
    <x v="0"/>
    <x v="3"/>
    <x v="2"/>
  </r>
  <r>
    <s v="Singapore"/>
    <x v="0"/>
    <s v="SG3"/>
    <m/>
    <x v="2"/>
    <x v="2"/>
    <x v="2"/>
    <x v="1"/>
    <x v="0"/>
    <x v="0"/>
    <x v="0"/>
    <m/>
    <x v="0"/>
    <x v="0"/>
    <n v="-14.690997000000001"/>
    <m/>
    <x v="4"/>
    <x v="1"/>
    <x v="0"/>
    <x v="5"/>
    <x v="0"/>
  </r>
  <r>
    <s v="Singapore"/>
    <x v="3"/>
    <s v="SG1"/>
    <m/>
    <x v="0"/>
    <x v="3"/>
    <x v="0"/>
    <x v="0"/>
    <x v="0"/>
    <x v="0"/>
    <x v="0"/>
    <m/>
    <x v="0"/>
    <x v="0"/>
    <n v="-1.6797122010000001"/>
    <m/>
    <x v="4"/>
    <x v="2"/>
    <x v="0"/>
    <x v="2"/>
    <x v="2"/>
  </r>
  <r>
    <s v="Singapore"/>
    <x v="3"/>
    <s v="SG4"/>
    <m/>
    <x v="0"/>
    <x v="4"/>
    <x v="2"/>
    <x v="5"/>
    <x v="0"/>
    <x v="0"/>
    <x v="0"/>
    <m/>
    <x v="0"/>
    <x v="0"/>
    <n v="-4.36212"/>
    <m/>
    <x v="0"/>
    <x v="3"/>
    <x v="0"/>
    <x v="1"/>
    <x v="0"/>
  </r>
  <r>
    <s v="Singapore"/>
    <x v="5"/>
    <s v="SG1"/>
    <m/>
    <x v="4"/>
    <x v="1"/>
    <x v="0"/>
    <x v="3"/>
    <x v="0"/>
    <x v="0"/>
    <x v="0"/>
    <m/>
    <x v="0"/>
    <x v="0"/>
    <n v="-0.140211"/>
    <m/>
    <x v="0"/>
    <x v="3"/>
    <x v="0"/>
    <x v="1"/>
    <x v="1"/>
  </r>
  <r>
    <s v="Singapore"/>
    <x v="2"/>
    <s v="SG4"/>
    <m/>
    <x v="4"/>
    <x v="0"/>
    <x v="0"/>
    <x v="2"/>
    <x v="0"/>
    <x v="0"/>
    <x v="0"/>
    <m/>
    <x v="0"/>
    <x v="0"/>
    <n v="-0.46737000000000001"/>
    <m/>
    <x v="4"/>
    <x v="1"/>
    <x v="0"/>
    <x v="0"/>
    <x v="1"/>
  </r>
  <r>
    <s v="Singapore"/>
    <x v="2"/>
    <s v="SG1"/>
    <m/>
    <x v="0"/>
    <x v="1"/>
    <x v="2"/>
    <x v="5"/>
    <x v="0"/>
    <x v="0"/>
    <x v="0"/>
    <m/>
    <x v="0"/>
    <x v="0"/>
    <n v="-7.7895000000000004E-3"/>
    <m/>
    <x v="0"/>
    <x v="2"/>
    <x v="0"/>
    <x v="5"/>
    <x v="1"/>
  </r>
  <r>
    <s v="Singapore"/>
    <x v="5"/>
    <s v="SG3"/>
    <m/>
    <x v="3"/>
    <x v="3"/>
    <x v="0"/>
    <x v="0"/>
    <x v="0"/>
    <x v="0"/>
    <x v="0"/>
    <m/>
    <x v="0"/>
    <x v="0"/>
    <n v="-0.31158000000000002"/>
    <m/>
    <x v="0"/>
    <x v="1"/>
    <x v="0"/>
    <x v="5"/>
    <x v="0"/>
  </r>
  <r>
    <s v="Singapore"/>
    <x v="2"/>
    <s v="SG2"/>
    <m/>
    <x v="4"/>
    <x v="3"/>
    <x v="2"/>
    <x v="4"/>
    <x v="0"/>
    <x v="0"/>
    <x v="0"/>
    <m/>
    <x v="0"/>
    <x v="0"/>
    <n v="-0.233685"/>
    <m/>
    <x v="0"/>
    <x v="2"/>
    <x v="0"/>
    <x v="3"/>
    <x v="1"/>
  </r>
  <r>
    <s v="Singapore"/>
    <x v="0"/>
    <s v="SG3"/>
    <m/>
    <x v="2"/>
    <x v="3"/>
    <x v="1"/>
    <x v="1"/>
    <x v="0"/>
    <x v="0"/>
    <x v="0"/>
    <m/>
    <x v="0"/>
    <x v="0"/>
    <n v="-33.791443002000001"/>
    <m/>
    <x v="1"/>
    <x v="3"/>
    <x v="0"/>
    <x v="3"/>
    <x v="2"/>
  </r>
  <r>
    <s v="Singapore"/>
    <x v="5"/>
    <s v="SG3"/>
    <m/>
    <x v="4"/>
    <x v="0"/>
    <x v="1"/>
    <x v="5"/>
    <x v="0"/>
    <x v="0"/>
    <x v="0"/>
    <m/>
    <x v="0"/>
    <x v="0"/>
    <n v="-3.7233810000000003"/>
    <m/>
    <x v="11"/>
    <x v="2"/>
    <x v="0"/>
    <x v="2"/>
    <x v="1"/>
  </r>
  <r>
    <s v="Singapore"/>
    <x v="2"/>
    <s v="SG4"/>
    <m/>
    <x v="0"/>
    <x v="0"/>
    <x v="3"/>
    <x v="5"/>
    <x v="0"/>
    <x v="0"/>
    <x v="0"/>
    <m/>
    <x v="0"/>
    <x v="0"/>
    <n v="-0.233685"/>
    <m/>
    <x v="0"/>
    <x v="3"/>
    <x v="0"/>
    <x v="0"/>
    <x v="2"/>
  </r>
  <r>
    <s v="Singapore"/>
    <x v="3"/>
    <s v="SG3"/>
    <m/>
    <x v="4"/>
    <x v="2"/>
    <x v="3"/>
    <x v="3"/>
    <x v="0"/>
    <x v="0"/>
    <x v="0"/>
    <m/>
    <x v="0"/>
    <x v="0"/>
    <n v="-0.15579000000000001"/>
    <m/>
    <x v="0"/>
    <x v="2"/>
    <x v="0"/>
    <x v="1"/>
    <x v="0"/>
  </r>
  <r>
    <s v="Singapore"/>
    <x v="2"/>
    <s v="SG1"/>
    <m/>
    <x v="1"/>
    <x v="3"/>
    <x v="0"/>
    <x v="3"/>
    <x v="0"/>
    <x v="0"/>
    <x v="0"/>
    <m/>
    <x v="0"/>
    <x v="0"/>
    <n v="2.1511483199999999"/>
    <m/>
    <x v="1"/>
    <x v="0"/>
    <x v="0"/>
    <x v="5"/>
    <x v="2"/>
  </r>
  <r>
    <s v="Singapore"/>
    <x v="1"/>
    <s v="SG3"/>
    <m/>
    <x v="4"/>
    <x v="4"/>
    <x v="2"/>
    <x v="4"/>
    <x v="0"/>
    <x v="0"/>
    <x v="0"/>
    <m/>
    <x v="0"/>
    <x v="0"/>
    <n v="-0.46737000000000001"/>
    <m/>
    <x v="0"/>
    <x v="1"/>
    <x v="0"/>
    <x v="0"/>
    <x v="1"/>
  </r>
  <r>
    <s v="Singapore"/>
    <x v="3"/>
    <s v="SG3"/>
    <m/>
    <x v="2"/>
    <x v="4"/>
    <x v="2"/>
    <x v="1"/>
    <x v="0"/>
    <x v="0"/>
    <x v="0"/>
    <m/>
    <x v="0"/>
    <x v="0"/>
    <n v="-0.17136900000000002"/>
    <m/>
    <x v="0"/>
    <x v="2"/>
    <x v="0"/>
    <x v="5"/>
    <x v="2"/>
  </r>
  <r>
    <s v="Singapore"/>
    <x v="2"/>
    <s v="SG4"/>
    <m/>
    <x v="2"/>
    <x v="3"/>
    <x v="1"/>
    <x v="2"/>
    <x v="0"/>
    <x v="0"/>
    <x v="0"/>
    <m/>
    <x v="0"/>
    <x v="0"/>
    <n v="-0.14398111800000002"/>
    <m/>
    <x v="0"/>
    <x v="2"/>
    <x v="0"/>
    <x v="3"/>
    <x v="1"/>
  </r>
  <r>
    <s v="Singapore"/>
    <x v="3"/>
    <s v="SG3"/>
    <m/>
    <x v="3"/>
    <x v="3"/>
    <x v="1"/>
    <x v="3"/>
    <x v="0"/>
    <x v="0"/>
    <x v="0"/>
    <m/>
    <x v="0"/>
    <x v="0"/>
    <n v="14.350019426999999"/>
    <m/>
    <x v="8"/>
    <x v="1"/>
    <x v="0"/>
    <x v="1"/>
    <x v="2"/>
  </r>
  <r>
    <s v="Singapore"/>
    <x v="2"/>
    <s v="SG4"/>
    <m/>
    <x v="2"/>
    <x v="2"/>
    <x v="0"/>
    <x v="4"/>
    <x v="0"/>
    <x v="0"/>
    <x v="0"/>
    <m/>
    <x v="0"/>
    <x v="0"/>
    <n v="-9.3474000000000002E-2"/>
    <m/>
    <x v="3"/>
    <x v="0"/>
    <x v="0"/>
    <x v="0"/>
    <x v="1"/>
  </r>
  <r>
    <s v="Singapore"/>
    <x v="0"/>
    <s v="SG2"/>
    <m/>
    <x v="0"/>
    <x v="4"/>
    <x v="0"/>
    <x v="5"/>
    <x v="0"/>
    <x v="0"/>
    <x v="0"/>
    <m/>
    <x v="0"/>
    <x v="0"/>
    <n v="-1.361635758"/>
    <m/>
    <x v="1"/>
    <x v="1"/>
    <x v="0"/>
    <x v="3"/>
    <x v="2"/>
  </r>
  <r>
    <s v="Singapore"/>
    <x v="2"/>
    <s v="SG3"/>
    <m/>
    <x v="0"/>
    <x v="3"/>
    <x v="0"/>
    <x v="1"/>
    <x v="0"/>
    <x v="0"/>
    <x v="0"/>
    <m/>
    <x v="0"/>
    <x v="0"/>
    <n v="1.0958268600000001"/>
    <m/>
    <x v="1"/>
    <x v="3"/>
    <x v="0"/>
    <x v="2"/>
    <x v="0"/>
  </r>
  <r>
    <s v="Singapore"/>
    <x v="4"/>
    <s v="SG2"/>
    <m/>
    <x v="0"/>
    <x v="1"/>
    <x v="3"/>
    <x v="4"/>
    <x v="0"/>
    <x v="0"/>
    <x v="0"/>
    <m/>
    <x v="0"/>
    <x v="0"/>
    <n v="-17.780608701000002"/>
    <m/>
    <x v="3"/>
    <x v="0"/>
    <x v="0"/>
    <x v="4"/>
    <x v="0"/>
  </r>
  <r>
    <s v="Singapore"/>
    <x v="5"/>
    <s v="SG4"/>
    <m/>
    <x v="0"/>
    <x v="4"/>
    <x v="1"/>
    <x v="4"/>
    <x v="0"/>
    <x v="0"/>
    <x v="0"/>
    <m/>
    <x v="0"/>
    <x v="0"/>
    <n v="-1.5579000000000001E-2"/>
    <m/>
    <x v="0"/>
    <x v="1"/>
    <x v="0"/>
    <x v="0"/>
    <x v="0"/>
  </r>
  <r>
    <s v="Singapore"/>
    <x v="5"/>
    <s v="SG3"/>
    <m/>
    <x v="3"/>
    <x v="1"/>
    <x v="3"/>
    <x v="1"/>
    <x v="0"/>
    <x v="0"/>
    <x v="0"/>
    <m/>
    <x v="0"/>
    <x v="0"/>
    <n v="1.6202160000000001"/>
    <m/>
    <x v="10"/>
    <x v="2"/>
    <x v="0"/>
    <x v="2"/>
    <x v="1"/>
  </r>
  <r>
    <s v="Singapore"/>
    <x v="2"/>
    <s v="SG1"/>
    <m/>
    <x v="2"/>
    <x v="2"/>
    <x v="2"/>
    <x v="1"/>
    <x v="0"/>
    <x v="0"/>
    <x v="0"/>
    <m/>
    <x v="0"/>
    <x v="0"/>
    <n v="-1.5579000000000001E-2"/>
    <m/>
    <x v="0"/>
    <x v="1"/>
    <x v="0"/>
    <x v="0"/>
    <x v="0"/>
  </r>
  <r>
    <s v="Singapore"/>
    <x v="0"/>
    <s v="SG3"/>
    <m/>
    <x v="0"/>
    <x v="3"/>
    <x v="2"/>
    <x v="5"/>
    <x v="0"/>
    <x v="0"/>
    <x v="0"/>
    <m/>
    <x v="0"/>
    <x v="0"/>
    <n v="-0.60758100000000004"/>
    <m/>
    <x v="4"/>
    <x v="0"/>
    <x v="0"/>
    <x v="2"/>
    <x v="0"/>
  </r>
  <r>
    <s v="Singapore"/>
    <x v="3"/>
    <s v="SG2"/>
    <m/>
    <x v="4"/>
    <x v="1"/>
    <x v="3"/>
    <x v="3"/>
    <x v="0"/>
    <x v="0"/>
    <x v="0"/>
    <m/>
    <x v="0"/>
    <x v="0"/>
    <n v="1.0801232280000002"/>
    <m/>
    <x v="1"/>
    <x v="3"/>
    <x v="0"/>
    <x v="1"/>
    <x v="0"/>
  </r>
  <r>
    <s v="Singapore"/>
    <x v="1"/>
    <s v="SG3"/>
    <m/>
    <x v="3"/>
    <x v="0"/>
    <x v="2"/>
    <x v="3"/>
    <x v="0"/>
    <x v="0"/>
    <x v="0"/>
    <m/>
    <x v="0"/>
    <x v="0"/>
    <n v="-0.12463200000000001"/>
    <m/>
    <x v="4"/>
    <x v="1"/>
    <x v="0"/>
    <x v="3"/>
    <x v="0"/>
  </r>
  <r>
    <s v="Singapore"/>
    <x v="5"/>
    <s v="SG1"/>
    <m/>
    <x v="0"/>
    <x v="2"/>
    <x v="3"/>
    <x v="5"/>
    <x v="0"/>
    <x v="0"/>
    <x v="0"/>
    <m/>
    <x v="0"/>
    <x v="0"/>
    <n v="-0.37389600000000001"/>
    <m/>
    <x v="4"/>
    <x v="3"/>
    <x v="0"/>
    <x v="5"/>
    <x v="2"/>
  </r>
  <r>
    <s v="Singapore"/>
    <x v="4"/>
    <s v="SG4"/>
    <m/>
    <x v="4"/>
    <x v="4"/>
    <x v="4"/>
    <x v="2"/>
    <x v="0"/>
    <x v="0"/>
    <x v="0"/>
    <m/>
    <x v="0"/>
    <x v="0"/>
    <n v="-4.6737000000000001E-2"/>
    <m/>
    <x v="0"/>
    <x v="1"/>
    <x v="0"/>
    <x v="4"/>
    <x v="2"/>
  </r>
  <r>
    <s v="Singapore"/>
    <x v="1"/>
    <s v="SG4"/>
    <m/>
    <x v="1"/>
    <x v="4"/>
    <x v="3"/>
    <x v="5"/>
    <x v="0"/>
    <x v="0"/>
    <x v="0"/>
    <m/>
    <x v="0"/>
    <x v="0"/>
    <n v="-3.1158000000000002E-2"/>
    <m/>
    <x v="0"/>
    <x v="1"/>
    <x v="0"/>
    <x v="3"/>
    <x v="1"/>
  </r>
  <r>
    <s v="Singapore"/>
    <x v="5"/>
    <s v="SG1"/>
    <m/>
    <x v="0"/>
    <x v="3"/>
    <x v="2"/>
    <x v="0"/>
    <x v="0"/>
    <x v="0"/>
    <x v="0"/>
    <m/>
    <x v="0"/>
    <x v="0"/>
    <n v="-0.12463200000000001"/>
    <m/>
    <x v="0"/>
    <x v="1"/>
    <x v="0"/>
    <x v="5"/>
    <x v="1"/>
  </r>
  <r>
    <s v="Singapore"/>
    <x v="2"/>
    <s v="SG1"/>
    <m/>
    <x v="5"/>
    <x v="2"/>
    <x v="0"/>
    <x v="1"/>
    <x v="0"/>
    <x v="0"/>
    <x v="0"/>
    <m/>
    <x v="0"/>
    <x v="0"/>
    <n v="-0.1838322"/>
    <m/>
    <x v="4"/>
    <x v="3"/>
    <x v="0"/>
    <x v="3"/>
    <x v="0"/>
  </r>
  <r>
    <s v="Singapore"/>
    <x v="3"/>
    <s v="SG2"/>
    <m/>
    <x v="0"/>
    <x v="4"/>
    <x v="0"/>
    <x v="1"/>
    <x v="0"/>
    <x v="0"/>
    <x v="0"/>
    <m/>
    <x v="0"/>
    <x v="0"/>
    <n v="-3.969388989"/>
    <m/>
    <x v="0"/>
    <x v="2"/>
    <x v="0"/>
    <x v="2"/>
    <x v="2"/>
  </r>
  <r>
    <s v="Singapore"/>
    <x v="2"/>
    <s v="SG4"/>
    <m/>
    <x v="1"/>
    <x v="1"/>
    <x v="3"/>
    <x v="0"/>
    <x v="0"/>
    <x v="0"/>
    <x v="0"/>
    <m/>
    <x v="0"/>
    <x v="0"/>
    <n v="-0.10905300000000001"/>
    <m/>
    <x v="4"/>
    <x v="3"/>
    <x v="0"/>
    <x v="4"/>
    <x v="2"/>
  </r>
  <r>
    <s v="Singapore"/>
    <x v="2"/>
    <s v="SG3"/>
    <m/>
    <x v="3"/>
    <x v="2"/>
    <x v="3"/>
    <x v="3"/>
    <x v="0"/>
    <x v="0"/>
    <x v="0"/>
    <m/>
    <x v="0"/>
    <x v="0"/>
    <n v="-25.705350000000003"/>
    <m/>
    <x v="7"/>
    <x v="3"/>
    <x v="0"/>
    <x v="1"/>
    <x v="1"/>
  </r>
  <r>
    <s v="Singapore"/>
    <x v="2"/>
    <s v="SG3"/>
    <m/>
    <x v="1"/>
    <x v="2"/>
    <x v="3"/>
    <x v="3"/>
    <x v="0"/>
    <x v="0"/>
    <x v="0"/>
    <m/>
    <x v="0"/>
    <x v="0"/>
    <n v="-28.291464000000001"/>
    <m/>
    <x v="2"/>
    <x v="3"/>
    <x v="0"/>
    <x v="2"/>
    <x v="0"/>
  </r>
  <r>
    <s v="Singapore"/>
    <x v="2"/>
    <s v="SG1"/>
    <m/>
    <x v="0"/>
    <x v="2"/>
    <x v="4"/>
    <x v="0"/>
    <x v="0"/>
    <x v="0"/>
    <x v="0"/>
    <m/>
    <x v="0"/>
    <x v="0"/>
    <n v="-0.545265"/>
    <m/>
    <x v="0"/>
    <x v="2"/>
    <x v="0"/>
    <x v="2"/>
    <x v="2"/>
  </r>
  <r>
    <s v="Singapore"/>
    <x v="0"/>
    <s v="SG1"/>
    <m/>
    <x v="2"/>
    <x v="0"/>
    <x v="3"/>
    <x v="3"/>
    <x v="0"/>
    <x v="0"/>
    <x v="0"/>
    <m/>
    <x v="0"/>
    <x v="0"/>
    <n v="-0.12463200000000001"/>
    <m/>
    <x v="0"/>
    <x v="0"/>
    <x v="0"/>
    <x v="2"/>
    <x v="0"/>
  </r>
  <r>
    <s v="Singapore"/>
    <x v="5"/>
    <s v="SG1"/>
    <m/>
    <x v="3"/>
    <x v="0"/>
    <x v="0"/>
    <x v="5"/>
    <x v="0"/>
    <x v="0"/>
    <x v="0"/>
    <m/>
    <x v="0"/>
    <x v="0"/>
    <n v="-0.93474000000000002"/>
    <m/>
    <x v="2"/>
    <x v="2"/>
    <x v="0"/>
    <x v="0"/>
    <x v="0"/>
  </r>
  <r>
    <s v="Singapore"/>
    <x v="5"/>
    <s v="SG2"/>
    <m/>
    <x v="1"/>
    <x v="0"/>
    <x v="2"/>
    <x v="4"/>
    <x v="0"/>
    <x v="0"/>
    <x v="0"/>
    <m/>
    <x v="0"/>
    <x v="0"/>
    <n v="2.3368500000000001"/>
    <m/>
    <x v="0"/>
    <x v="0"/>
    <x v="0"/>
    <x v="2"/>
    <x v="0"/>
  </r>
  <r>
    <s v="Singapore"/>
    <x v="5"/>
    <s v="SG2"/>
    <m/>
    <x v="5"/>
    <x v="2"/>
    <x v="4"/>
    <x v="1"/>
    <x v="0"/>
    <x v="0"/>
    <x v="0"/>
    <m/>
    <x v="0"/>
    <x v="0"/>
    <n v="-0.37389600000000001"/>
    <m/>
    <x v="4"/>
    <x v="1"/>
    <x v="0"/>
    <x v="0"/>
    <x v="1"/>
  </r>
  <r>
    <s v="Singapore"/>
    <x v="3"/>
    <s v="SG3"/>
    <m/>
    <x v="2"/>
    <x v="1"/>
    <x v="0"/>
    <x v="3"/>
    <x v="0"/>
    <x v="0"/>
    <x v="0"/>
    <m/>
    <x v="0"/>
    <x v="0"/>
    <n v="0.98147700000000004"/>
    <m/>
    <x v="1"/>
    <x v="1"/>
    <x v="0"/>
    <x v="1"/>
    <x v="2"/>
  </r>
  <r>
    <s v="Singapore"/>
    <x v="0"/>
    <s v="SG1"/>
    <m/>
    <x v="0"/>
    <x v="4"/>
    <x v="2"/>
    <x v="2"/>
    <x v="0"/>
    <x v="0"/>
    <x v="0"/>
    <m/>
    <x v="0"/>
    <x v="0"/>
    <n v="-0.77895000000000003"/>
    <m/>
    <x v="4"/>
    <x v="2"/>
    <x v="0"/>
    <x v="0"/>
    <x v="0"/>
  </r>
  <r>
    <s v="Singapore"/>
    <x v="3"/>
    <s v="SG3"/>
    <m/>
    <x v="1"/>
    <x v="3"/>
    <x v="2"/>
    <x v="4"/>
    <x v="0"/>
    <x v="0"/>
    <x v="0"/>
    <m/>
    <x v="0"/>
    <x v="0"/>
    <n v="-2.637228699"/>
    <m/>
    <x v="3"/>
    <x v="2"/>
    <x v="0"/>
    <x v="2"/>
    <x v="0"/>
  </r>
  <r>
    <s v="Singapore"/>
    <x v="0"/>
    <s v="SG4"/>
    <m/>
    <x v="4"/>
    <x v="1"/>
    <x v="4"/>
    <x v="4"/>
    <x v="0"/>
    <x v="0"/>
    <x v="0"/>
    <m/>
    <x v="0"/>
    <x v="0"/>
    <n v="-29.459889"/>
    <m/>
    <x v="7"/>
    <x v="0"/>
    <x v="0"/>
    <x v="5"/>
    <x v="1"/>
  </r>
  <r>
    <s v="Singapore"/>
    <x v="1"/>
    <s v="SG1"/>
    <m/>
    <x v="5"/>
    <x v="0"/>
    <x v="0"/>
    <x v="5"/>
    <x v="0"/>
    <x v="0"/>
    <x v="0"/>
    <m/>
    <x v="0"/>
    <x v="0"/>
    <n v="-0.46737000000000001"/>
    <m/>
    <x v="0"/>
    <x v="3"/>
    <x v="0"/>
    <x v="2"/>
    <x v="0"/>
  </r>
  <r>
    <s v="Singapore"/>
    <x v="4"/>
    <s v="SG4"/>
    <m/>
    <x v="3"/>
    <x v="0"/>
    <x v="2"/>
    <x v="0"/>
    <x v="0"/>
    <x v="0"/>
    <x v="0"/>
    <m/>
    <x v="0"/>
    <x v="0"/>
    <n v="1.137267"/>
    <m/>
    <x v="1"/>
    <x v="3"/>
    <x v="0"/>
    <x v="0"/>
    <x v="0"/>
  </r>
  <r>
    <s v="Singapore"/>
    <x v="4"/>
    <s v="SG4"/>
    <m/>
    <x v="0"/>
    <x v="4"/>
    <x v="4"/>
    <x v="5"/>
    <x v="0"/>
    <x v="0"/>
    <x v="0"/>
    <m/>
    <x v="0"/>
    <x v="0"/>
    <n v="1.09053"/>
    <m/>
    <x v="5"/>
    <x v="0"/>
    <x v="0"/>
    <x v="2"/>
    <x v="1"/>
  </r>
  <r>
    <s v="Singapore"/>
    <x v="3"/>
    <s v="SG2"/>
    <m/>
    <x v="3"/>
    <x v="3"/>
    <x v="1"/>
    <x v="0"/>
    <x v="0"/>
    <x v="0"/>
    <x v="0"/>
    <m/>
    <x v="0"/>
    <x v="0"/>
    <n v="6.0571152000000001"/>
    <m/>
    <x v="8"/>
    <x v="0"/>
    <x v="0"/>
    <x v="1"/>
    <x v="2"/>
  </r>
  <r>
    <s v="Singapore"/>
    <x v="3"/>
    <s v="SG1"/>
    <m/>
    <x v="3"/>
    <x v="1"/>
    <x v="2"/>
    <x v="2"/>
    <x v="0"/>
    <x v="0"/>
    <x v="0"/>
    <m/>
    <x v="0"/>
    <x v="0"/>
    <n v="-1.5579000000000001E-2"/>
    <m/>
    <x v="0"/>
    <x v="1"/>
    <x v="0"/>
    <x v="3"/>
    <x v="2"/>
  </r>
  <r>
    <s v="Singapore"/>
    <x v="1"/>
    <s v="SG1"/>
    <m/>
    <x v="2"/>
    <x v="1"/>
    <x v="2"/>
    <x v="2"/>
    <x v="0"/>
    <x v="0"/>
    <x v="0"/>
    <m/>
    <x v="0"/>
    <x v="0"/>
    <n v="-0.35138434500000004"/>
    <m/>
    <x v="3"/>
    <x v="0"/>
    <x v="0"/>
    <x v="0"/>
    <x v="2"/>
  </r>
  <r>
    <s v="Singapore"/>
    <x v="1"/>
    <s v="SG2"/>
    <m/>
    <x v="1"/>
    <x v="0"/>
    <x v="4"/>
    <x v="0"/>
    <x v="0"/>
    <x v="0"/>
    <x v="0"/>
    <m/>
    <x v="0"/>
    <x v="0"/>
    <n v="0.41284350000000003"/>
    <m/>
    <x v="1"/>
    <x v="1"/>
    <x v="0"/>
    <x v="0"/>
    <x v="1"/>
  </r>
  <r>
    <s v="Singapore"/>
    <x v="1"/>
    <s v="SG3"/>
    <m/>
    <x v="4"/>
    <x v="1"/>
    <x v="2"/>
    <x v="4"/>
    <x v="0"/>
    <x v="0"/>
    <x v="0"/>
    <m/>
    <x v="0"/>
    <x v="0"/>
    <n v="-3.8947500000000003E-2"/>
    <m/>
    <x v="0"/>
    <x v="1"/>
    <x v="0"/>
    <x v="1"/>
    <x v="2"/>
  </r>
  <r>
    <s v="Singapore"/>
    <x v="5"/>
    <s v="SG2"/>
    <m/>
    <x v="5"/>
    <x v="0"/>
    <x v="1"/>
    <x v="1"/>
    <x v="0"/>
    <x v="0"/>
    <x v="0"/>
    <m/>
    <x v="0"/>
    <x v="0"/>
    <n v="0.46737000000000001"/>
    <m/>
    <x v="8"/>
    <x v="2"/>
    <x v="0"/>
    <x v="0"/>
    <x v="1"/>
  </r>
  <r>
    <s v="Singapore"/>
    <x v="2"/>
    <s v="SG4"/>
    <m/>
    <x v="5"/>
    <x v="2"/>
    <x v="0"/>
    <x v="1"/>
    <x v="0"/>
    <x v="0"/>
    <x v="0"/>
    <m/>
    <x v="0"/>
    <x v="0"/>
    <n v="-0.93474000000000002"/>
    <m/>
    <x v="4"/>
    <x v="2"/>
    <x v="0"/>
    <x v="3"/>
    <x v="1"/>
  </r>
  <r>
    <s v="Singapore"/>
    <x v="1"/>
    <s v="SG1"/>
    <m/>
    <x v="3"/>
    <x v="2"/>
    <x v="1"/>
    <x v="5"/>
    <x v="0"/>
    <x v="0"/>
    <x v="0"/>
    <m/>
    <x v="0"/>
    <x v="0"/>
    <n v="0.17136900000000002"/>
    <m/>
    <x v="7"/>
    <x v="2"/>
    <x v="0"/>
    <x v="0"/>
    <x v="2"/>
  </r>
  <r>
    <s v="Singapore"/>
    <x v="4"/>
    <s v="SG3"/>
    <m/>
    <x v="1"/>
    <x v="0"/>
    <x v="1"/>
    <x v="1"/>
    <x v="0"/>
    <x v="0"/>
    <x v="0"/>
    <m/>
    <x v="0"/>
    <x v="0"/>
    <n v="-0.21810600000000002"/>
    <m/>
    <x v="4"/>
    <x v="1"/>
    <x v="0"/>
    <x v="1"/>
    <x v="1"/>
  </r>
  <r>
    <s v="Singapore"/>
    <x v="2"/>
    <s v="SG3"/>
    <m/>
    <x v="4"/>
    <x v="3"/>
    <x v="0"/>
    <x v="5"/>
    <x v="0"/>
    <x v="0"/>
    <x v="0"/>
    <m/>
    <x v="0"/>
    <x v="0"/>
    <n v="-0.42063300000000003"/>
    <m/>
    <x v="4"/>
    <x v="2"/>
    <x v="0"/>
    <x v="3"/>
    <x v="1"/>
  </r>
  <r>
    <s v="Singapore"/>
    <x v="2"/>
    <s v="SG2"/>
    <m/>
    <x v="3"/>
    <x v="0"/>
    <x v="1"/>
    <x v="2"/>
    <x v="0"/>
    <x v="0"/>
    <x v="0"/>
    <m/>
    <x v="0"/>
    <x v="0"/>
    <n v="0.50631749999999998"/>
    <m/>
    <x v="8"/>
    <x v="1"/>
    <x v="0"/>
    <x v="2"/>
    <x v="1"/>
  </r>
  <r>
    <s v="Singapore"/>
    <x v="0"/>
    <s v="SG1"/>
    <m/>
    <x v="1"/>
    <x v="1"/>
    <x v="4"/>
    <x v="2"/>
    <x v="0"/>
    <x v="0"/>
    <x v="0"/>
    <m/>
    <x v="0"/>
    <x v="0"/>
    <n v="2.9755890000000003"/>
    <m/>
    <x v="5"/>
    <x v="3"/>
    <x v="0"/>
    <x v="4"/>
    <x v="2"/>
  </r>
  <r>
    <s v="Singapore"/>
    <x v="4"/>
    <s v="SG3"/>
    <m/>
    <x v="5"/>
    <x v="2"/>
    <x v="4"/>
    <x v="5"/>
    <x v="0"/>
    <x v="0"/>
    <x v="0"/>
    <m/>
    <x v="0"/>
    <x v="0"/>
    <n v="-100.32876"/>
    <m/>
    <x v="2"/>
    <x v="3"/>
    <x v="0"/>
    <x v="3"/>
    <x v="1"/>
  </r>
  <r>
    <s v="Singapore"/>
    <x v="3"/>
    <s v="SG4"/>
    <m/>
    <x v="2"/>
    <x v="1"/>
    <x v="1"/>
    <x v="3"/>
    <x v="0"/>
    <x v="0"/>
    <x v="0"/>
    <m/>
    <x v="0"/>
    <x v="0"/>
    <n v="-1.6357950000000001"/>
    <m/>
    <x v="3"/>
    <x v="1"/>
    <x v="0"/>
    <x v="5"/>
    <x v="1"/>
  </r>
  <r>
    <s v="Singapore"/>
    <x v="1"/>
    <s v="SG2"/>
    <m/>
    <x v="1"/>
    <x v="3"/>
    <x v="0"/>
    <x v="1"/>
    <x v="0"/>
    <x v="0"/>
    <x v="0"/>
    <m/>
    <x v="0"/>
    <x v="0"/>
    <n v="-6.2316000000000003E-2"/>
    <m/>
    <x v="0"/>
    <x v="3"/>
    <x v="0"/>
    <x v="5"/>
    <x v="2"/>
  </r>
  <r>
    <s v="Singapore"/>
    <x v="1"/>
    <s v="SG4"/>
    <m/>
    <x v="3"/>
    <x v="2"/>
    <x v="3"/>
    <x v="3"/>
    <x v="0"/>
    <x v="0"/>
    <x v="0"/>
    <m/>
    <x v="0"/>
    <x v="0"/>
    <n v="-0.280422"/>
    <m/>
    <x v="0"/>
    <x v="0"/>
    <x v="0"/>
    <x v="0"/>
    <x v="1"/>
  </r>
  <r>
    <s v="Singapore"/>
    <x v="5"/>
    <s v="SG2"/>
    <m/>
    <x v="5"/>
    <x v="0"/>
    <x v="3"/>
    <x v="1"/>
    <x v="0"/>
    <x v="0"/>
    <x v="0"/>
    <m/>
    <x v="0"/>
    <x v="0"/>
    <n v="-0.24926400000000001"/>
    <m/>
    <x v="0"/>
    <x v="0"/>
    <x v="0"/>
    <x v="0"/>
    <x v="1"/>
  </r>
  <r>
    <s v="Singapore"/>
    <x v="1"/>
    <s v="SG2"/>
    <m/>
    <x v="4"/>
    <x v="1"/>
    <x v="4"/>
    <x v="0"/>
    <x v="0"/>
    <x v="0"/>
    <x v="0"/>
    <m/>
    <x v="0"/>
    <x v="0"/>
    <n v="-3.5831700000000004"/>
    <m/>
    <x v="4"/>
    <x v="0"/>
    <x v="0"/>
    <x v="1"/>
    <x v="0"/>
  </r>
  <r>
    <s v="Singapore"/>
    <x v="3"/>
    <s v="SG2"/>
    <m/>
    <x v="5"/>
    <x v="3"/>
    <x v="0"/>
    <x v="1"/>
    <x v="0"/>
    <x v="0"/>
    <x v="0"/>
    <m/>
    <x v="0"/>
    <x v="0"/>
    <n v="-0.17136900000000002"/>
    <m/>
    <x v="0"/>
    <x v="2"/>
    <x v="0"/>
    <x v="1"/>
    <x v="1"/>
  </r>
  <r>
    <s v="Singapore"/>
    <x v="2"/>
    <s v="SG1"/>
    <m/>
    <x v="3"/>
    <x v="4"/>
    <x v="1"/>
    <x v="0"/>
    <x v="0"/>
    <x v="0"/>
    <x v="0"/>
    <m/>
    <x v="0"/>
    <x v="0"/>
    <n v="-1.5579000000000001E-2"/>
    <m/>
    <x v="0"/>
    <x v="0"/>
    <x v="0"/>
    <x v="1"/>
    <x v="0"/>
  </r>
  <r>
    <s v="Singapore"/>
    <x v="5"/>
    <s v="SG2"/>
    <m/>
    <x v="0"/>
    <x v="2"/>
    <x v="4"/>
    <x v="5"/>
    <x v="0"/>
    <x v="0"/>
    <x v="0"/>
    <m/>
    <x v="0"/>
    <x v="0"/>
    <n v="-0.93474000000000002"/>
    <m/>
    <x v="0"/>
    <x v="0"/>
    <x v="0"/>
    <x v="5"/>
    <x v="0"/>
  </r>
  <r>
    <s v="Singapore"/>
    <x v="3"/>
    <s v="SG4"/>
    <m/>
    <x v="0"/>
    <x v="1"/>
    <x v="4"/>
    <x v="4"/>
    <x v="0"/>
    <x v="0"/>
    <x v="0"/>
    <m/>
    <x v="0"/>
    <x v="0"/>
    <n v="0.12463200000000001"/>
    <m/>
    <x v="0"/>
    <x v="0"/>
    <x v="0"/>
    <x v="3"/>
    <x v="1"/>
  </r>
  <r>
    <s v="Singapore"/>
    <x v="0"/>
    <s v="SG1"/>
    <m/>
    <x v="2"/>
    <x v="2"/>
    <x v="1"/>
    <x v="4"/>
    <x v="0"/>
    <x v="0"/>
    <x v="0"/>
    <m/>
    <x v="0"/>
    <x v="0"/>
    <n v="-0.1838322"/>
    <m/>
    <x v="4"/>
    <x v="1"/>
    <x v="0"/>
    <x v="0"/>
    <x v="1"/>
  </r>
  <r>
    <s v="Singapore"/>
    <x v="3"/>
    <s v="SG3"/>
    <m/>
    <x v="1"/>
    <x v="1"/>
    <x v="4"/>
    <x v="5"/>
    <x v="0"/>
    <x v="0"/>
    <x v="0"/>
    <m/>
    <x v="0"/>
    <x v="0"/>
    <n v="0.15579000000000001"/>
    <m/>
    <x v="1"/>
    <x v="1"/>
    <x v="0"/>
    <x v="2"/>
    <x v="2"/>
  </r>
  <r>
    <s v="Singapore"/>
    <x v="4"/>
    <s v="SG4"/>
    <m/>
    <x v="4"/>
    <x v="2"/>
    <x v="3"/>
    <x v="3"/>
    <x v="0"/>
    <x v="0"/>
    <x v="0"/>
    <m/>
    <x v="0"/>
    <x v="0"/>
    <n v="-5.1286068000000004E-2"/>
    <m/>
    <x v="0"/>
    <x v="2"/>
    <x v="0"/>
    <x v="4"/>
    <x v="1"/>
  </r>
  <r>
    <s v="Singapore"/>
    <x v="3"/>
    <s v="SG3"/>
    <m/>
    <x v="1"/>
    <x v="4"/>
    <x v="2"/>
    <x v="0"/>
    <x v="0"/>
    <x v="0"/>
    <x v="0"/>
    <m/>
    <x v="0"/>
    <x v="0"/>
    <n v="-4.4867520000000001"/>
    <m/>
    <x v="7"/>
    <x v="0"/>
    <x v="0"/>
    <x v="2"/>
    <x v="0"/>
  </r>
  <r>
    <s v="Singapore"/>
    <x v="0"/>
    <s v="SG3"/>
    <m/>
    <x v="2"/>
    <x v="1"/>
    <x v="0"/>
    <x v="4"/>
    <x v="0"/>
    <x v="0"/>
    <x v="0"/>
    <m/>
    <x v="0"/>
    <x v="0"/>
    <n v="-0.280422"/>
    <m/>
    <x v="0"/>
    <x v="3"/>
    <x v="0"/>
    <x v="1"/>
    <x v="2"/>
  </r>
  <r>
    <s v="Singapore"/>
    <x v="4"/>
    <s v="SG3"/>
    <m/>
    <x v="3"/>
    <x v="1"/>
    <x v="1"/>
    <x v="0"/>
    <x v="0"/>
    <x v="0"/>
    <x v="0"/>
    <m/>
    <x v="0"/>
    <x v="0"/>
    <n v="2.1031650000000002"/>
    <m/>
    <x v="1"/>
    <x v="3"/>
    <x v="0"/>
    <x v="0"/>
    <x v="1"/>
  </r>
  <r>
    <s v="Singapore"/>
    <x v="0"/>
    <s v="SG4"/>
    <m/>
    <x v="3"/>
    <x v="3"/>
    <x v="2"/>
    <x v="0"/>
    <x v="0"/>
    <x v="0"/>
    <x v="0"/>
    <m/>
    <x v="0"/>
    <x v="0"/>
    <n v="-7.7895000000000006E-2"/>
    <m/>
    <x v="0"/>
    <x v="3"/>
    <x v="0"/>
    <x v="2"/>
    <x v="1"/>
  </r>
  <r>
    <s v="Singapore"/>
    <x v="5"/>
    <s v="SG3"/>
    <m/>
    <x v="3"/>
    <x v="3"/>
    <x v="4"/>
    <x v="3"/>
    <x v="0"/>
    <x v="0"/>
    <x v="0"/>
    <m/>
    <x v="0"/>
    <x v="0"/>
    <n v="-1.012635"/>
    <m/>
    <x v="4"/>
    <x v="2"/>
    <x v="0"/>
    <x v="2"/>
    <x v="1"/>
  </r>
  <r>
    <s v="Singapore"/>
    <x v="4"/>
    <s v="SG4"/>
    <m/>
    <x v="0"/>
    <x v="4"/>
    <x v="1"/>
    <x v="1"/>
    <x v="0"/>
    <x v="0"/>
    <x v="0"/>
    <m/>
    <x v="0"/>
    <x v="0"/>
    <n v="0.62316000000000005"/>
    <m/>
    <x v="5"/>
    <x v="0"/>
    <x v="0"/>
    <x v="3"/>
    <x v="2"/>
  </r>
  <r>
    <s v="Singapore"/>
    <x v="1"/>
    <s v="SG1"/>
    <m/>
    <x v="3"/>
    <x v="0"/>
    <x v="4"/>
    <x v="3"/>
    <x v="0"/>
    <x v="0"/>
    <x v="0"/>
    <m/>
    <x v="0"/>
    <x v="0"/>
    <n v="1.277119683"/>
    <m/>
    <x v="1"/>
    <x v="0"/>
    <x v="0"/>
    <x v="5"/>
    <x v="1"/>
  </r>
  <r>
    <s v="Singapore"/>
    <x v="5"/>
    <s v="SG3"/>
    <m/>
    <x v="4"/>
    <x v="0"/>
    <x v="1"/>
    <x v="0"/>
    <x v="0"/>
    <x v="0"/>
    <x v="0"/>
    <m/>
    <x v="0"/>
    <x v="0"/>
    <n v="18.410358618"/>
    <m/>
    <x v="3"/>
    <x v="3"/>
    <x v="0"/>
    <x v="0"/>
    <x v="0"/>
  </r>
  <r>
    <s v="Singapore"/>
    <x v="3"/>
    <s v="SG3"/>
    <m/>
    <x v="5"/>
    <x v="4"/>
    <x v="1"/>
    <x v="4"/>
    <x v="0"/>
    <x v="0"/>
    <x v="0"/>
    <m/>
    <x v="0"/>
    <x v="0"/>
    <n v="1.1365659450000001"/>
    <m/>
    <x v="1"/>
    <x v="3"/>
    <x v="0"/>
    <x v="1"/>
    <x v="1"/>
  </r>
  <r>
    <s v="Singapore"/>
    <x v="0"/>
    <s v="SG2"/>
    <m/>
    <x v="1"/>
    <x v="1"/>
    <x v="1"/>
    <x v="5"/>
    <x v="0"/>
    <x v="0"/>
    <x v="0"/>
    <m/>
    <x v="0"/>
    <x v="0"/>
    <n v="0.46737000000000001"/>
    <m/>
    <x v="1"/>
    <x v="0"/>
    <x v="0"/>
    <x v="3"/>
    <x v="1"/>
  </r>
  <r>
    <s v="Singapore"/>
    <x v="3"/>
    <s v="SG1"/>
    <m/>
    <x v="2"/>
    <x v="4"/>
    <x v="1"/>
    <x v="3"/>
    <x v="0"/>
    <x v="0"/>
    <x v="0"/>
    <m/>
    <x v="0"/>
    <x v="0"/>
    <n v="0.15579000000000001"/>
    <m/>
    <x v="1"/>
    <x v="2"/>
    <x v="0"/>
    <x v="0"/>
    <x v="2"/>
  </r>
  <r>
    <s v="Singapore"/>
    <x v="0"/>
    <s v="SG1"/>
    <m/>
    <x v="4"/>
    <x v="2"/>
    <x v="3"/>
    <x v="4"/>
    <x v="0"/>
    <x v="0"/>
    <x v="0"/>
    <m/>
    <x v="0"/>
    <x v="0"/>
    <n v="-0.15579000000000001"/>
    <m/>
    <x v="0"/>
    <x v="3"/>
    <x v="0"/>
    <x v="0"/>
    <x v="0"/>
  </r>
  <r>
    <s v="Singapore"/>
    <x v="1"/>
    <s v="SG3"/>
    <m/>
    <x v="4"/>
    <x v="4"/>
    <x v="3"/>
    <x v="4"/>
    <x v="0"/>
    <x v="0"/>
    <x v="0"/>
    <m/>
    <x v="0"/>
    <x v="0"/>
    <n v="5.7909012479999999"/>
    <m/>
    <x v="9"/>
    <x v="3"/>
    <x v="0"/>
    <x v="5"/>
    <x v="0"/>
  </r>
  <r>
    <s v="Singapore"/>
    <x v="3"/>
    <s v="SG1"/>
    <m/>
    <x v="1"/>
    <x v="0"/>
    <x v="2"/>
    <x v="0"/>
    <x v="0"/>
    <x v="0"/>
    <x v="0"/>
    <m/>
    <x v="0"/>
    <x v="0"/>
    <n v="-0.31158000000000002"/>
    <m/>
    <x v="4"/>
    <x v="0"/>
    <x v="0"/>
    <x v="2"/>
    <x v="0"/>
  </r>
  <r>
    <s v="Singapore"/>
    <x v="2"/>
    <s v="SG3"/>
    <m/>
    <x v="1"/>
    <x v="2"/>
    <x v="2"/>
    <x v="0"/>
    <x v="0"/>
    <x v="0"/>
    <x v="0"/>
    <m/>
    <x v="0"/>
    <x v="0"/>
    <n v="-7.7895000000000003"/>
    <m/>
    <x v="2"/>
    <x v="1"/>
    <x v="0"/>
    <x v="1"/>
    <x v="0"/>
  </r>
  <r>
    <s v="Singapore"/>
    <x v="1"/>
    <s v="SG2"/>
    <m/>
    <x v="3"/>
    <x v="0"/>
    <x v="1"/>
    <x v="5"/>
    <x v="0"/>
    <x v="0"/>
    <x v="0"/>
    <m/>
    <x v="0"/>
    <x v="0"/>
    <n v="-0.12463200000000001"/>
    <m/>
    <x v="0"/>
    <x v="1"/>
    <x v="0"/>
    <x v="0"/>
    <x v="2"/>
  </r>
  <r>
    <s v="Singapore"/>
    <x v="4"/>
    <s v="SG3"/>
    <m/>
    <x v="4"/>
    <x v="4"/>
    <x v="0"/>
    <x v="2"/>
    <x v="0"/>
    <x v="0"/>
    <x v="0"/>
    <m/>
    <x v="0"/>
    <x v="0"/>
    <n v="-0.77895000000000003"/>
    <m/>
    <x v="4"/>
    <x v="0"/>
    <x v="0"/>
    <x v="2"/>
    <x v="2"/>
  </r>
  <r>
    <s v="Singapore"/>
    <x v="0"/>
    <s v="SG2"/>
    <m/>
    <x v="0"/>
    <x v="1"/>
    <x v="1"/>
    <x v="5"/>
    <x v="0"/>
    <x v="0"/>
    <x v="0"/>
    <m/>
    <x v="0"/>
    <x v="0"/>
    <n v="7.0105500000000001E-2"/>
    <m/>
    <x v="1"/>
    <x v="1"/>
    <x v="0"/>
    <x v="1"/>
    <x v="2"/>
  </r>
  <r>
    <s v="Singapore"/>
    <x v="0"/>
    <s v="SG3"/>
    <m/>
    <x v="0"/>
    <x v="1"/>
    <x v="2"/>
    <x v="4"/>
    <x v="0"/>
    <x v="0"/>
    <x v="0"/>
    <m/>
    <x v="0"/>
    <x v="0"/>
    <n v="-7.7895000000000006E-2"/>
    <m/>
    <x v="4"/>
    <x v="0"/>
    <x v="0"/>
    <x v="1"/>
    <x v="2"/>
  </r>
  <r>
    <s v="Singapore"/>
    <x v="5"/>
    <s v="SG3"/>
    <m/>
    <x v="0"/>
    <x v="0"/>
    <x v="3"/>
    <x v="5"/>
    <x v="0"/>
    <x v="0"/>
    <x v="0"/>
    <m/>
    <x v="0"/>
    <x v="0"/>
    <n v="-0.21810600000000002"/>
    <m/>
    <x v="1"/>
    <x v="1"/>
    <x v="0"/>
    <x v="4"/>
    <x v="0"/>
  </r>
  <r>
    <s v="Singapore"/>
    <x v="5"/>
    <s v="SG1"/>
    <m/>
    <x v="4"/>
    <x v="3"/>
    <x v="2"/>
    <x v="1"/>
    <x v="0"/>
    <x v="0"/>
    <x v="0"/>
    <m/>
    <x v="0"/>
    <x v="0"/>
    <n v="2.96001"/>
    <m/>
    <x v="1"/>
    <x v="0"/>
    <x v="0"/>
    <x v="4"/>
    <x v="2"/>
  </r>
  <r>
    <s v="Singapore"/>
    <x v="3"/>
    <s v="SG4"/>
    <m/>
    <x v="2"/>
    <x v="4"/>
    <x v="1"/>
    <x v="4"/>
    <x v="0"/>
    <x v="0"/>
    <x v="0"/>
    <m/>
    <x v="0"/>
    <x v="0"/>
    <n v="-2.8556307000000003"/>
    <m/>
    <x v="1"/>
    <x v="3"/>
    <x v="0"/>
    <x v="3"/>
    <x v="2"/>
  </r>
  <r>
    <s v="Singapore"/>
    <x v="2"/>
    <s v="SG2"/>
    <m/>
    <x v="4"/>
    <x v="1"/>
    <x v="0"/>
    <x v="0"/>
    <x v="0"/>
    <x v="0"/>
    <x v="0"/>
    <m/>
    <x v="0"/>
    <x v="0"/>
    <n v="0.17136900000000002"/>
    <m/>
    <x v="8"/>
    <x v="2"/>
    <x v="0"/>
    <x v="0"/>
    <x v="2"/>
  </r>
  <r>
    <s v="Singapore"/>
    <x v="4"/>
    <s v="SG4"/>
    <m/>
    <x v="0"/>
    <x v="4"/>
    <x v="4"/>
    <x v="4"/>
    <x v="0"/>
    <x v="0"/>
    <x v="0"/>
    <m/>
    <x v="0"/>
    <x v="0"/>
    <n v="1.2208483350000001"/>
    <m/>
    <x v="1"/>
    <x v="2"/>
    <x v="0"/>
    <x v="2"/>
    <x v="0"/>
  </r>
  <r>
    <s v="Singapore"/>
    <x v="2"/>
    <s v="SG2"/>
    <m/>
    <x v="2"/>
    <x v="2"/>
    <x v="0"/>
    <x v="2"/>
    <x v="0"/>
    <x v="0"/>
    <x v="0"/>
    <m/>
    <x v="0"/>
    <x v="0"/>
    <n v="-0.21810600000000002"/>
    <m/>
    <x v="4"/>
    <x v="3"/>
    <x v="0"/>
    <x v="4"/>
    <x v="2"/>
  </r>
  <r>
    <s v="Singapore"/>
    <x v="0"/>
    <s v="SG1"/>
    <m/>
    <x v="1"/>
    <x v="4"/>
    <x v="1"/>
    <x v="5"/>
    <x v="0"/>
    <x v="0"/>
    <x v="0"/>
    <m/>
    <x v="0"/>
    <x v="0"/>
    <n v="-6.512022"/>
    <m/>
    <x v="3"/>
    <x v="0"/>
    <x v="0"/>
    <x v="3"/>
    <x v="0"/>
  </r>
  <r>
    <s v="Singapore"/>
    <x v="0"/>
    <s v="SG4"/>
    <m/>
    <x v="2"/>
    <x v="1"/>
    <x v="1"/>
    <x v="1"/>
    <x v="0"/>
    <x v="0"/>
    <x v="0"/>
    <m/>
    <x v="0"/>
    <x v="0"/>
    <n v="-8.5684500000000011E-2"/>
    <m/>
    <x v="4"/>
    <x v="1"/>
    <x v="0"/>
    <x v="1"/>
    <x v="0"/>
  </r>
  <r>
    <s v="Singapore"/>
    <x v="2"/>
    <s v="SG2"/>
    <m/>
    <x v="0"/>
    <x v="4"/>
    <x v="1"/>
    <x v="5"/>
    <x v="0"/>
    <x v="0"/>
    <x v="0"/>
    <m/>
    <x v="0"/>
    <x v="0"/>
    <n v="-0.85684500000000008"/>
    <m/>
    <x v="4"/>
    <x v="0"/>
    <x v="0"/>
    <x v="3"/>
    <x v="2"/>
  </r>
  <r>
    <s v="Singapore"/>
    <x v="5"/>
    <s v="SG3"/>
    <m/>
    <x v="0"/>
    <x v="1"/>
    <x v="1"/>
    <x v="2"/>
    <x v="0"/>
    <x v="0"/>
    <x v="0"/>
    <m/>
    <x v="0"/>
    <x v="0"/>
    <n v="0.12463200000000001"/>
    <m/>
    <x v="0"/>
    <x v="3"/>
    <x v="0"/>
    <x v="5"/>
    <x v="2"/>
  </r>
  <r>
    <s v="Singapore"/>
    <x v="5"/>
    <s v="SG2"/>
    <m/>
    <x v="1"/>
    <x v="3"/>
    <x v="3"/>
    <x v="5"/>
    <x v="0"/>
    <x v="0"/>
    <x v="0"/>
    <m/>
    <x v="0"/>
    <x v="0"/>
    <n v="-7.7895000000000004E-3"/>
    <m/>
    <x v="0"/>
    <x v="1"/>
    <x v="0"/>
    <x v="0"/>
    <x v="0"/>
  </r>
  <r>
    <s v="Singapore"/>
    <x v="2"/>
    <s v="SG1"/>
    <m/>
    <x v="3"/>
    <x v="1"/>
    <x v="4"/>
    <x v="1"/>
    <x v="0"/>
    <x v="0"/>
    <x v="0"/>
    <m/>
    <x v="0"/>
    <x v="0"/>
    <n v="-4.6737000000000001E-2"/>
    <m/>
    <x v="0"/>
    <x v="0"/>
    <x v="0"/>
    <x v="0"/>
    <x v="1"/>
  </r>
  <r>
    <s v="Singapore"/>
    <x v="4"/>
    <s v="SG3"/>
    <m/>
    <x v="2"/>
    <x v="1"/>
    <x v="0"/>
    <x v="5"/>
    <x v="0"/>
    <x v="0"/>
    <x v="0"/>
    <m/>
    <x v="0"/>
    <x v="0"/>
    <n v="-4.6737000000000002"/>
    <m/>
    <x v="4"/>
    <x v="0"/>
    <x v="0"/>
    <x v="1"/>
    <x v="2"/>
  </r>
  <r>
    <s v="Singapore"/>
    <x v="2"/>
    <s v="SG1"/>
    <m/>
    <x v="1"/>
    <x v="0"/>
    <x v="1"/>
    <x v="5"/>
    <x v="0"/>
    <x v="0"/>
    <x v="0"/>
    <m/>
    <x v="0"/>
    <x v="0"/>
    <n v="-2.33685E-2"/>
    <m/>
    <x v="0"/>
    <x v="0"/>
    <x v="0"/>
    <x v="5"/>
    <x v="0"/>
  </r>
  <r>
    <s v="Singapore"/>
    <x v="1"/>
    <s v="SG2"/>
    <m/>
    <x v="5"/>
    <x v="1"/>
    <x v="1"/>
    <x v="5"/>
    <x v="0"/>
    <x v="0"/>
    <x v="0"/>
    <m/>
    <x v="0"/>
    <x v="0"/>
    <n v="-0.12463200000000001"/>
    <m/>
    <x v="4"/>
    <x v="1"/>
    <x v="0"/>
    <x v="3"/>
    <x v="0"/>
  </r>
  <r>
    <s v="Singapore"/>
    <x v="1"/>
    <s v="SG4"/>
    <m/>
    <x v="1"/>
    <x v="4"/>
    <x v="0"/>
    <x v="4"/>
    <x v="0"/>
    <x v="0"/>
    <x v="0"/>
    <m/>
    <x v="0"/>
    <x v="0"/>
    <n v="-0.1324215"/>
    <m/>
    <x v="4"/>
    <x v="2"/>
    <x v="0"/>
    <x v="5"/>
    <x v="0"/>
  </r>
  <r>
    <s v="Singapore"/>
    <x v="0"/>
    <s v="SG4"/>
    <m/>
    <x v="5"/>
    <x v="1"/>
    <x v="2"/>
    <x v="0"/>
    <x v="0"/>
    <x v="0"/>
    <x v="0"/>
    <m/>
    <x v="0"/>
    <x v="0"/>
    <n v="-0.15579000000000001"/>
    <m/>
    <x v="4"/>
    <x v="2"/>
    <x v="0"/>
    <x v="2"/>
    <x v="0"/>
  </r>
  <r>
    <s v="Singapore"/>
    <x v="4"/>
    <s v="SG1"/>
    <m/>
    <x v="2"/>
    <x v="4"/>
    <x v="4"/>
    <x v="0"/>
    <x v="0"/>
    <x v="0"/>
    <x v="0"/>
    <m/>
    <x v="0"/>
    <x v="0"/>
    <n v="-1.44495225"/>
    <m/>
    <x v="0"/>
    <x v="0"/>
    <x v="0"/>
    <x v="1"/>
    <x v="2"/>
  </r>
  <r>
    <s v="Singapore"/>
    <x v="4"/>
    <s v="SG3"/>
    <m/>
    <x v="2"/>
    <x v="0"/>
    <x v="0"/>
    <x v="3"/>
    <x v="0"/>
    <x v="0"/>
    <x v="0"/>
    <m/>
    <x v="0"/>
    <x v="0"/>
    <n v="3.8947500000000002"/>
    <m/>
    <x v="7"/>
    <x v="3"/>
    <x v="0"/>
    <x v="3"/>
    <x v="2"/>
  </r>
  <r>
    <s v="Singapore"/>
    <x v="3"/>
    <s v="SG4"/>
    <m/>
    <x v="4"/>
    <x v="0"/>
    <x v="1"/>
    <x v="0"/>
    <x v="0"/>
    <x v="0"/>
    <x v="0"/>
    <m/>
    <x v="0"/>
    <x v="0"/>
    <n v="1.5423210000000001"/>
    <m/>
    <x v="8"/>
    <x v="1"/>
    <x v="0"/>
    <x v="1"/>
    <x v="1"/>
  </r>
  <r>
    <s v="Singapore"/>
    <x v="3"/>
    <s v="SG3"/>
    <m/>
    <x v="1"/>
    <x v="0"/>
    <x v="1"/>
    <x v="1"/>
    <x v="0"/>
    <x v="0"/>
    <x v="0"/>
    <m/>
    <x v="0"/>
    <x v="0"/>
    <n v="0.1168425"/>
    <m/>
    <x v="1"/>
    <x v="3"/>
    <x v="0"/>
    <x v="1"/>
    <x v="0"/>
  </r>
  <r>
    <s v="Singapore"/>
    <x v="0"/>
    <s v="SG2"/>
    <m/>
    <x v="2"/>
    <x v="3"/>
    <x v="2"/>
    <x v="3"/>
    <x v="0"/>
    <x v="0"/>
    <x v="0"/>
    <m/>
    <x v="0"/>
    <x v="0"/>
    <n v="-2.775180744"/>
    <m/>
    <x v="4"/>
    <x v="3"/>
    <x v="0"/>
    <x v="4"/>
    <x v="2"/>
  </r>
  <r>
    <s v="Singapore"/>
    <x v="4"/>
    <s v="SG3"/>
    <m/>
    <x v="1"/>
    <x v="2"/>
    <x v="4"/>
    <x v="4"/>
    <x v="0"/>
    <x v="0"/>
    <x v="0"/>
    <m/>
    <x v="0"/>
    <x v="0"/>
    <n v="-0.31158000000000002"/>
    <m/>
    <x v="0"/>
    <x v="1"/>
    <x v="0"/>
    <x v="4"/>
    <x v="1"/>
  </r>
  <r>
    <s v="Singapore"/>
    <x v="5"/>
    <s v="SG4"/>
    <m/>
    <x v="4"/>
    <x v="2"/>
    <x v="3"/>
    <x v="5"/>
    <x v="0"/>
    <x v="0"/>
    <x v="0"/>
    <m/>
    <x v="0"/>
    <x v="0"/>
    <n v="0.69669288000000007"/>
    <m/>
    <x v="0"/>
    <x v="2"/>
    <x v="0"/>
    <x v="2"/>
    <x v="2"/>
  </r>
  <r>
    <s v="Singapore"/>
    <x v="4"/>
    <s v="SG1"/>
    <m/>
    <x v="2"/>
    <x v="3"/>
    <x v="1"/>
    <x v="5"/>
    <x v="0"/>
    <x v="0"/>
    <x v="0"/>
    <m/>
    <x v="0"/>
    <x v="0"/>
    <n v="0.86214186000000004"/>
    <m/>
    <x v="1"/>
    <x v="3"/>
    <x v="0"/>
    <x v="4"/>
    <x v="0"/>
  </r>
  <r>
    <s v="Singapore"/>
    <x v="0"/>
    <s v="SG1"/>
    <m/>
    <x v="0"/>
    <x v="2"/>
    <x v="2"/>
    <x v="3"/>
    <x v="0"/>
    <x v="0"/>
    <x v="0"/>
    <m/>
    <x v="0"/>
    <x v="0"/>
    <n v="-0.31158000000000002"/>
    <m/>
    <x v="4"/>
    <x v="3"/>
    <x v="0"/>
    <x v="1"/>
    <x v="1"/>
  </r>
  <r>
    <s v="Singapore"/>
    <x v="0"/>
    <s v="SG1"/>
    <m/>
    <x v="0"/>
    <x v="3"/>
    <x v="3"/>
    <x v="0"/>
    <x v="0"/>
    <x v="0"/>
    <x v="0"/>
    <m/>
    <x v="0"/>
    <x v="0"/>
    <n v="-7.7895000000000006E-2"/>
    <m/>
    <x v="1"/>
    <x v="2"/>
    <x v="0"/>
    <x v="4"/>
    <x v="2"/>
  </r>
  <r>
    <s v="Singapore"/>
    <x v="4"/>
    <s v="SG3"/>
    <m/>
    <x v="2"/>
    <x v="1"/>
    <x v="1"/>
    <x v="3"/>
    <x v="0"/>
    <x v="0"/>
    <x v="0"/>
    <m/>
    <x v="0"/>
    <x v="0"/>
    <n v="-0.21810600000000002"/>
    <m/>
    <x v="1"/>
    <x v="2"/>
    <x v="0"/>
    <x v="2"/>
    <x v="1"/>
  </r>
  <r>
    <s v="Singapore"/>
    <x v="1"/>
    <s v="SG2"/>
    <m/>
    <x v="4"/>
    <x v="1"/>
    <x v="0"/>
    <x v="0"/>
    <x v="0"/>
    <x v="0"/>
    <x v="0"/>
    <m/>
    <x v="0"/>
    <x v="0"/>
    <n v="-0.1168425"/>
    <m/>
    <x v="0"/>
    <x v="2"/>
    <x v="0"/>
    <x v="0"/>
    <x v="2"/>
  </r>
  <r>
    <s v="Singapore"/>
    <x v="3"/>
    <s v="SG4"/>
    <m/>
    <x v="3"/>
    <x v="1"/>
    <x v="1"/>
    <x v="5"/>
    <x v="0"/>
    <x v="0"/>
    <x v="0"/>
    <m/>
    <x v="0"/>
    <x v="0"/>
    <n v="-0.98147700000000004"/>
    <m/>
    <x v="0"/>
    <x v="1"/>
    <x v="0"/>
    <x v="1"/>
    <x v="1"/>
  </r>
  <r>
    <s v="Singapore"/>
    <x v="1"/>
    <s v="SG1"/>
    <m/>
    <x v="4"/>
    <x v="4"/>
    <x v="1"/>
    <x v="1"/>
    <x v="0"/>
    <x v="0"/>
    <x v="0"/>
    <m/>
    <x v="0"/>
    <x v="0"/>
    <n v="0.20252700000000001"/>
    <m/>
    <x v="2"/>
    <x v="0"/>
    <x v="0"/>
    <x v="5"/>
    <x v="1"/>
  </r>
  <r>
    <s v="Singapore"/>
    <x v="2"/>
    <s v="SG2"/>
    <m/>
    <x v="2"/>
    <x v="2"/>
    <x v="1"/>
    <x v="1"/>
    <x v="0"/>
    <x v="0"/>
    <x v="0"/>
    <m/>
    <x v="0"/>
    <x v="0"/>
    <n v="6.6522330000000007"/>
    <m/>
    <x v="4"/>
    <x v="1"/>
    <x v="0"/>
    <x v="3"/>
    <x v="0"/>
  </r>
  <r>
    <s v="Singapore"/>
    <x v="5"/>
    <s v="SG1"/>
    <m/>
    <x v="0"/>
    <x v="0"/>
    <x v="3"/>
    <x v="5"/>
    <x v="0"/>
    <x v="0"/>
    <x v="0"/>
    <m/>
    <x v="0"/>
    <x v="0"/>
    <n v="-9.0684735840000013"/>
    <m/>
    <x v="2"/>
    <x v="1"/>
    <x v="0"/>
    <x v="0"/>
    <x v="1"/>
  </r>
  <r>
    <s v="Singapore"/>
    <x v="4"/>
    <s v="SG2"/>
    <m/>
    <x v="2"/>
    <x v="3"/>
    <x v="3"/>
    <x v="5"/>
    <x v="0"/>
    <x v="0"/>
    <x v="0"/>
    <m/>
    <x v="0"/>
    <x v="0"/>
    <n v="-0.15579000000000001"/>
    <m/>
    <x v="0"/>
    <x v="3"/>
    <x v="0"/>
    <x v="5"/>
    <x v="1"/>
  </r>
  <r>
    <s v="Singapore"/>
    <x v="3"/>
    <s v="SG4"/>
    <m/>
    <x v="2"/>
    <x v="1"/>
    <x v="4"/>
    <x v="0"/>
    <x v="0"/>
    <x v="0"/>
    <x v="0"/>
    <m/>
    <x v="0"/>
    <x v="0"/>
    <n v="12.466533906"/>
    <m/>
    <x v="7"/>
    <x v="1"/>
    <x v="0"/>
    <x v="0"/>
    <x v="2"/>
  </r>
  <r>
    <s v="Singapore"/>
    <x v="1"/>
    <s v="SG3"/>
    <m/>
    <x v="5"/>
    <x v="4"/>
    <x v="2"/>
    <x v="1"/>
    <x v="0"/>
    <x v="0"/>
    <x v="0"/>
    <m/>
    <x v="0"/>
    <x v="0"/>
    <n v="10.609968897000002"/>
    <m/>
    <x v="7"/>
    <x v="2"/>
    <x v="0"/>
    <x v="5"/>
    <x v="2"/>
  </r>
  <r>
    <s v="Singapore"/>
    <x v="3"/>
    <s v="SG4"/>
    <m/>
    <x v="5"/>
    <x v="4"/>
    <x v="1"/>
    <x v="4"/>
    <x v="0"/>
    <x v="0"/>
    <x v="0"/>
    <m/>
    <x v="0"/>
    <x v="0"/>
    <n v="-0.15579000000000001"/>
    <m/>
    <x v="0"/>
    <x v="0"/>
    <x v="0"/>
    <x v="1"/>
    <x v="2"/>
  </r>
  <r>
    <s v="Singapore"/>
    <x v="3"/>
    <s v="SG4"/>
    <m/>
    <x v="1"/>
    <x v="2"/>
    <x v="4"/>
    <x v="0"/>
    <x v="0"/>
    <x v="0"/>
    <x v="0"/>
    <m/>
    <x v="0"/>
    <x v="0"/>
    <n v="-0.37389600000000001"/>
    <m/>
    <x v="0"/>
    <x v="3"/>
    <x v="0"/>
    <x v="4"/>
    <x v="2"/>
  </r>
  <r>
    <s v="Singapore"/>
    <x v="1"/>
    <s v="SG2"/>
    <m/>
    <x v="1"/>
    <x v="2"/>
    <x v="2"/>
    <x v="4"/>
    <x v="0"/>
    <x v="0"/>
    <x v="0"/>
    <m/>
    <x v="0"/>
    <x v="0"/>
    <n v="-0.12463200000000001"/>
    <m/>
    <x v="4"/>
    <x v="0"/>
    <x v="0"/>
    <x v="1"/>
    <x v="0"/>
  </r>
  <r>
    <s v="Singapore"/>
    <x v="5"/>
    <s v="SG1"/>
    <m/>
    <x v="1"/>
    <x v="4"/>
    <x v="1"/>
    <x v="5"/>
    <x v="0"/>
    <x v="0"/>
    <x v="0"/>
    <m/>
    <x v="0"/>
    <x v="0"/>
    <n v="0.41284350000000003"/>
    <m/>
    <x v="4"/>
    <x v="2"/>
    <x v="0"/>
    <x v="4"/>
    <x v="2"/>
  </r>
  <r>
    <s v="Singapore"/>
    <x v="3"/>
    <s v="SG2"/>
    <m/>
    <x v="0"/>
    <x v="1"/>
    <x v="3"/>
    <x v="2"/>
    <x v="0"/>
    <x v="0"/>
    <x v="0"/>
    <m/>
    <x v="0"/>
    <x v="0"/>
    <n v="-0.15579000000000001"/>
    <m/>
    <x v="0"/>
    <x v="1"/>
    <x v="0"/>
    <x v="5"/>
    <x v="2"/>
  </r>
  <r>
    <s v="Singapore"/>
    <x v="0"/>
    <s v="SG1"/>
    <m/>
    <x v="0"/>
    <x v="2"/>
    <x v="0"/>
    <x v="2"/>
    <x v="0"/>
    <x v="0"/>
    <x v="0"/>
    <m/>
    <x v="0"/>
    <x v="0"/>
    <n v="-0.38947500000000002"/>
    <m/>
    <x v="4"/>
    <x v="1"/>
    <x v="0"/>
    <x v="2"/>
    <x v="2"/>
  </r>
  <r>
    <s v="Singapore"/>
    <x v="3"/>
    <s v="SG4"/>
    <m/>
    <x v="5"/>
    <x v="3"/>
    <x v="4"/>
    <x v="4"/>
    <x v="0"/>
    <x v="0"/>
    <x v="0"/>
    <m/>
    <x v="0"/>
    <x v="0"/>
    <n v="1.9156717350000003"/>
    <m/>
    <x v="1"/>
    <x v="2"/>
    <x v="0"/>
    <x v="2"/>
    <x v="0"/>
  </r>
  <r>
    <s v="Singapore"/>
    <x v="1"/>
    <s v="SG3"/>
    <m/>
    <x v="2"/>
    <x v="4"/>
    <x v="2"/>
    <x v="3"/>
    <x v="0"/>
    <x v="0"/>
    <x v="0"/>
    <m/>
    <x v="0"/>
    <x v="0"/>
    <n v="-2.775180744"/>
    <m/>
    <x v="4"/>
    <x v="3"/>
    <x v="0"/>
    <x v="5"/>
    <x v="2"/>
  </r>
  <r>
    <s v="Singapore"/>
    <x v="3"/>
    <s v="SG4"/>
    <m/>
    <x v="0"/>
    <x v="4"/>
    <x v="0"/>
    <x v="1"/>
    <x v="0"/>
    <x v="0"/>
    <x v="0"/>
    <m/>
    <x v="0"/>
    <x v="0"/>
    <n v="-0.38947500000000002"/>
    <m/>
    <x v="4"/>
    <x v="0"/>
    <x v="0"/>
    <x v="2"/>
    <x v="1"/>
  </r>
  <r>
    <s v="Singapore"/>
    <x v="1"/>
    <s v="SG4"/>
    <m/>
    <x v="3"/>
    <x v="3"/>
    <x v="4"/>
    <x v="5"/>
    <x v="0"/>
    <x v="0"/>
    <x v="0"/>
    <m/>
    <x v="0"/>
    <x v="0"/>
    <n v="-0.12463200000000001"/>
    <m/>
    <x v="4"/>
    <x v="1"/>
    <x v="0"/>
    <x v="2"/>
    <x v="2"/>
  </r>
  <r>
    <s v="Singapore"/>
    <x v="2"/>
    <s v="SG1"/>
    <m/>
    <x v="3"/>
    <x v="0"/>
    <x v="0"/>
    <x v="3"/>
    <x v="0"/>
    <x v="0"/>
    <x v="0"/>
    <m/>
    <x v="0"/>
    <x v="0"/>
    <n v="-1.6539445350000002"/>
    <m/>
    <x v="3"/>
    <x v="2"/>
    <x v="0"/>
    <x v="1"/>
    <x v="0"/>
  </r>
  <r>
    <s v="Singapore"/>
    <x v="2"/>
    <s v="SG3"/>
    <m/>
    <x v="4"/>
    <x v="3"/>
    <x v="1"/>
    <x v="2"/>
    <x v="0"/>
    <x v="0"/>
    <x v="0"/>
    <m/>
    <x v="0"/>
    <x v="0"/>
    <n v="-0.15579000000000001"/>
    <m/>
    <x v="0"/>
    <x v="0"/>
    <x v="0"/>
    <x v="2"/>
    <x v="1"/>
  </r>
  <r>
    <s v="Singapore"/>
    <x v="1"/>
    <s v="SG2"/>
    <m/>
    <x v="4"/>
    <x v="1"/>
    <x v="4"/>
    <x v="1"/>
    <x v="0"/>
    <x v="0"/>
    <x v="0"/>
    <m/>
    <x v="0"/>
    <x v="0"/>
    <n v="-4.2635049299999999"/>
    <m/>
    <x v="7"/>
    <x v="0"/>
    <x v="0"/>
    <x v="5"/>
    <x v="0"/>
  </r>
  <r>
    <s v="Singapore"/>
    <x v="5"/>
    <s v="SG2"/>
    <m/>
    <x v="3"/>
    <x v="0"/>
    <x v="4"/>
    <x v="0"/>
    <x v="0"/>
    <x v="0"/>
    <x v="0"/>
    <m/>
    <x v="0"/>
    <x v="0"/>
    <n v="7.4807242200000008"/>
    <m/>
    <x v="1"/>
    <x v="0"/>
    <x v="0"/>
    <x v="5"/>
    <x v="0"/>
  </r>
  <r>
    <s v="Singapore"/>
    <x v="0"/>
    <s v="SG3"/>
    <m/>
    <x v="0"/>
    <x v="1"/>
    <x v="3"/>
    <x v="3"/>
    <x v="0"/>
    <x v="0"/>
    <x v="0"/>
    <m/>
    <x v="0"/>
    <x v="0"/>
    <n v="0.15579000000000001"/>
    <m/>
    <x v="8"/>
    <x v="2"/>
    <x v="0"/>
    <x v="4"/>
    <x v="0"/>
  </r>
  <r>
    <s v="Singapore"/>
    <x v="0"/>
    <s v="SG1"/>
    <m/>
    <x v="4"/>
    <x v="3"/>
    <x v="3"/>
    <x v="2"/>
    <x v="0"/>
    <x v="0"/>
    <x v="0"/>
    <m/>
    <x v="0"/>
    <x v="0"/>
    <n v="1.0801232280000002"/>
    <m/>
    <x v="1"/>
    <x v="3"/>
    <x v="0"/>
    <x v="2"/>
    <x v="1"/>
  </r>
  <r>
    <s v="Singapore"/>
    <x v="0"/>
    <s v="SG4"/>
    <m/>
    <x v="3"/>
    <x v="2"/>
    <x v="1"/>
    <x v="2"/>
    <x v="0"/>
    <x v="0"/>
    <x v="0"/>
    <m/>
    <x v="0"/>
    <x v="0"/>
    <n v="-0.12463200000000001"/>
    <m/>
    <x v="4"/>
    <x v="1"/>
    <x v="0"/>
    <x v="0"/>
    <x v="0"/>
  </r>
  <r>
    <s v="Singapore"/>
    <x v="3"/>
    <s v="SG1"/>
    <m/>
    <x v="2"/>
    <x v="1"/>
    <x v="1"/>
    <x v="5"/>
    <x v="0"/>
    <x v="0"/>
    <x v="0"/>
    <m/>
    <x v="0"/>
    <x v="0"/>
    <n v="6.9505708500000001"/>
    <m/>
    <x v="7"/>
    <x v="0"/>
    <x v="0"/>
    <x v="2"/>
    <x v="2"/>
  </r>
  <r>
    <s v="Singapore"/>
    <x v="3"/>
    <s v="SG3"/>
    <m/>
    <x v="1"/>
    <x v="1"/>
    <x v="2"/>
    <x v="3"/>
    <x v="0"/>
    <x v="0"/>
    <x v="0"/>
    <m/>
    <x v="0"/>
    <x v="0"/>
    <n v="-0.62316000000000005"/>
    <m/>
    <x v="4"/>
    <x v="1"/>
    <x v="0"/>
    <x v="0"/>
    <x v="1"/>
  </r>
  <r>
    <s v="Singapore"/>
    <x v="1"/>
    <s v="SG3"/>
    <m/>
    <x v="5"/>
    <x v="1"/>
    <x v="1"/>
    <x v="5"/>
    <x v="0"/>
    <x v="0"/>
    <x v="0"/>
    <m/>
    <x v="0"/>
    <x v="0"/>
    <n v="-10.596430745999999"/>
    <m/>
    <x v="6"/>
    <x v="0"/>
    <x v="0"/>
    <x v="3"/>
    <x v="1"/>
  </r>
  <r>
    <s v="Singapore"/>
    <x v="4"/>
    <s v="SG4"/>
    <m/>
    <x v="2"/>
    <x v="1"/>
    <x v="3"/>
    <x v="3"/>
    <x v="0"/>
    <x v="0"/>
    <x v="0"/>
    <m/>
    <x v="0"/>
    <x v="0"/>
    <n v="-0.12307410000000001"/>
    <m/>
    <x v="4"/>
    <x v="1"/>
    <x v="0"/>
    <x v="3"/>
    <x v="2"/>
  </r>
  <r>
    <s v="Singapore"/>
    <x v="1"/>
    <s v="SG3"/>
    <m/>
    <x v="1"/>
    <x v="1"/>
    <x v="3"/>
    <x v="0"/>
    <x v="0"/>
    <x v="0"/>
    <x v="0"/>
    <m/>
    <x v="0"/>
    <x v="0"/>
    <n v="-9.3474000000000002E-2"/>
    <m/>
    <x v="6"/>
    <x v="2"/>
    <x v="0"/>
    <x v="2"/>
    <x v="2"/>
  </r>
  <r>
    <s v="Singapore"/>
    <x v="4"/>
    <s v="SG2"/>
    <m/>
    <x v="4"/>
    <x v="3"/>
    <x v="2"/>
    <x v="2"/>
    <x v="0"/>
    <x v="0"/>
    <x v="0"/>
    <m/>
    <x v="0"/>
    <x v="0"/>
    <n v="-0.12463200000000001"/>
    <m/>
    <x v="1"/>
    <x v="2"/>
    <x v="0"/>
    <x v="4"/>
    <x v="1"/>
  </r>
  <r>
    <s v="Singapore"/>
    <x v="5"/>
    <s v="SG4"/>
    <m/>
    <x v="2"/>
    <x v="3"/>
    <x v="3"/>
    <x v="2"/>
    <x v="0"/>
    <x v="0"/>
    <x v="0"/>
    <m/>
    <x v="0"/>
    <x v="0"/>
    <n v="-0.93474000000000002"/>
    <m/>
    <x v="4"/>
    <x v="1"/>
    <x v="0"/>
    <x v="0"/>
    <x v="0"/>
  </r>
  <r>
    <s v="Singapore"/>
    <x v="2"/>
    <s v="SG1"/>
    <m/>
    <x v="1"/>
    <x v="0"/>
    <x v="4"/>
    <x v="5"/>
    <x v="0"/>
    <x v="0"/>
    <x v="0"/>
    <m/>
    <x v="0"/>
    <x v="0"/>
    <n v="8.1082151820000004"/>
    <m/>
    <x v="0"/>
    <x v="0"/>
    <x v="0"/>
    <x v="2"/>
    <x v="0"/>
  </r>
  <r>
    <s v="Singapore"/>
    <x v="2"/>
    <s v="SG3"/>
    <m/>
    <x v="4"/>
    <x v="1"/>
    <x v="3"/>
    <x v="0"/>
    <x v="0"/>
    <x v="0"/>
    <x v="0"/>
    <m/>
    <x v="0"/>
    <x v="0"/>
    <n v="-4.6737000000000001E-2"/>
    <m/>
    <x v="0"/>
    <x v="1"/>
    <x v="0"/>
    <x v="2"/>
    <x v="1"/>
  </r>
  <r>
    <s v="Singapore"/>
    <x v="5"/>
    <s v="SG3"/>
    <m/>
    <x v="4"/>
    <x v="0"/>
    <x v="0"/>
    <x v="2"/>
    <x v="0"/>
    <x v="0"/>
    <x v="0"/>
    <m/>
    <x v="0"/>
    <x v="0"/>
    <n v="-3.1158000000000002E-2"/>
    <m/>
    <x v="0"/>
    <x v="1"/>
    <x v="0"/>
    <x v="0"/>
    <x v="0"/>
  </r>
  <r>
    <s v="Singapore"/>
    <x v="3"/>
    <s v="SG3"/>
    <m/>
    <x v="3"/>
    <x v="4"/>
    <x v="3"/>
    <x v="1"/>
    <x v="0"/>
    <x v="0"/>
    <x v="0"/>
    <m/>
    <x v="0"/>
    <x v="0"/>
    <n v="-4.6737000000000001E-2"/>
    <m/>
    <x v="0"/>
    <x v="1"/>
    <x v="0"/>
    <x v="4"/>
    <x v="2"/>
  </r>
  <r>
    <s v="Singapore"/>
    <x v="2"/>
    <s v="SG2"/>
    <m/>
    <x v="0"/>
    <x v="1"/>
    <x v="0"/>
    <x v="3"/>
    <x v="0"/>
    <x v="0"/>
    <x v="0"/>
    <m/>
    <x v="0"/>
    <x v="0"/>
    <n v="-0.12463200000000001"/>
    <m/>
    <x v="0"/>
    <x v="3"/>
    <x v="0"/>
    <x v="4"/>
    <x v="1"/>
  </r>
  <r>
    <s v="Singapore"/>
    <x v="1"/>
    <s v="SG4"/>
    <m/>
    <x v="1"/>
    <x v="2"/>
    <x v="1"/>
    <x v="2"/>
    <x v="0"/>
    <x v="0"/>
    <x v="0"/>
    <m/>
    <x v="0"/>
    <x v="0"/>
    <n v="0.37389600000000001"/>
    <m/>
    <x v="4"/>
    <x v="3"/>
    <x v="0"/>
    <x v="2"/>
    <x v="1"/>
  </r>
  <r>
    <s v="Singapore"/>
    <x v="1"/>
    <s v="SG3"/>
    <m/>
    <x v="2"/>
    <x v="1"/>
    <x v="1"/>
    <x v="4"/>
    <x v="0"/>
    <x v="0"/>
    <x v="0"/>
    <m/>
    <x v="0"/>
    <x v="0"/>
    <n v="-0.15579000000000001"/>
    <m/>
    <x v="4"/>
    <x v="2"/>
    <x v="0"/>
    <x v="0"/>
    <x v="2"/>
  </r>
  <r>
    <s v="Singapore"/>
    <x v="0"/>
    <s v="SG1"/>
    <m/>
    <x v="3"/>
    <x v="3"/>
    <x v="4"/>
    <x v="5"/>
    <x v="0"/>
    <x v="0"/>
    <x v="0"/>
    <m/>
    <x v="0"/>
    <x v="0"/>
    <n v="0.93474000000000002"/>
    <m/>
    <x v="1"/>
    <x v="1"/>
    <x v="0"/>
    <x v="2"/>
    <x v="2"/>
  </r>
  <r>
    <s v="Singapore"/>
    <x v="1"/>
    <s v="SG1"/>
    <m/>
    <x v="4"/>
    <x v="3"/>
    <x v="1"/>
    <x v="1"/>
    <x v="0"/>
    <x v="0"/>
    <x v="0"/>
    <m/>
    <x v="0"/>
    <x v="0"/>
    <n v="0.37389600000000001"/>
    <m/>
    <x v="4"/>
    <x v="3"/>
    <x v="0"/>
    <x v="3"/>
    <x v="2"/>
  </r>
  <r>
    <s v="Singapore"/>
    <x v="2"/>
    <s v="SG4"/>
    <m/>
    <x v="0"/>
    <x v="3"/>
    <x v="4"/>
    <x v="4"/>
    <x v="0"/>
    <x v="0"/>
    <x v="0"/>
    <m/>
    <x v="0"/>
    <x v="0"/>
    <n v="-9.3474000000000002E-2"/>
    <m/>
    <x v="0"/>
    <x v="1"/>
    <x v="0"/>
    <x v="1"/>
    <x v="1"/>
  </r>
  <r>
    <s v="Singapore"/>
    <x v="2"/>
    <s v="SG4"/>
    <m/>
    <x v="1"/>
    <x v="3"/>
    <x v="2"/>
    <x v="2"/>
    <x v="0"/>
    <x v="0"/>
    <x v="0"/>
    <m/>
    <x v="0"/>
    <x v="0"/>
    <n v="-0.545265"/>
    <m/>
    <x v="0"/>
    <x v="1"/>
    <x v="0"/>
    <x v="0"/>
    <x v="2"/>
  </r>
  <r>
    <s v="Singapore"/>
    <x v="0"/>
    <s v="SG3"/>
    <m/>
    <x v="1"/>
    <x v="4"/>
    <x v="1"/>
    <x v="5"/>
    <x v="0"/>
    <x v="0"/>
    <x v="0"/>
    <m/>
    <x v="0"/>
    <x v="0"/>
    <n v="-7.9028683830000013"/>
    <m/>
    <x v="3"/>
    <x v="2"/>
    <x v="0"/>
    <x v="1"/>
    <x v="2"/>
  </r>
  <r>
    <s v="Singapore"/>
    <x v="4"/>
    <s v="SG1"/>
    <m/>
    <x v="0"/>
    <x v="2"/>
    <x v="3"/>
    <x v="2"/>
    <x v="0"/>
    <x v="0"/>
    <x v="0"/>
    <m/>
    <x v="0"/>
    <x v="0"/>
    <n v="1.1365659450000001"/>
    <m/>
    <x v="1"/>
    <x v="2"/>
    <x v="0"/>
    <x v="0"/>
    <x v="0"/>
  </r>
  <r>
    <s v="Singapore"/>
    <x v="5"/>
    <s v="SG3"/>
    <m/>
    <x v="3"/>
    <x v="3"/>
    <x v="2"/>
    <x v="3"/>
    <x v="0"/>
    <x v="0"/>
    <x v="0"/>
    <m/>
    <x v="0"/>
    <x v="0"/>
    <n v="-5.9986627920000002"/>
    <m/>
    <x v="2"/>
    <x v="3"/>
    <x v="0"/>
    <x v="1"/>
    <x v="1"/>
  </r>
  <r>
    <s v="Singapore"/>
    <x v="2"/>
    <s v="SG4"/>
    <m/>
    <x v="1"/>
    <x v="1"/>
    <x v="2"/>
    <x v="1"/>
    <x v="0"/>
    <x v="0"/>
    <x v="0"/>
    <m/>
    <x v="0"/>
    <x v="0"/>
    <n v="0.1838322"/>
    <m/>
    <x v="4"/>
    <x v="0"/>
    <x v="0"/>
    <x v="0"/>
    <x v="1"/>
  </r>
  <r>
    <s v="Singapore"/>
    <x v="2"/>
    <s v="SG2"/>
    <m/>
    <x v="4"/>
    <x v="1"/>
    <x v="0"/>
    <x v="0"/>
    <x v="0"/>
    <x v="0"/>
    <x v="0"/>
    <m/>
    <x v="0"/>
    <x v="0"/>
    <n v="4.36212"/>
    <m/>
    <x v="0"/>
    <x v="1"/>
    <x v="0"/>
    <x v="3"/>
    <x v="0"/>
  </r>
  <r>
    <s v="Singapore"/>
    <x v="5"/>
    <s v="SG2"/>
    <m/>
    <x v="2"/>
    <x v="0"/>
    <x v="3"/>
    <x v="4"/>
    <x v="0"/>
    <x v="0"/>
    <x v="0"/>
    <m/>
    <x v="0"/>
    <x v="0"/>
    <n v="0.15579000000000001"/>
    <m/>
    <x v="1"/>
    <x v="0"/>
    <x v="0"/>
    <x v="5"/>
    <x v="1"/>
  </r>
  <r>
    <s v="Singapore"/>
    <x v="3"/>
    <s v="SG1"/>
    <m/>
    <x v="2"/>
    <x v="2"/>
    <x v="4"/>
    <x v="5"/>
    <x v="0"/>
    <x v="0"/>
    <x v="0"/>
    <m/>
    <x v="0"/>
    <x v="0"/>
    <n v="1.0866352500000001"/>
    <m/>
    <x v="7"/>
    <x v="0"/>
    <x v="0"/>
    <x v="5"/>
    <x v="2"/>
  </r>
  <r>
    <s v="Singapore"/>
    <x v="5"/>
    <s v="SG3"/>
    <m/>
    <x v="4"/>
    <x v="2"/>
    <x v="1"/>
    <x v="4"/>
    <x v="0"/>
    <x v="0"/>
    <x v="0"/>
    <m/>
    <x v="0"/>
    <x v="0"/>
    <n v="-0.59589675000000009"/>
    <m/>
    <x v="0"/>
    <x v="0"/>
    <x v="0"/>
    <x v="5"/>
    <x v="0"/>
  </r>
  <r>
    <s v="Singapore"/>
    <x v="4"/>
    <s v="SG3"/>
    <m/>
    <x v="4"/>
    <x v="2"/>
    <x v="1"/>
    <x v="1"/>
    <x v="0"/>
    <x v="0"/>
    <x v="0"/>
    <m/>
    <x v="0"/>
    <x v="0"/>
    <n v="2.7263250000000001"/>
    <m/>
    <x v="1"/>
    <x v="3"/>
    <x v="0"/>
    <x v="0"/>
    <x v="2"/>
  </r>
  <r>
    <s v="Singapore"/>
    <x v="4"/>
    <s v="SG1"/>
    <m/>
    <x v="4"/>
    <x v="4"/>
    <x v="4"/>
    <x v="2"/>
    <x v="0"/>
    <x v="0"/>
    <x v="0"/>
    <m/>
    <x v="0"/>
    <x v="0"/>
    <n v="-0.10905300000000001"/>
    <m/>
    <x v="1"/>
    <x v="2"/>
    <x v="0"/>
    <x v="5"/>
    <x v="2"/>
  </r>
  <r>
    <s v="Singapore"/>
    <x v="0"/>
    <s v="SG2"/>
    <m/>
    <x v="2"/>
    <x v="4"/>
    <x v="0"/>
    <x v="3"/>
    <x v="0"/>
    <x v="0"/>
    <x v="0"/>
    <m/>
    <x v="0"/>
    <x v="0"/>
    <n v="-1.6797122010000001"/>
    <m/>
    <x v="4"/>
    <x v="1"/>
    <x v="0"/>
    <x v="1"/>
    <x v="2"/>
  </r>
  <r>
    <s v="Singapore"/>
    <x v="1"/>
    <s v="SG3"/>
    <m/>
    <x v="4"/>
    <x v="4"/>
    <x v="1"/>
    <x v="2"/>
    <x v="0"/>
    <x v="0"/>
    <x v="0"/>
    <m/>
    <x v="0"/>
    <x v="0"/>
    <n v="0.13631625"/>
    <m/>
    <x v="6"/>
    <x v="2"/>
    <x v="0"/>
    <x v="2"/>
    <x v="2"/>
  </r>
  <r>
    <s v="Singapore"/>
    <x v="1"/>
    <s v="SG2"/>
    <m/>
    <x v="1"/>
    <x v="0"/>
    <x v="3"/>
    <x v="1"/>
    <x v="0"/>
    <x v="0"/>
    <x v="0"/>
    <m/>
    <x v="0"/>
    <x v="0"/>
    <n v="-4.6737000000000003E-3"/>
    <m/>
    <x v="3"/>
    <x v="1"/>
    <x v="0"/>
    <x v="2"/>
    <x v="2"/>
  </r>
  <r>
    <s v="Singapore"/>
    <x v="2"/>
    <s v="SG4"/>
    <m/>
    <x v="2"/>
    <x v="3"/>
    <x v="3"/>
    <x v="5"/>
    <x v="0"/>
    <x v="0"/>
    <x v="0"/>
    <m/>
    <x v="0"/>
    <x v="0"/>
    <n v="-0.12463200000000001"/>
    <m/>
    <x v="0"/>
    <x v="0"/>
    <x v="0"/>
    <x v="5"/>
    <x v="2"/>
  </r>
  <r>
    <s v="Singapore"/>
    <x v="4"/>
    <s v="SG2"/>
    <m/>
    <x v="4"/>
    <x v="4"/>
    <x v="0"/>
    <x v="0"/>
    <x v="0"/>
    <x v="0"/>
    <x v="0"/>
    <m/>
    <x v="0"/>
    <x v="0"/>
    <n v="-0.12463200000000001"/>
    <m/>
    <x v="0"/>
    <x v="0"/>
    <x v="0"/>
    <x v="0"/>
    <x v="2"/>
  </r>
  <r>
    <s v="Singapore"/>
    <x v="1"/>
    <s v="SG2"/>
    <m/>
    <x v="2"/>
    <x v="4"/>
    <x v="2"/>
    <x v="0"/>
    <x v="0"/>
    <x v="0"/>
    <x v="0"/>
    <m/>
    <x v="0"/>
    <x v="0"/>
    <n v="4.5802260000000006"/>
    <m/>
    <x v="1"/>
    <x v="0"/>
    <x v="0"/>
    <x v="0"/>
    <x v="1"/>
  </r>
  <r>
    <s v="Singapore"/>
    <x v="2"/>
    <s v="SG2"/>
    <m/>
    <x v="0"/>
    <x v="0"/>
    <x v="1"/>
    <x v="3"/>
    <x v="0"/>
    <x v="0"/>
    <x v="0"/>
    <m/>
    <x v="0"/>
    <x v="0"/>
    <n v="-4.3570256670000003"/>
    <m/>
    <x v="0"/>
    <x v="1"/>
    <x v="0"/>
    <x v="3"/>
    <x v="1"/>
  </r>
  <r>
    <s v="Singapore"/>
    <x v="4"/>
    <s v="SG3"/>
    <m/>
    <x v="0"/>
    <x v="2"/>
    <x v="0"/>
    <x v="4"/>
    <x v="0"/>
    <x v="0"/>
    <x v="0"/>
    <m/>
    <x v="0"/>
    <x v="0"/>
    <n v="116.8425"/>
    <m/>
    <x v="3"/>
    <x v="0"/>
    <x v="0"/>
    <x v="3"/>
    <x v="0"/>
  </r>
  <r>
    <s v="Singapore"/>
    <x v="0"/>
    <s v="SG1"/>
    <m/>
    <x v="1"/>
    <x v="0"/>
    <x v="2"/>
    <x v="0"/>
    <x v="0"/>
    <x v="0"/>
    <x v="0"/>
    <m/>
    <x v="0"/>
    <x v="0"/>
    <n v="2.1776326200000002"/>
    <m/>
    <x v="4"/>
    <x v="0"/>
    <x v="0"/>
    <x v="2"/>
    <x v="0"/>
  </r>
  <r>
    <s v="Singapore"/>
    <x v="1"/>
    <s v="SG3"/>
    <m/>
    <x v="3"/>
    <x v="1"/>
    <x v="3"/>
    <x v="2"/>
    <x v="0"/>
    <x v="0"/>
    <x v="0"/>
    <m/>
    <x v="0"/>
    <x v="0"/>
    <n v="-0.37389600000000001"/>
    <m/>
    <x v="4"/>
    <x v="3"/>
    <x v="0"/>
    <x v="0"/>
    <x v="2"/>
  </r>
  <r>
    <s v="Singapore"/>
    <x v="2"/>
    <s v="SG1"/>
    <m/>
    <x v="5"/>
    <x v="2"/>
    <x v="4"/>
    <x v="4"/>
    <x v="0"/>
    <x v="0"/>
    <x v="0"/>
    <m/>
    <x v="0"/>
    <x v="0"/>
    <n v="0.70105499999999998"/>
    <m/>
    <x v="1"/>
    <x v="0"/>
    <x v="0"/>
    <x v="4"/>
    <x v="0"/>
  </r>
  <r>
    <s v="Singapore"/>
    <x v="4"/>
    <s v="SG2"/>
    <m/>
    <x v="1"/>
    <x v="0"/>
    <x v="1"/>
    <x v="4"/>
    <x v="0"/>
    <x v="0"/>
    <x v="0"/>
    <m/>
    <x v="0"/>
    <x v="0"/>
    <n v="18.204061500000002"/>
    <m/>
    <x v="7"/>
    <x v="0"/>
    <x v="0"/>
    <x v="1"/>
    <x v="0"/>
  </r>
  <r>
    <s v="Singapore"/>
    <x v="4"/>
    <s v="SG4"/>
    <m/>
    <x v="2"/>
    <x v="3"/>
    <x v="0"/>
    <x v="0"/>
    <x v="0"/>
    <x v="0"/>
    <x v="0"/>
    <m/>
    <x v="0"/>
    <x v="0"/>
    <n v="-0.15579000000000001"/>
    <m/>
    <x v="4"/>
    <x v="1"/>
    <x v="0"/>
    <x v="5"/>
    <x v="1"/>
  </r>
  <r>
    <s v="Singapore"/>
    <x v="3"/>
    <s v="SG1"/>
    <m/>
    <x v="1"/>
    <x v="2"/>
    <x v="2"/>
    <x v="1"/>
    <x v="0"/>
    <x v="0"/>
    <x v="0"/>
    <m/>
    <x v="0"/>
    <x v="0"/>
    <n v="0.21810600000000002"/>
    <m/>
    <x v="1"/>
    <x v="1"/>
    <x v="0"/>
    <x v="0"/>
    <x v="0"/>
  </r>
  <r>
    <s v="Singapore"/>
    <x v="3"/>
    <s v="SG3"/>
    <m/>
    <x v="2"/>
    <x v="3"/>
    <x v="3"/>
    <x v="4"/>
    <x v="0"/>
    <x v="0"/>
    <x v="0"/>
    <m/>
    <x v="0"/>
    <x v="0"/>
    <n v="0.71663399999999999"/>
    <m/>
    <x v="1"/>
    <x v="2"/>
    <x v="0"/>
    <x v="0"/>
    <x v="2"/>
  </r>
  <r>
    <s v="Singapore"/>
    <x v="4"/>
    <s v="SG2"/>
    <m/>
    <x v="2"/>
    <x v="4"/>
    <x v="3"/>
    <x v="3"/>
    <x v="0"/>
    <x v="0"/>
    <x v="0"/>
    <m/>
    <x v="0"/>
    <x v="0"/>
    <n v="79.282870794000004"/>
    <m/>
    <x v="1"/>
    <x v="2"/>
    <x v="0"/>
    <x v="4"/>
    <x v="1"/>
  </r>
  <r>
    <s v="Singapore"/>
    <x v="3"/>
    <s v="SG1"/>
    <m/>
    <x v="3"/>
    <x v="3"/>
    <x v="3"/>
    <x v="3"/>
    <x v="0"/>
    <x v="0"/>
    <x v="0"/>
    <m/>
    <x v="0"/>
    <x v="0"/>
    <n v="-4.6737000000000001E-2"/>
    <m/>
    <x v="3"/>
    <x v="3"/>
    <x v="0"/>
    <x v="5"/>
    <x v="2"/>
  </r>
  <r>
    <s v="Singapore"/>
    <x v="2"/>
    <s v="SG4"/>
    <m/>
    <x v="4"/>
    <x v="0"/>
    <x v="1"/>
    <x v="5"/>
    <x v="0"/>
    <x v="0"/>
    <x v="0"/>
    <m/>
    <x v="0"/>
    <x v="0"/>
    <n v="-2.2463671680000004"/>
    <m/>
    <x v="0"/>
    <x v="3"/>
    <x v="0"/>
    <x v="1"/>
    <x v="1"/>
  </r>
  <r>
    <s v="Singapore"/>
    <x v="5"/>
    <s v="SG3"/>
    <m/>
    <x v="5"/>
    <x v="2"/>
    <x v="2"/>
    <x v="0"/>
    <x v="0"/>
    <x v="0"/>
    <x v="0"/>
    <m/>
    <x v="0"/>
    <x v="0"/>
    <n v="0.140211"/>
    <m/>
    <x v="8"/>
    <x v="1"/>
    <x v="0"/>
    <x v="0"/>
    <x v="0"/>
  </r>
  <r>
    <s v="Singapore"/>
    <x v="1"/>
    <s v="SG3"/>
    <m/>
    <x v="5"/>
    <x v="3"/>
    <x v="1"/>
    <x v="2"/>
    <x v="0"/>
    <x v="0"/>
    <x v="0"/>
    <m/>
    <x v="0"/>
    <x v="0"/>
    <n v="0.12463200000000001"/>
    <m/>
    <x v="0"/>
    <x v="1"/>
    <x v="0"/>
    <x v="4"/>
    <x v="2"/>
  </r>
  <r>
    <s v="Singapore"/>
    <x v="4"/>
    <s v="SG2"/>
    <m/>
    <x v="1"/>
    <x v="4"/>
    <x v="3"/>
    <x v="0"/>
    <x v="0"/>
    <x v="0"/>
    <x v="0"/>
    <m/>
    <x v="0"/>
    <x v="0"/>
    <n v="-2.6484300000000003"/>
    <m/>
    <x v="1"/>
    <x v="3"/>
    <x v="0"/>
    <x v="4"/>
    <x v="1"/>
  </r>
  <r>
    <s v="Singapore"/>
    <x v="4"/>
    <s v="SG1"/>
    <m/>
    <x v="0"/>
    <x v="2"/>
    <x v="0"/>
    <x v="0"/>
    <x v="0"/>
    <x v="0"/>
    <x v="0"/>
    <m/>
    <x v="0"/>
    <x v="0"/>
    <n v="-4.6737000000000001E-2"/>
    <m/>
    <x v="0"/>
    <x v="0"/>
    <x v="0"/>
    <x v="0"/>
    <x v="2"/>
  </r>
  <r>
    <s v="Singapore"/>
    <x v="2"/>
    <s v="SG3"/>
    <m/>
    <x v="0"/>
    <x v="1"/>
    <x v="4"/>
    <x v="1"/>
    <x v="0"/>
    <x v="0"/>
    <x v="0"/>
    <m/>
    <x v="0"/>
    <x v="0"/>
    <n v="0.77895000000000003"/>
    <m/>
    <x v="4"/>
    <x v="2"/>
    <x v="0"/>
    <x v="0"/>
    <x v="0"/>
  </r>
  <r>
    <s v="Singapore"/>
    <x v="2"/>
    <s v="SG2"/>
    <m/>
    <x v="1"/>
    <x v="1"/>
    <x v="2"/>
    <x v="4"/>
    <x v="0"/>
    <x v="0"/>
    <x v="0"/>
    <m/>
    <x v="0"/>
    <x v="0"/>
    <n v="-0.12463200000000001"/>
    <m/>
    <x v="0"/>
    <x v="2"/>
    <x v="0"/>
    <x v="2"/>
    <x v="2"/>
  </r>
  <r>
    <s v="Singapore"/>
    <x v="4"/>
    <s v="SG3"/>
    <m/>
    <x v="0"/>
    <x v="0"/>
    <x v="2"/>
    <x v="0"/>
    <x v="0"/>
    <x v="0"/>
    <x v="0"/>
    <m/>
    <x v="0"/>
    <x v="0"/>
    <n v="-0.12463200000000001"/>
    <m/>
    <x v="4"/>
    <x v="2"/>
    <x v="0"/>
    <x v="5"/>
    <x v="1"/>
  </r>
  <r>
    <s v="Singapore"/>
    <x v="5"/>
    <s v="SG3"/>
    <m/>
    <x v="1"/>
    <x v="2"/>
    <x v="1"/>
    <x v="4"/>
    <x v="0"/>
    <x v="0"/>
    <x v="0"/>
    <m/>
    <x v="0"/>
    <x v="0"/>
    <n v="37.856970000000004"/>
    <m/>
    <x v="1"/>
    <x v="3"/>
    <x v="0"/>
    <x v="5"/>
    <x v="2"/>
  </r>
  <r>
    <s v="Singapore"/>
    <x v="5"/>
    <s v="SG4"/>
    <m/>
    <x v="5"/>
    <x v="3"/>
    <x v="4"/>
    <x v="4"/>
    <x v="0"/>
    <x v="0"/>
    <x v="0"/>
    <m/>
    <x v="0"/>
    <x v="0"/>
    <n v="-0.358317"/>
    <m/>
    <x v="3"/>
    <x v="0"/>
    <x v="0"/>
    <x v="5"/>
    <x v="2"/>
  </r>
  <r>
    <s v="Singapore"/>
    <x v="5"/>
    <s v="SG1"/>
    <m/>
    <x v="3"/>
    <x v="4"/>
    <x v="0"/>
    <x v="1"/>
    <x v="0"/>
    <x v="0"/>
    <x v="0"/>
    <m/>
    <x v="0"/>
    <x v="0"/>
    <n v="1.2774780000000001"/>
    <m/>
    <x v="8"/>
    <x v="0"/>
    <x v="0"/>
    <x v="5"/>
    <x v="2"/>
  </r>
  <r>
    <s v="Singapore"/>
    <x v="5"/>
    <s v="SG3"/>
    <m/>
    <x v="3"/>
    <x v="0"/>
    <x v="1"/>
    <x v="5"/>
    <x v="0"/>
    <x v="0"/>
    <x v="0"/>
    <m/>
    <x v="0"/>
    <x v="0"/>
    <n v="-0.38947500000000002"/>
    <m/>
    <x v="4"/>
    <x v="3"/>
    <x v="0"/>
    <x v="3"/>
    <x v="0"/>
  </r>
  <r>
    <s v="Singapore"/>
    <x v="5"/>
    <s v="SG2"/>
    <m/>
    <x v="4"/>
    <x v="0"/>
    <x v="4"/>
    <x v="4"/>
    <x v="0"/>
    <x v="0"/>
    <x v="0"/>
    <m/>
    <x v="0"/>
    <x v="0"/>
    <n v="-0.15579000000000001"/>
    <m/>
    <x v="0"/>
    <x v="3"/>
    <x v="0"/>
    <x v="4"/>
    <x v="1"/>
  </r>
  <r>
    <s v="Singapore"/>
    <x v="1"/>
    <s v="SG4"/>
    <m/>
    <x v="3"/>
    <x v="4"/>
    <x v="2"/>
    <x v="5"/>
    <x v="0"/>
    <x v="0"/>
    <x v="0"/>
    <m/>
    <x v="0"/>
    <x v="0"/>
    <n v="-6.2316000000000003E-2"/>
    <m/>
    <x v="0"/>
    <x v="1"/>
    <x v="0"/>
    <x v="3"/>
    <x v="1"/>
  </r>
  <r>
    <s v="Singapore"/>
    <x v="5"/>
    <s v="SG3"/>
    <m/>
    <x v="2"/>
    <x v="2"/>
    <x v="0"/>
    <x v="0"/>
    <x v="0"/>
    <x v="0"/>
    <x v="0"/>
    <m/>
    <x v="0"/>
    <x v="0"/>
    <n v="-4.6737000000000001E-2"/>
    <m/>
    <x v="0"/>
    <x v="3"/>
    <x v="0"/>
    <x v="0"/>
    <x v="0"/>
  </r>
  <r>
    <s v="Singapore"/>
    <x v="2"/>
    <s v="SG4"/>
    <m/>
    <x v="3"/>
    <x v="4"/>
    <x v="1"/>
    <x v="3"/>
    <x v="0"/>
    <x v="0"/>
    <x v="0"/>
    <m/>
    <x v="0"/>
    <x v="0"/>
    <n v="-7.7895000000000004E-3"/>
    <m/>
    <x v="0"/>
    <x v="2"/>
    <x v="0"/>
    <x v="4"/>
    <x v="0"/>
  </r>
  <r>
    <s v="Singapore"/>
    <x v="5"/>
    <s v="SG2"/>
    <m/>
    <x v="5"/>
    <x v="2"/>
    <x v="4"/>
    <x v="2"/>
    <x v="0"/>
    <x v="0"/>
    <x v="0"/>
    <m/>
    <x v="0"/>
    <x v="0"/>
    <n v="1.5579000000000001"/>
    <m/>
    <x v="8"/>
    <x v="0"/>
    <x v="0"/>
    <x v="2"/>
    <x v="2"/>
  </r>
  <r>
    <s v="Singapore"/>
    <x v="5"/>
    <s v="SG3"/>
    <m/>
    <x v="0"/>
    <x v="3"/>
    <x v="3"/>
    <x v="2"/>
    <x v="0"/>
    <x v="0"/>
    <x v="0"/>
    <m/>
    <x v="0"/>
    <x v="0"/>
    <n v="2.3176722510000003"/>
    <m/>
    <x v="3"/>
    <x v="0"/>
    <x v="0"/>
    <x v="4"/>
    <x v="0"/>
  </r>
  <r>
    <s v="Singapore"/>
    <x v="1"/>
    <s v="SG2"/>
    <m/>
    <x v="5"/>
    <x v="0"/>
    <x v="1"/>
    <x v="0"/>
    <x v="0"/>
    <x v="0"/>
    <x v="0"/>
    <m/>
    <x v="0"/>
    <x v="0"/>
    <n v="-3.4273800000000003"/>
    <m/>
    <x v="4"/>
    <x v="0"/>
    <x v="0"/>
    <x v="0"/>
    <x v="2"/>
  </r>
  <r>
    <s v="Singapore"/>
    <x v="3"/>
    <s v="SG2"/>
    <m/>
    <x v="4"/>
    <x v="3"/>
    <x v="2"/>
    <x v="4"/>
    <x v="0"/>
    <x v="0"/>
    <x v="0"/>
    <m/>
    <x v="0"/>
    <x v="0"/>
    <n v="-39.876008400000003"/>
    <m/>
    <x v="2"/>
    <x v="3"/>
    <x v="0"/>
    <x v="2"/>
    <x v="0"/>
  </r>
  <r>
    <s v="Singapore"/>
    <x v="5"/>
    <s v="SG3"/>
    <m/>
    <x v="1"/>
    <x v="3"/>
    <x v="2"/>
    <x v="1"/>
    <x v="0"/>
    <x v="0"/>
    <x v="0"/>
    <m/>
    <x v="0"/>
    <x v="0"/>
    <n v="-0.37389600000000001"/>
    <m/>
    <x v="4"/>
    <x v="1"/>
    <x v="0"/>
    <x v="1"/>
    <x v="0"/>
  </r>
  <r>
    <s v="Singapore"/>
    <x v="1"/>
    <s v="SG1"/>
    <m/>
    <x v="2"/>
    <x v="0"/>
    <x v="2"/>
    <x v="0"/>
    <x v="0"/>
    <x v="0"/>
    <x v="0"/>
    <m/>
    <x v="0"/>
    <x v="0"/>
    <n v="-0.37389600000000001"/>
    <m/>
    <x v="0"/>
    <x v="2"/>
    <x v="0"/>
    <x v="4"/>
    <x v="0"/>
  </r>
  <r>
    <s v="Singapore"/>
    <x v="0"/>
    <s v="SG4"/>
    <m/>
    <x v="1"/>
    <x v="3"/>
    <x v="1"/>
    <x v="4"/>
    <x v="0"/>
    <x v="0"/>
    <x v="0"/>
    <m/>
    <x v="0"/>
    <x v="0"/>
    <n v="-0.10905300000000001"/>
    <m/>
    <x v="4"/>
    <x v="3"/>
    <x v="0"/>
    <x v="5"/>
    <x v="2"/>
  </r>
  <r>
    <s v="Singapore"/>
    <x v="1"/>
    <s v="SG1"/>
    <m/>
    <x v="0"/>
    <x v="2"/>
    <x v="2"/>
    <x v="5"/>
    <x v="0"/>
    <x v="0"/>
    <x v="0"/>
    <m/>
    <x v="0"/>
    <x v="0"/>
    <n v="0.16825320000000002"/>
    <m/>
    <x v="8"/>
    <x v="3"/>
    <x v="0"/>
    <x v="4"/>
    <x v="1"/>
  </r>
  <r>
    <s v="Singapore"/>
    <x v="2"/>
    <s v="SG4"/>
    <m/>
    <x v="4"/>
    <x v="4"/>
    <x v="3"/>
    <x v="2"/>
    <x v="0"/>
    <x v="0"/>
    <x v="0"/>
    <m/>
    <x v="0"/>
    <x v="0"/>
    <n v="0.12226399200000002"/>
    <m/>
    <x v="2"/>
    <x v="3"/>
    <x v="0"/>
    <x v="0"/>
    <x v="2"/>
  </r>
  <r>
    <s v="Singapore"/>
    <x v="5"/>
    <s v="SG3"/>
    <m/>
    <x v="2"/>
    <x v="2"/>
    <x v="0"/>
    <x v="0"/>
    <x v="0"/>
    <x v="0"/>
    <x v="0"/>
    <m/>
    <x v="0"/>
    <x v="0"/>
    <n v="-0.388711629"/>
    <m/>
    <x v="4"/>
    <x v="0"/>
    <x v="0"/>
    <x v="4"/>
    <x v="0"/>
  </r>
  <r>
    <s v="Singapore"/>
    <x v="5"/>
    <s v="SG4"/>
    <m/>
    <x v="1"/>
    <x v="0"/>
    <x v="3"/>
    <x v="0"/>
    <x v="0"/>
    <x v="0"/>
    <x v="0"/>
    <m/>
    <x v="0"/>
    <x v="0"/>
    <n v="0.15579000000000001"/>
    <m/>
    <x v="1"/>
    <x v="2"/>
    <x v="0"/>
    <x v="0"/>
    <x v="2"/>
  </r>
  <r>
    <s v="Singapore"/>
    <x v="1"/>
    <s v="SG1"/>
    <m/>
    <x v="3"/>
    <x v="0"/>
    <x v="2"/>
    <x v="2"/>
    <x v="0"/>
    <x v="0"/>
    <x v="0"/>
    <m/>
    <x v="0"/>
    <x v="0"/>
    <n v="-3.1158000000000002E-2"/>
    <m/>
    <x v="0"/>
    <x v="2"/>
    <x v="0"/>
    <x v="0"/>
    <x v="0"/>
  </r>
  <r>
    <s v="Singapore"/>
    <x v="0"/>
    <s v="SG3"/>
    <m/>
    <x v="5"/>
    <x v="2"/>
    <x v="1"/>
    <x v="2"/>
    <x v="0"/>
    <x v="0"/>
    <x v="0"/>
    <m/>
    <x v="0"/>
    <x v="0"/>
    <n v="0.94252950000000002"/>
    <m/>
    <x v="1"/>
    <x v="1"/>
    <x v="0"/>
    <x v="1"/>
    <x v="2"/>
  </r>
  <r>
    <s v="Singapore"/>
    <x v="4"/>
    <s v="SG1"/>
    <m/>
    <x v="4"/>
    <x v="1"/>
    <x v="3"/>
    <x v="1"/>
    <x v="0"/>
    <x v="0"/>
    <x v="0"/>
    <m/>
    <x v="0"/>
    <x v="0"/>
    <n v="-0.62316000000000005"/>
    <m/>
    <x v="0"/>
    <x v="2"/>
    <x v="0"/>
    <x v="1"/>
    <x v="1"/>
  </r>
  <r>
    <s v="Singapore"/>
    <x v="5"/>
    <s v="SG2"/>
    <m/>
    <x v="5"/>
    <x v="3"/>
    <x v="0"/>
    <x v="1"/>
    <x v="0"/>
    <x v="0"/>
    <x v="0"/>
    <m/>
    <x v="0"/>
    <x v="0"/>
    <n v="-0.17496774900000001"/>
    <m/>
    <x v="9"/>
    <x v="0"/>
    <x v="0"/>
    <x v="0"/>
    <x v="0"/>
  </r>
  <r>
    <s v="Singapore"/>
    <x v="5"/>
    <s v="SG1"/>
    <m/>
    <x v="5"/>
    <x v="2"/>
    <x v="1"/>
    <x v="1"/>
    <x v="0"/>
    <x v="0"/>
    <x v="0"/>
    <m/>
    <x v="0"/>
    <x v="0"/>
    <n v="1.1450565000000001"/>
    <m/>
    <x v="1"/>
    <x v="3"/>
    <x v="0"/>
    <x v="2"/>
    <x v="0"/>
  </r>
  <r>
    <s v="Singapore"/>
    <x v="3"/>
    <s v="SG2"/>
    <m/>
    <x v="3"/>
    <x v="0"/>
    <x v="0"/>
    <x v="5"/>
    <x v="0"/>
    <x v="0"/>
    <x v="0"/>
    <m/>
    <x v="0"/>
    <x v="0"/>
    <n v="-1.5579000000000001E-2"/>
    <m/>
    <x v="4"/>
    <x v="0"/>
    <x v="0"/>
    <x v="4"/>
    <x v="0"/>
  </r>
  <r>
    <s v="Singapore"/>
    <x v="1"/>
    <s v="SG1"/>
    <m/>
    <x v="5"/>
    <x v="2"/>
    <x v="3"/>
    <x v="2"/>
    <x v="0"/>
    <x v="0"/>
    <x v="0"/>
    <m/>
    <x v="0"/>
    <x v="0"/>
    <n v="-0.26328509999999999"/>
    <m/>
    <x v="2"/>
    <x v="0"/>
    <x v="0"/>
    <x v="4"/>
    <x v="0"/>
  </r>
  <r>
    <s v="Singapore"/>
    <x v="1"/>
    <s v="SG3"/>
    <m/>
    <x v="5"/>
    <x v="1"/>
    <x v="2"/>
    <x v="1"/>
    <x v="0"/>
    <x v="0"/>
    <x v="0"/>
    <m/>
    <x v="0"/>
    <x v="0"/>
    <n v="-0.140211"/>
    <m/>
    <x v="0"/>
    <x v="0"/>
    <x v="0"/>
    <x v="1"/>
    <x v="0"/>
  </r>
  <r>
    <s v="Singapore"/>
    <x v="1"/>
    <s v="SG2"/>
    <m/>
    <x v="0"/>
    <x v="2"/>
    <x v="1"/>
    <x v="4"/>
    <x v="0"/>
    <x v="0"/>
    <x v="0"/>
    <m/>
    <x v="0"/>
    <x v="0"/>
    <n v="-2.1031650000000002"/>
    <m/>
    <x v="4"/>
    <x v="0"/>
    <x v="0"/>
    <x v="2"/>
    <x v="2"/>
  </r>
  <r>
    <s v="Singapore"/>
    <x v="2"/>
    <s v="SG4"/>
    <m/>
    <x v="4"/>
    <x v="3"/>
    <x v="1"/>
    <x v="3"/>
    <x v="0"/>
    <x v="0"/>
    <x v="0"/>
    <m/>
    <x v="0"/>
    <x v="0"/>
    <n v="-1.0217798730000001"/>
    <m/>
    <x v="4"/>
    <x v="3"/>
    <x v="0"/>
    <x v="3"/>
    <x v="1"/>
  </r>
  <r>
    <s v="Singapore"/>
    <x v="4"/>
    <s v="SG1"/>
    <m/>
    <x v="5"/>
    <x v="3"/>
    <x v="4"/>
    <x v="2"/>
    <x v="0"/>
    <x v="0"/>
    <x v="0"/>
    <m/>
    <x v="0"/>
    <x v="0"/>
    <n v="-1.6357950000000001"/>
    <m/>
    <x v="3"/>
    <x v="2"/>
    <x v="0"/>
    <x v="4"/>
    <x v="1"/>
  </r>
  <r>
    <s v="Singapore"/>
    <x v="4"/>
    <s v="SG4"/>
    <m/>
    <x v="0"/>
    <x v="2"/>
    <x v="2"/>
    <x v="2"/>
    <x v="0"/>
    <x v="0"/>
    <x v="0"/>
    <m/>
    <x v="0"/>
    <x v="0"/>
    <n v="-0.15579000000000001"/>
    <m/>
    <x v="4"/>
    <x v="2"/>
    <x v="0"/>
    <x v="0"/>
    <x v="2"/>
  </r>
  <r>
    <s v="Singapore"/>
    <x v="5"/>
    <s v="SG2"/>
    <m/>
    <x v="5"/>
    <x v="0"/>
    <x v="1"/>
    <x v="1"/>
    <x v="0"/>
    <x v="0"/>
    <x v="0"/>
    <m/>
    <x v="0"/>
    <x v="0"/>
    <n v="-0.31158000000000002"/>
    <m/>
    <x v="0"/>
    <x v="1"/>
    <x v="0"/>
    <x v="1"/>
    <x v="1"/>
  </r>
  <r>
    <s v="Singapore"/>
    <x v="5"/>
    <s v="SG3"/>
    <m/>
    <x v="0"/>
    <x v="2"/>
    <x v="0"/>
    <x v="2"/>
    <x v="0"/>
    <x v="0"/>
    <x v="0"/>
    <m/>
    <x v="0"/>
    <x v="0"/>
    <n v="0.77895000000000003"/>
    <m/>
    <x v="4"/>
    <x v="2"/>
    <x v="0"/>
    <x v="1"/>
    <x v="1"/>
  </r>
  <r>
    <s v="Singapore"/>
    <x v="5"/>
    <s v="SG2"/>
    <m/>
    <x v="5"/>
    <x v="1"/>
    <x v="0"/>
    <x v="5"/>
    <x v="0"/>
    <x v="0"/>
    <x v="0"/>
    <m/>
    <x v="0"/>
    <x v="0"/>
    <n v="-0.46737000000000001"/>
    <m/>
    <x v="0"/>
    <x v="3"/>
    <x v="0"/>
    <x v="0"/>
    <x v="1"/>
  </r>
  <r>
    <s v="Singapore"/>
    <x v="2"/>
    <s v="SG2"/>
    <m/>
    <x v="0"/>
    <x v="0"/>
    <x v="0"/>
    <x v="3"/>
    <x v="0"/>
    <x v="0"/>
    <x v="0"/>
    <m/>
    <x v="0"/>
    <x v="0"/>
    <n v="1.0801232280000002"/>
    <m/>
    <x v="1"/>
    <x v="0"/>
    <x v="0"/>
    <x v="5"/>
    <x v="2"/>
  </r>
  <r>
    <s v="Singapore"/>
    <x v="4"/>
    <s v="SG3"/>
    <m/>
    <x v="2"/>
    <x v="2"/>
    <x v="1"/>
    <x v="1"/>
    <x v="0"/>
    <x v="0"/>
    <x v="0"/>
    <m/>
    <x v="0"/>
    <x v="0"/>
    <n v="-0.15579000000000001"/>
    <m/>
    <x v="1"/>
    <x v="1"/>
    <x v="0"/>
    <x v="5"/>
    <x v="1"/>
  </r>
  <r>
    <s v="Singapore"/>
    <x v="5"/>
    <s v="SG2"/>
    <m/>
    <x v="0"/>
    <x v="4"/>
    <x v="2"/>
    <x v="2"/>
    <x v="0"/>
    <x v="0"/>
    <x v="0"/>
    <m/>
    <x v="0"/>
    <x v="0"/>
    <n v="0.15430999500000001"/>
    <m/>
    <x v="0"/>
    <x v="1"/>
    <x v="0"/>
    <x v="2"/>
    <x v="0"/>
  </r>
  <r>
    <s v="Singapore"/>
    <x v="0"/>
    <s v="SG2"/>
    <m/>
    <x v="0"/>
    <x v="0"/>
    <x v="2"/>
    <x v="4"/>
    <x v="0"/>
    <x v="0"/>
    <x v="0"/>
    <m/>
    <x v="0"/>
    <x v="0"/>
    <n v="-6.2316000000000003E-3"/>
    <m/>
    <x v="6"/>
    <x v="3"/>
    <x v="0"/>
    <x v="4"/>
    <x v="1"/>
  </r>
  <r>
    <s v="Singapore"/>
    <x v="1"/>
    <s v="SG4"/>
    <m/>
    <x v="0"/>
    <x v="2"/>
    <x v="4"/>
    <x v="1"/>
    <x v="0"/>
    <x v="0"/>
    <x v="0"/>
    <m/>
    <x v="0"/>
    <x v="0"/>
    <n v="-0.12463200000000001"/>
    <m/>
    <x v="0"/>
    <x v="2"/>
    <x v="0"/>
    <x v="0"/>
    <x v="2"/>
  </r>
  <r>
    <s v="Singapore"/>
    <x v="3"/>
    <s v="SG3"/>
    <m/>
    <x v="0"/>
    <x v="4"/>
    <x v="1"/>
    <x v="0"/>
    <x v="0"/>
    <x v="0"/>
    <x v="0"/>
    <m/>
    <x v="0"/>
    <x v="0"/>
    <n v="-1.3818573000000001"/>
    <m/>
    <x v="1"/>
    <x v="3"/>
    <x v="0"/>
    <x v="2"/>
    <x v="2"/>
  </r>
  <r>
    <s v="Singapore"/>
    <x v="3"/>
    <s v="SG3"/>
    <m/>
    <x v="3"/>
    <x v="3"/>
    <x v="3"/>
    <x v="1"/>
    <x v="0"/>
    <x v="0"/>
    <x v="0"/>
    <m/>
    <x v="0"/>
    <x v="0"/>
    <n v="-0.15579000000000001"/>
    <m/>
    <x v="4"/>
    <x v="2"/>
    <x v="0"/>
    <x v="0"/>
    <x v="1"/>
  </r>
  <r>
    <s v="Singapore"/>
    <x v="4"/>
    <s v="SG3"/>
    <m/>
    <x v="4"/>
    <x v="2"/>
    <x v="1"/>
    <x v="4"/>
    <x v="0"/>
    <x v="0"/>
    <x v="0"/>
    <m/>
    <x v="0"/>
    <x v="0"/>
    <n v="1.5225356700000001"/>
    <m/>
    <x v="1"/>
    <x v="1"/>
    <x v="0"/>
    <x v="5"/>
    <x v="2"/>
  </r>
  <r>
    <s v="Singapore"/>
    <x v="3"/>
    <s v="SG4"/>
    <m/>
    <x v="3"/>
    <x v="4"/>
    <x v="3"/>
    <x v="5"/>
    <x v="0"/>
    <x v="0"/>
    <x v="0"/>
    <m/>
    <x v="0"/>
    <x v="0"/>
    <n v="-0.10905300000000001"/>
    <m/>
    <x v="4"/>
    <x v="3"/>
    <x v="0"/>
    <x v="5"/>
    <x v="2"/>
  </r>
  <r>
    <s v="Singapore"/>
    <x v="5"/>
    <s v="SG3"/>
    <m/>
    <x v="3"/>
    <x v="4"/>
    <x v="3"/>
    <x v="5"/>
    <x v="0"/>
    <x v="0"/>
    <x v="0"/>
    <m/>
    <x v="0"/>
    <x v="0"/>
    <n v="1.5984054000000001"/>
    <m/>
    <x v="5"/>
    <x v="2"/>
    <x v="0"/>
    <x v="5"/>
    <x v="0"/>
  </r>
  <r>
    <s v="Singapore"/>
    <x v="3"/>
    <s v="SG4"/>
    <m/>
    <x v="0"/>
    <x v="1"/>
    <x v="1"/>
    <x v="2"/>
    <x v="0"/>
    <x v="0"/>
    <x v="0"/>
    <m/>
    <x v="0"/>
    <x v="0"/>
    <n v="-0.12463200000000001"/>
    <m/>
    <x v="4"/>
    <x v="3"/>
    <x v="0"/>
    <x v="0"/>
    <x v="1"/>
  </r>
  <r>
    <s v="Singapore"/>
    <x v="0"/>
    <s v="SG2"/>
    <m/>
    <x v="4"/>
    <x v="0"/>
    <x v="0"/>
    <x v="5"/>
    <x v="0"/>
    <x v="0"/>
    <x v="0"/>
    <m/>
    <x v="0"/>
    <x v="0"/>
    <n v="-0.32715900000000003"/>
    <m/>
    <x v="0"/>
    <x v="0"/>
    <x v="0"/>
    <x v="3"/>
    <x v="2"/>
  </r>
  <r>
    <s v="Singapore"/>
    <x v="0"/>
    <s v="SG2"/>
    <m/>
    <x v="5"/>
    <x v="1"/>
    <x v="1"/>
    <x v="3"/>
    <x v="0"/>
    <x v="0"/>
    <x v="0"/>
    <m/>
    <x v="0"/>
    <x v="0"/>
    <n v="-1.9629540000000001"/>
    <m/>
    <x v="6"/>
    <x v="1"/>
    <x v="0"/>
    <x v="3"/>
    <x v="2"/>
  </r>
  <r>
    <s v="Singapore"/>
    <x v="1"/>
    <s v="SG1"/>
    <m/>
    <x v="4"/>
    <x v="0"/>
    <x v="4"/>
    <x v="4"/>
    <x v="0"/>
    <x v="0"/>
    <x v="0"/>
    <m/>
    <x v="0"/>
    <x v="0"/>
    <n v="-0.70105499999999998"/>
    <m/>
    <x v="1"/>
    <x v="3"/>
    <x v="0"/>
    <x v="3"/>
    <x v="1"/>
  </r>
  <r>
    <s v="Singapore"/>
    <x v="0"/>
    <s v="SG1"/>
    <m/>
    <x v="3"/>
    <x v="4"/>
    <x v="3"/>
    <x v="0"/>
    <x v="0"/>
    <x v="0"/>
    <x v="0"/>
    <m/>
    <x v="0"/>
    <x v="0"/>
    <n v="0.12463200000000001"/>
    <m/>
    <x v="0"/>
    <x v="0"/>
    <x v="0"/>
    <x v="3"/>
    <x v="0"/>
  </r>
  <r>
    <s v="Singapore"/>
    <x v="3"/>
    <s v="SG1"/>
    <m/>
    <x v="2"/>
    <x v="1"/>
    <x v="2"/>
    <x v="3"/>
    <x v="0"/>
    <x v="0"/>
    <x v="0"/>
    <m/>
    <x v="0"/>
    <x v="0"/>
    <n v="-7.7895000000000006E-2"/>
    <m/>
    <x v="4"/>
    <x v="1"/>
    <x v="0"/>
    <x v="3"/>
    <x v="0"/>
  </r>
  <r>
    <s v="Singapore"/>
    <x v="0"/>
    <s v="SG1"/>
    <m/>
    <x v="1"/>
    <x v="0"/>
    <x v="2"/>
    <x v="2"/>
    <x v="0"/>
    <x v="0"/>
    <x v="0"/>
    <m/>
    <x v="0"/>
    <x v="0"/>
    <n v="-0.1838322"/>
    <m/>
    <x v="4"/>
    <x v="3"/>
    <x v="0"/>
    <x v="2"/>
    <x v="1"/>
  </r>
  <r>
    <s v="Singapore"/>
    <x v="0"/>
    <s v="SG1"/>
    <m/>
    <x v="0"/>
    <x v="3"/>
    <x v="3"/>
    <x v="1"/>
    <x v="0"/>
    <x v="0"/>
    <x v="0"/>
    <m/>
    <x v="0"/>
    <x v="0"/>
    <n v="-4.8746691000000002"/>
    <m/>
    <x v="2"/>
    <x v="2"/>
    <x v="0"/>
    <x v="3"/>
    <x v="0"/>
  </r>
  <r>
    <s v="Singapore"/>
    <x v="3"/>
    <s v="SG3"/>
    <m/>
    <x v="2"/>
    <x v="3"/>
    <x v="0"/>
    <x v="4"/>
    <x v="0"/>
    <x v="0"/>
    <x v="0"/>
    <m/>
    <x v="0"/>
    <x v="0"/>
    <n v="0.74467620000000001"/>
    <m/>
    <x v="1"/>
    <x v="1"/>
    <x v="0"/>
    <x v="4"/>
    <x v="2"/>
  </r>
  <r>
    <s v="Singapore"/>
    <x v="0"/>
    <s v="SG4"/>
    <m/>
    <x v="5"/>
    <x v="0"/>
    <x v="1"/>
    <x v="2"/>
    <x v="0"/>
    <x v="0"/>
    <x v="0"/>
    <m/>
    <x v="0"/>
    <x v="0"/>
    <n v="-1.900638"/>
    <m/>
    <x v="1"/>
    <x v="0"/>
    <x v="0"/>
    <x v="2"/>
    <x v="0"/>
  </r>
  <r>
    <s v="Singapore"/>
    <x v="0"/>
    <s v="SG2"/>
    <m/>
    <x v="0"/>
    <x v="2"/>
    <x v="0"/>
    <x v="4"/>
    <x v="0"/>
    <x v="0"/>
    <x v="0"/>
    <m/>
    <x v="0"/>
    <x v="0"/>
    <n v="-0.42063300000000003"/>
    <m/>
    <x v="4"/>
    <x v="0"/>
    <x v="0"/>
    <x v="2"/>
    <x v="1"/>
  </r>
  <r>
    <s v="Singapore"/>
    <x v="5"/>
    <s v="SG4"/>
    <m/>
    <x v="5"/>
    <x v="2"/>
    <x v="1"/>
    <x v="2"/>
    <x v="0"/>
    <x v="0"/>
    <x v="0"/>
    <m/>
    <x v="0"/>
    <x v="0"/>
    <n v="-9.3474000000000002E-2"/>
    <m/>
    <x v="0"/>
    <x v="3"/>
    <x v="0"/>
    <x v="0"/>
    <x v="0"/>
  </r>
  <r>
    <s v="Singapore"/>
    <x v="3"/>
    <s v="SG3"/>
    <m/>
    <x v="5"/>
    <x v="3"/>
    <x v="0"/>
    <x v="1"/>
    <x v="0"/>
    <x v="0"/>
    <x v="0"/>
    <m/>
    <x v="0"/>
    <x v="0"/>
    <n v="-0.12463200000000001"/>
    <m/>
    <x v="0"/>
    <x v="2"/>
    <x v="0"/>
    <x v="2"/>
    <x v="0"/>
  </r>
  <r>
    <s v="Singapore"/>
    <x v="2"/>
    <s v="SG1"/>
    <m/>
    <x v="5"/>
    <x v="4"/>
    <x v="2"/>
    <x v="3"/>
    <x v="0"/>
    <x v="0"/>
    <x v="0"/>
    <m/>
    <x v="0"/>
    <x v="0"/>
    <n v="0.29600100000000001"/>
    <m/>
    <x v="8"/>
    <x v="0"/>
    <x v="0"/>
    <x v="3"/>
    <x v="2"/>
  </r>
  <r>
    <s v="Singapore"/>
    <x v="4"/>
    <s v="SG2"/>
    <m/>
    <x v="0"/>
    <x v="3"/>
    <x v="0"/>
    <x v="3"/>
    <x v="0"/>
    <x v="0"/>
    <x v="0"/>
    <m/>
    <x v="0"/>
    <x v="0"/>
    <n v="0.85684500000000008"/>
    <m/>
    <x v="1"/>
    <x v="2"/>
    <x v="0"/>
    <x v="4"/>
    <x v="0"/>
  </r>
  <r>
    <s v="Singapore"/>
    <x v="3"/>
    <s v="SG4"/>
    <m/>
    <x v="0"/>
    <x v="4"/>
    <x v="2"/>
    <x v="1"/>
    <x v="0"/>
    <x v="0"/>
    <x v="0"/>
    <m/>
    <x v="0"/>
    <x v="0"/>
    <n v="-0.12463200000000001"/>
    <m/>
    <x v="0"/>
    <x v="1"/>
    <x v="0"/>
    <x v="5"/>
    <x v="0"/>
  </r>
  <r>
    <s v="Singapore"/>
    <x v="1"/>
    <s v="SG2"/>
    <m/>
    <x v="0"/>
    <x v="2"/>
    <x v="2"/>
    <x v="0"/>
    <x v="0"/>
    <x v="0"/>
    <x v="0"/>
    <m/>
    <x v="0"/>
    <x v="0"/>
    <n v="0.20252700000000001"/>
    <m/>
    <x v="2"/>
    <x v="3"/>
    <x v="0"/>
    <x v="4"/>
    <x v="1"/>
  </r>
  <r>
    <s v="Singapore"/>
    <x v="1"/>
    <s v="SG1"/>
    <m/>
    <x v="2"/>
    <x v="0"/>
    <x v="1"/>
    <x v="4"/>
    <x v="0"/>
    <x v="0"/>
    <x v="0"/>
    <m/>
    <x v="0"/>
    <x v="0"/>
    <n v="2.437381287"/>
    <m/>
    <x v="8"/>
    <x v="1"/>
    <x v="0"/>
    <x v="0"/>
    <x v="2"/>
  </r>
  <r>
    <s v="Singapore"/>
    <x v="5"/>
    <s v="SG3"/>
    <m/>
    <x v="1"/>
    <x v="4"/>
    <x v="3"/>
    <x v="0"/>
    <x v="0"/>
    <x v="0"/>
    <x v="0"/>
    <m/>
    <x v="0"/>
    <x v="0"/>
    <n v="-0.70105499999999998"/>
    <m/>
    <x v="4"/>
    <x v="1"/>
    <x v="0"/>
    <x v="5"/>
    <x v="1"/>
  </r>
  <r>
    <s v="Singapore"/>
    <x v="0"/>
    <s v="SG3"/>
    <m/>
    <x v="2"/>
    <x v="2"/>
    <x v="2"/>
    <x v="5"/>
    <x v="0"/>
    <x v="0"/>
    <x v="0"/>
    <m/>
    <x v="0"/>
    <x v="0"/>
    <n v="-0.280422"/>
    <m/>
    <x v="0"/>
    <x v="0"/>
    <x v="0"/>
    <x v="2"/>
    <x v="2"/>
  </r>
  <r>
    <s v="Singapore"/>
    <x v="0"/>
    <s v="SG3"/>
    <m/>
    <x v="3"/>
    <x v="3"/>
    <x v="4"/>
    <x v="2"/>
    <x v="0"/>
    <x v="0"/>
    <x v="0"/>
    <m/>
    <x v="0"/>
    <x v="0"/>
    <n v="0.24926400000000001"/>
    <m/>
    <x v="0"/>
    <x v="0"/>
    <x v="0"/>
    <x v="5"/>
    <x v="2"/>
  </r>
  <r>
    <s v="Singapore"/>
    <x v="1"/>
    <s v="SG4"/>
    <m/>
    <x v="1"/>
    <x v="4"/>
    <x v="2"/>
    <x v="2"/>
    <x v="0"/>
    <x v="0"/>
    <x v="0"/>
    <m/>
    <x v="0"/>
    <x v="0"/>
    <n v="-0.17136900000000002"/>
    <m/>
    <x v="8"/>
    <x v="3"/>
    <x v="0"/>
    <x v="1"/>
    <x v="1"/>
  </r>
  <r>
    <s v="Singapore"/>
    <x v="1"/>
    <s v="SG3"/>
    <m/>
    <x v="0"/>
    <x v="3"/>
    <x v="3"/>
    <x v="3"/>
    <x v="0"/>
    <x v="0"/>
    <x v="0"/>
    <m/>
    <x v="0"/>
    <x v="0"/>
    <n v="-0.24926400000000001"/>
    <m/>
    <x v="0"/>
    <x v="2"/>
    <x v="0"/>
    <x v="2"/>
    <x v="2"/>
  </r>
  <r>
    <s v="Singapore"/>
    <x v="2"/>
    <s v="SG4"/>
    <m/>
    <x v="2"/>
    <x v="4"/>
    <x v="1"/>
    <x v="5"/>
    <x v="0"/>
    <x v="0"/>
    <x v="0"/>
    <m/>
    <x v="0"/>
    <x v="0"/>
    <n v="-0.1838322"/>
    <m/>
    <x v="4"/>
    <x v="0"/>
    <x v="0"/>
    <x v="1"/>
    <x v="1"/>
  </r>
  <r>
    <s v="Singapore"/>
    <x v="5"/>
    <s v="SG1"/>
    <m/>
    <x v="4"/>
    <x v="4"/>
    <x v="3"/>
    <x v="5"/>
    <x v="0"/>
    <x v="0"/>
    <x v="0"/>
    <m/>
    <x v="0"/>
    <x v="0"/>
    <n v="1.2307410000000001"/>
    <m/>
    <x v="1"/>
    <x v="3"/>
    <x v="0"/>
    <x v="4"/>
    <x v="0"/>
  </r>
  <r>
    <s v="Singapore"/>
    <x v="0"/>
    <s v="SG3"/>
    <m/>
    <x v="0"/>
    <x v="3"/>
    <x v="3"/>
    <x v="3"/>
    <x v="0"/>
    <x v="0"/>
    <x v="0"/>
    <m/>
    <x v="0"/>
    <x v="0"/>
    <n v="-28.291464000000001"/>
    <m/>
    <x v="2"/>
    <x v="0"/>
    <x v="0"/>
    <x v="0"/>
    <x v="0"/>
  </r>
  <r>
    <s v="Singapore"/>
    <x v="3"/>
    <s v="SG3"/>
    <m/>
    <x v="0"/>
    <x v="1"/>
    <x v="4"/>
    <x v="3"/>
    <x v="0"/>
    <x v="0"/>
    <x v="0"/>
    <m/>
    <x v="0"/>
    <x v="0"/>
    <n v="2.212218"/>
    <m/>
    <x v="1"/>
    <x v="3"/>
    <x v="0"/>
    <x v="4"/>
    <x v="1"/>
  </r>
  <r>
    <s v="Singapore"/>
    <x v="1"/>
    <s v="SG4"/>
    <m/>
    <x v="0"/>
    <x v="4"/>
    <x v="2"/>
    <x v="4"/>
    <x v="0"/>
    <x v="0"/>
    <x v="0"/>
    <m/>
    <x v="0"/>
    <x v="0"/>
    <n v="-2.4976720170000002"/>
    <m/>
    <x v="4"/>
    <x v="1"/>
    <x v="0"/>
    <x v="0"/>
    <x v="2"/>
  </r>
  <r>
    <s v="Singapore"/>
    <x v="4"/>
    <s v="SG1"/>
    <m/>
    <x v="5"/>
    <x v="2"/>
    <x v="1"/>
    <x v="3"/>
    <x v="0"/>
    <x v="0"/>
    <x v="0"/>
    <m/>
    <x v="0"/>
    <x v="0"/>
    <n v="1.1917935000000002"/>
    <m/>
    <x v="1"/>
    <x v="1"/>
    <x v="0"/>
    <x v="4"/>
    <x v="2"/>
  </r>
  <r>
    <s v="Singapore"/>
    <x v="0"/>
    <s v="SG3"/>
    <m/>
    <x v="5"/>
    <x v="1"/>
    <x v="1"/>
    <x v="5"/>
    <x v="0"/>
    <x v="0"/>
    <x v="0"/>
    <m/>
    <x v="0"/>
    <x v="0"/>
    <n v="-0.1838322"/>
    <m/>
    <x v="4"/>
    <x v="0"/>
    <x v="0"/>
    <x v="2"/>
    <x v="2"/>
  </r>
  <r>
    <s v="Singapore"/>
    <x v="0"/>
    <s v="SG3"/>
    <m/>
    <x v="3"/>
    <x v="2"/>
    <x v="0"/>
    <x v="2"/>
    <x v="0"/>
    <x v="0"/>
    <x v="0"/>
    <m/>
    <x v="0"/>
    <x v="0"/>
    <n v="-1.09053"/>
    <m/>
    <x v="4"/>
    <x v="2"/>
    <x v="0"/>
    <x v="5"/>
    <x v="0"/>
  </r>
  <r>
    <s v="Singapore"/>
    <x v="5"/>
    <s v="SG4"/>
    <m/>
    <x v="3"/>
    <x v="4"/>
    <x v="3"/>
    <x v="3"/>
    <x v="0"/>
    <x v="0"/>
    <x v="0"/>
    <m/>
    <x v="0"/>
    <x v="0"/>
    <n v="-3.1616489970000003"/>
    <m/>
    <x v="0"/>
    <x v="2"/>
    <x v="0"/>
    <x v="5"/>
    <x v="1"/>
  </r>
  <r>
    <s v="Singapore"/>
    <x v="2"/>
    <s v="SG3"/>
    <m/>
    <x v="5"/>
    <x v="0"/>
    <x v="4"/>
    <x v="4"/>
    <x v="0"/>
    <x v="0"/>
    <x v="0"/>
    <m/>
    <x v="0"/>
    <x v="0"/>
    <n v="4.4789625E-2"/>
    <m/>
    <x v="6"/>
    <x v="3"/>
    <x v="0"/>
    <x v="3"/>
    <x v="0"/>
  </r>
  <r>
    <s v="Singapore"/>
    <x v="0"/>
    <s v="SG1"/>
    <m/>
    <x v="3"/>
    <x v="4"/>
    <x v="3"/>
    <x v="2"/>
    <x v="0"/>
    <x v="0"/>
    <x v="0"/>
    <m/>
    <x v="0"/>
    <x v="0"/>
    <n v="-3.1158000000000001"/>
    <m/>
    <x v="0"/>
    <x v="2"/>
    <x v="0"/>
    <x v="0"/>
    <x v="2"/>
  </r>
  <r>
    <s v="Singapore"/>
    <x v="4"/>
    <s v="SG4"/>
    <m/>
    <x v="1"/>
    <x v="2"/>
    <x v="4"/>
    <x v="0"/>
    <x v="0"/>
    <x v="0"/>
    <x v="0"/>
    <m/>
    <x v="0"/>
    <x v="0"/>
    <n v="0.46737000000000001"/>
    <m/>
    <x v="0"/>
    <x v="0"/>
    <x v="0"/>
    <x v="5"/>
    <x v="1"/>
  </r>
  <r>
    <s v="Singapore"/>
    <x v="1"/>
    <s v="SG1"/>
    <m/>
    <x v="5"/>
    <x v="3"/>
    <x v="4"/>
    <x v="0"/>
    <x v="0"/>
    <x v="0"/>
    <x v="0"/>
    <m/>
    <x v="0"/>
    <x v="0"/>
    <n v="-1.86948"/>
    <m/>
    <x v="4"/>
    <x v="0"/>
    <x v="0"/>
    <x v="3"/>
    <x v="0"/>
  </r>
  <r>
    <s v="Singapore"/>
    <x v="1"/>
    <s v="SG1"/>
    <m/>
    <x v="2"/>
    <x v="3"/>
    <x v="2"/>
    <x v="3"/>
    <x v="0"/>
    <x v="0"/>
    <x v="0"/>
    <m/>
    <x v="0"/>
    <x v="0"/>
    <n v="-103.093518393"/>
    <m/>
    <x v="4"/>
    <x v="2"/>
    <x v="0"/>
    <x v="2"/>
    <x v="1"/>
  </r>
  <r>
    <s v="Singapore"/>
    <x v="3"/>
    <s v="SG1"/>
    <m/>
    <x v="0"/>
    <x v="2"/>
    <x v="3"/>
    <x v="4"/>
    <x v="0"/>
    <x v="0"/>
    <x v="0"/>
    <m/>
    <x v="0"/>
    <x v="0"/>
    <n v="1.0801232280000002"/>
    <m/>
    <x v="1"/>
    <x v="2"/>
    <x v="0"/>
    <x v="1"/>
    <x v="1"/>
  </r>
  <r>
    <s v="Singapore"/>
    <x v="4"/>
    <s v="SG1"/>
    <m/>
    <x v="0"/>
    <x v="0"/>
    <x v="1"/>
    <x v="0"/>
    <x v="0"/>
    <x v="0"/>
    <x v="0"/>
    <m/>
    <x v="0"/>
    <x v="0"/>
    <n v="-1.5579000000000001E-2"/>
    <m/>
    <x v="0"/>
    <x v="0"/>
    <x v="0"/>
    <x v="3"/>
    <x v="1"/>
  </r>
  <r>
    <s v="Singapore"/>
    <x v="0"/>
    <s v="SG4"/>
    <m/>
    <x v="5"/>
    <x v="3"/>
    <x v="1"/>
    <x v="0"/>
    <x v="0"/>
    <x v="0"/>
    <x v="0"/>
    <m/>
    <x v="0"/>
    <x v="0"/>
    <n v="-4.6737000000000001E-2"/>
    <m/>
    <x v="0"/>
    <x v="2"/>
    <x v="0"/>
    <x v="2"/>
    <x v="2"/>
  </r>
  <r>
    <s v="Singapore"/>
    <x v="3"/>
    <s v="SG3"/>
    <m/>
    <x v="5"/>
    <x v="3"/>
    <x v="4"/>
    <x v="3"/>
    <x v="0"/>
    <x v="0"/>
    <x v="0"/>
    <m/>
    <x v="0"/>
    <x v="0"/>
    <n v="-7.7895000000000006E-2"/>
    <m/>
    <x v="4"/>
    <x v="2"/>
    <x v="0"/>
    <x v="2"/>
    <x v="2"/>
  </r>
  <r>
    <s v="Singapore"/>
    <x v="2"/>
    <s v="SG4"/>
    <m/>
    <x v="2"/>
    <x v="4"/>
    <x v="3"/>
    <x v="0"/>
    <x v="0"/>
    <x v="0"/>
    <x v="0"/>
    <m/>
    <x v="0"/>
    <x v="0"/>
    <n v="-0.12463200000000001"/>
    <m/>
    <x v="0"/>
    <x v="2"/>
    <x v="0"/>
    <x v="5"/>
    <x v="2"/>
  </r>
  <r>
    <s v="Singapore"/>
    <x v="2"/>
    <s v="SG1"/>
    <m/>
    <x v="3"/>
    <x v="4"/>
    <x v="2"/>
    <x v="0"/>
    <x v="0"/>
    <x v="0"/>
    <x v="0"/>
    <m/>
    <x v="0"/>
    <x v="0"/>
    <n v="0.44400150000000005"/>
    <m/>
    <x v="1"/>
    <x v="2"/>
    <x v="0"/>
    <x v="5"/>
    <x v="2"/>
  </r>
  <r>
    <s v="Singapore"/>
    <x v="2"/>
    <s v="SG1"/>
    <m/>
    <x v="0"/>
    <x v="2"/>
    <x v="0"/>
    <x v="4"/>
    <x v="0"/>
    <x v="0"/>
    <x v="0"/>
    <m/>
    <x v="0"/>
    <x v="0"/>
    <n v="3.4351695000000002"/>
    <m/>
    <x v="1"/>
    <x v="0"/>
    <x v="0"/>
    <x v="5"/>
    <x v="1"/>
  </r>
  <r>
    <s v="Singapore"/>
    <x v="2"/>
    <s v="SG4"/>
    <m/>
    <x v="0"/>
    <x v="0"/>
    <x v="4"/>
    <x v="3"/>
    <x v="0"/>
    <x v="0"/>
    <x v="0"/>
    <m/>
    <x v="0"/>
    <x v="0"/>
    <n v="0.6180656670000001"/>
    <m/>
    <x v="8"/>
    <x v="3"/>
    <x v="0"/>
    <x v="4"/>
    <x v="1"/>
  </r>
  <r>
    <s v="Singapore"/>
    <x v="1"/>
    <s v="SG2"/>
    <m/>
    <x v="1"/>
    <x v="2"/>
    <x v="4"/>
    <x v="5"/>
    <x v="0"/>
    <x v="0"/>
    <x v="0"/>
    <m/>
    <x v="0"/>
    <x v="0"/>
    <n v="294.75468000000001"/>
    <m/>
    <x v="5"/>
    <x v="1"/>
    <x v="0"/>
    <x v="4"/>
    <x v="1"/>
  </r>
  <r>
    <s v="Singapore"/>
    <x v="3"/>
    <s v="SG4"/>
    <m/>
    <x v="1"/>
    <x v="2"/>
    <x v="1"/>
    <x v="3"/>
    <x v="0"/>
    <x v="0"/>
    <x v="0"/>
    <m/>
    <x v="0"/>
    <x v="0"/>
    <n v="0.62316000000000005"/>
    <m/>
    <x v="1"/>
    <x v="0"/>
    <x v="0"/>
    <x v="0"/>
    <x v="1"/>
  </r>
  <r>
    <s v="Singapore"/>
    <x v="5"/>
    <s v="SG3"/>
    <m/>
    <x v="1"/>
    <x v="1"/>
    <x v="3"/>
    <x v="5"/>
    <x v="0"/>
    <x v="0"/>
    <x v="0"/>
    <m/>
    <x v="0"/>
    <x v="0"/>
    <n v="-13.350984894000002"/>
    <m/>
    <x v="0"/>
    <x v="1"/>
    <x v="0"/>
    <x v="1"/>
    <x v="1"/>
  </r>
  <r>
    <s v="Singapore"/>
    <x v="5"/>
    <s v="SG3"/>
    <m/>
    <x v="0"/>
    <x v="3"/>
    <x v="2"/>
    <x v="2"/>
    <x v="0"/>
    <x v="0"/>
    <x v="0"/>
    <m/>
    <x v="0"/>
    <x v="0"/>
    <n v="-0.1838322"/>
    <m/>
    <x v="4"/>
    <x v="3"/>
    <x v="0"/>
    <x v="1"/>
    <x v="0"/>
  </r>
  <r>
    <s v="Singapore"/>
    <x v="0"/>
    <s v="SG3"/>
    <m/>
    <x v="2"/>
    <x v="3"/>
    <x v="4"/>
    <x v="4"/>
    <x v="0"/>
    <x v="0"/>
    <x v="0"/>
    <m/>
    <x v="0"/>
    <x v="0"/>
    <n v="1.1365659450000001"/>
    <m/>
    <x v="1"/>
    <x v="3"/>
    <x v="0"/>
    <x v="0"/>
    <x v="1"/>
  </r>
  <r>
    <s v="Singapore"/>
    <x v="0"/>
    <s v="SG2"/>
    <m/>
    <x v="0"/>
    <x v="2"/>
    <x v="1"/>
    <x v="4"/>
    <x v="0"/>
    <x v="0"/>
    <x v="0"/>
    <m/>
    <x v="0"/>
    <x v="0"/>
    <n v="-0.7290972"/>
    <m/>
    <x v="2"/>
    <x v="2"/>
    <x v="0"/>
    <x v="4"/>
    <x v="0"/>
  </r>
  <r>
    <s v="Singapore"/>
    <x v="4"/>
    <s v="SG1"/>
    <m/>
    <x v="0"/>
    <x v="3"/>
    <x v="4"/>
    <x v="3"/>
    <x v="0"/>
    <x v="0"/>
    <x v="0"/>
    <m/>
    <x v="0"/>
    <x v="0"/>
    <n v="-9.6060113999999999"/>
    <m/>
    <x v="4"/>
    <x v="0"/>
    <x v="0"/>
    <x v="4"/>
    <x v="0"/>
  </r>
  <r>
    <s v="Singapore"/>
    <x v="5"/>
    <s v="SG4"/>
    <m/>
    <x v="1"/>
    <x v="4"/>
    <x v="4"/>
    <x v="1"/>
    <x v="0"/>
    <x v="0"/>
    <x v="0"/>
    <m/>
    <x v="0"/>
    <x v="0"/>
    <n v="-3.8246445000000002"/>
    <m/>
    <x v="1"/>
    <x v="2"/>
    <x v="0"/>
    <x v="1"/>
    <x v="0"/>
  </r>
  <r>
    <s v="Singapore"/>
    <x v="3"/>
    <s v="SG1"/>
    <m/>
    <x v="2"/>
    <x v="0"/>
    <x v="0"/>
    <x v="2"/>
    <x v="0"/>
    <x v="0"/>
    <x v="0"/>
    <m/>
    <x v="0"/>
    <x v="0"/>
    <n v="1.5097608900000001"/>
    <m/>
    <x v="1"/>
    <x v="0"/>
    <x v="0"/>
    <x v="1"/>
    <x v="0"/>
  </r>
  <r>
    <s v="Singapore"/>
    <x v="4"/>
    <s v="SG4"/>
    <m/>
    <x v="4"/>
    <x v="2"/>
    <x v="1"/>
    <x v="1"/>
    <x v="0"/>
    <x v="0"/>
    <x v="0"/>
    <m/>
    <x v="0"/>
    <x v="0"/>
    <n v="2.212218"/>
    <m/>
    <x v="1"/>
    <x v="3"/>
    <x v="0"/>
    <x v="3"/>
    <x v="2"/>
  </r>
  <r>
    <s v="Singapore"/>
    <x v="1"/>
    <s v="SG3"/>
    <m/>
    <x v="5"/>
    <x v="4"/>
    <x v="0"/>
    <x v="1"/>
    <x v="0"/>
    <x v="0"/>
    <x v="0"/>
    <m/>
    <x v="0"/>
    <x v="0"/>
    <n v="-4.6737000000000001E-2"/>
    <m/>
    <x v="0"/>
    <x v="0"/>
    <x v="0"/>
    <x v="5"/>
    <x v="1"/>
  </r>
  <r>
    <s v="Singapore"/>
    <x v="1"/>
    <s v="SG3"/>
    <m/>
    <x v="4"/>
    <x v="0"/>
    <x v="3"/>
    <x v="0"/>
    <x v="0"/>
    <x v="0"/>
    <x v="0"/>
    <m/>
    <x v="0"/>
    <x v="0"/>
    <n v="-9.3474000000000005E-3"/>
    <m/>
    <x v="3"/>
    <x v="0"/>
    <x v="0"/>
    <x v="2"/>
    <x v="0"/>
  </r>
  <r>
    <s v="Singapore"/>
    <x v="3"/>
    <s v="SG3"/>
    <m/>
    <x v="1"/>
    <x v="4"/>
    <x v="4"/>
    <x v="1"/>
    <x v="0"/>
    <x v="0"/>
    <x v="0"/>
    <m/>
    <x v="0"/>
    <x v="0"/>
    <n v="-0.233685"/>
    <m/>
    <x v="0"/>
    <x v="0"/>
    <x v="0"/>
    <x v="4"/>
    <x v="2"/>
  </r>
  <r>
    <s v="Singapore"/>
    <x v="0"/>
    <s v="SG4"/>
    <m/>
    <x v="3"/>
    <x v="4"/>
    <x v="4"/>
    <x v="3"/>
    <x v="0"/>
    <x v="0"/>
    <x v="0"/>
    <m/>
    <x v="0"/>
    <x v="0"/>
    <n v="-0.38947500000000002"/>
    <m/>
    <x v="4"/>
    <x v="2"/>
    <x v="0"/>
    <x v="4"/>
    <x v="1"/>
  </r>
  <r>
    <s v="Singapore"/>
    <x v="5"/>
    <s v="SG4"/>
    <m/>
    <x v="1"/>
    <x v="0"/>
    <x v="0"/>
    <x v="3"/>
    <x v="0"/>
    <x v="0"/>
    <x v="0"/>
    <m/>
    <x v="0"/>
    <x v="0"/>
    <n v="0.20252700000000001"/>
    <m/>
    <x v="1"/>
    <x v="0"/>
    <x v="0"/>
    <x v="5"/>
    <x v="0"/>
  </r>
  <r>
    <s v="Singapore"/>
    <x v="0"/>
    <s v="SG1"/>
    <m/>
    <x v="0"/>
    <x v="3"/>
    <x v="3"/>
    <x v="4"/>
    <x v="0"/>
    <x v="0"/>
    <x v="0"/>
    <m/>
    <x v="0"/>
    <x v="0"/>
    <n v="-0.12463200000000001"/>
    <m/>
    <x v="4"/>
    <x v="3"/>
    <x v="0"/>
    <x v="0"/>
    <x v="1"/>
  </r>
  <r>
    <s v="Singapore"/>
    <x v="0"/>
    <s v="SG2"/>
    <m/>
    <x v="2"/>
    <x v="1"/>
    <x v="1"/>
    <x v="4"/>
    <x v="0"/>
    <x v="0"/>
    <x v="0"/>
    <m/>
    <x v="0"/>
    <x v="0"/>
    <n v="-4.6737000000000001E-2"/>
    <m/>
    <x v="0"/>
    <x v="2"/>
    <x v="0"/>
    <x v="0"/>
    <x v="0"/>
  </r>
  <r>
    <s v="Singapore"/>
    <x v="1"/>
    <s v="SG4"/>
    <m/>
    <x v="5"/>
    <x v="4"/>
    <x v="0"/>
    <x v="3"/>
    <x v="0"/>
    <x v="0"/>
    <x v="0"/>
    <m/>
    <x v="0"/>
    <x v="0"/>
    <n v="9.8884275119999998"/>
    <m/>
    <x v="4"/>
    <x v="2"/>
    <x v="0"/>
    <x v="0"/>
    <x v="2"/>
  </r>
  <r>
    <s v="Singapore"/>
    <x v="5"/>
    <s v="SG1"/>
    <m/>
    <x v="5"/>
    <x v="4"/>
    <x v="2"/>
    <x v="4"/>
    <x v="0"/>
    <x v="0"/>
    <x v="0"/>
    <m/>
    <x v="0"/>
    <x v="0"/>
    <n v="13.709520000000001"/>
    <m/>
    <x v="5"/>
    <x v="0"/>
    <x v="0"/>
    <x v="0"/>
    <x v="0"/>
  </r>
  <r>
    <s v="Singapore"/>
    <x v="4"/>
    <s v="SG2"/>
    <m/>
    <x v="1"/>
    <x v="3"/>
    <x v="0"/>
    <x v="0"/>
    <x v="0"/>
    <x v="0"/>
    <x v="0"/>
    <m/>
    <x v="0"/>
    <x v="0"/>
    <n v="-0.24926400000000001"/>
    <m/>
    <x v="0"/>
    <x v="0"/>
    <x v="0"/>
    <x v="0"/>
    <x v="1"/>
  </r>
  <r>
    <s v="Singapore"/>
    <x v="5"/>
    <s v="SG4"/>
    <m/>
    <x v="3"/>
    <x v="3"/>
    <x v="3"/>
    <x v="5"/>
    <x v="0"/>
    <x v="0"/>
    <x v="0"/>
    <m/>
    <x v="0"/>
    <x v="0"/>
    <n v="2.7616114350000003"/>
    <m/>
    <x v="8"/>
    <x v="3"/>
    <x v="0"/>
    <x v="5"/>
    <x v="2"/>
  </r>
  <r>
    <s v="Singapore"/>
    <x v="0"/>
    <s v="SG4"/>
    <m/>
    <x v="1"/>
    <x v="0"/>
    <x v="4"/>
    <x v="4"/>
    <x v="0"/>
    <x v="0"/>
    <x v="0"/>
    <m/>
    <x v="0"/>
    <x v="0"/>
    <n v="-11.450565000000001"/>
    <m/>
    <x v="5"/>
    <x v="0"/>
    <x v="0"/>
    <x v="0"/>
    <x v="0"/>
  </r>
  <r>
    <s v="Singapore"/>
    <x v="5"/>
    <s v="SG3"/>
    <m/>
    <x v="0"/>
    <x v="1"/>
    <x v="2"/>
    <x v="4"/>
    <x v="0"/>
    <x v="0"/>
    <x v="0"/>
    <m/>
    <x v="0"/>
    <x v="0"/>
    <n v="-0.70105499999999998"/>
    <m/>
    <x v="4"/>
    <x v="0"/>
    <x v="0"/>
    <x v="4"/>
    <x v="0"/>
  </r>
  <r>
    <s v="Singapore"/>
    <x v="3"/>
    <s v="SG4"/>
    <m/>
    <x v="1"/>
    <x v="0"/>
    <x v="2"/>
    <x v="0"/>
    <x v="0"/>
    <x v="0"/>
    <x v="0"/>
    <m/>
    <x v="0"/>
    <x v="0"/>
    <n v="3.0846420000000001"/>
    <m/>
    <x v="0"/>
    <x v="3"/>
    <x v="0"/>
    <x v="3"/>
    <x v="0"/>
  </r>
  <r>
    <s v="Singapore"/>
    <x v="5"/>
    <s v="SG1"/>
    <m/>
    <x v="4"/>
    <x v="4"/>
    <x v="2"/>
    <x v="1"/>
    <x v="0"/>
    <x v="0"/>
    <x v="0"/>
    <m/>
    <x v="0"/>
    <x v="0"/>
    <n v="-7.7895000000000006E-2"/>
    <m/>
    <x v="0"/>
    <x v="3"/>
    <x v="0"/>
    <x v="0"/>
    <x v="1"/>
  </r>
  <r>
    <s v="Singapore"/>
    <x v="2"/>
    <s v="SG4"/>
    <m/>
    <x v="4"/>
    <x v="1"/>
    <x v="3"/>
    <x v="3"/>
    <x v="0"/>
    <x v="0"/>
    <x v="0"/>
    <m/>
    <x v="0"/>
    <x v="0"/>
    <n v="-7.0105500000000001E-2"/>
    <m/>
    <x v="4"/>
    <x v="2"/>
    <x v="0"/>
    <x v="3"/>
    <x v="1"/>
  </r>
  <r>
    <s v="Singapore"/>
    <x v="3"/>
    <s v="SG1"/>
    <m/>
    <x v="2"/>
    <x v="4"/>
    <x v="4"/>
    <x v="3"/>
    <x v="0"/>
    <x v="0"/>
    <x v="0"/>
    <m/>
    <x v="0"/>
    <x v="0"/>
    <n v="0.77895000000000003"/>
    <m/>
    <x v="8"/>
    <x v="2"/>
    <x v="0"/>
    <x v="0"/>
    <x v="2"/>
  </r>
  <r>
    <s v="Singapore"/>
    <x v="0"/>
    <s v="SG2"/>
    <m/>
    <x v="4"/>
    <x v="1"/>
    <x v="0"/>
    <x v="1"/>
    <x v="0"/>
    <x v="0"/>
    <x v="0"/>
    <m/>
    <x v="0"/>
    <x v="0"/>
    <n v="-25.252001100000001"/>
    <m/>
    <x v="3"/>
    <x v="3"/>
    <x v="0"/>
    <x v="1"/>
    <x v="1"/>
  </r>
  <r>
    <s v="Singapore"/>
    <x v="5"/>
    <s v="SG2"/>
    <m/>
    <x v="2"/>
    <x v="1"/>
    <x v="4"/>
    <x v="4"/>
    <x v="0"/>
    <x v="0"/>
    <x v="0"/>
    <m/>
    <x v="0"/>
    <x v="0"/>
    <n v="0.37389600000000001"/>
    <m/>
    <x v="1"/>
    <x v="3"/>
    <x v="0"/>
    <x v="3"/>
    <x v="2"/>
  </r>
  <r>
    <s v="Singapore"/>
    <x v="2"/>
    <s v="SG3"/>
    <m/>
    <x v="4"/>
    <x v="4"/>
    <x v="1"/>
    <x v="3"/>
    <x v="0"/>
    <x v="0"/>
    <x v="0"/>
    <m/>
    <x v="0"/>
    <x v="0"/>
    <n v="-0.77895000000000003"/>
    <m/>
    <x v="4"/>
    <x v="1"/>
    <x v="0"/>
    <x v="1"/>
    <x v="2"/>
  </r>
  <r>
    <s v="Singapore"/>
    <x v="4"/>
    <s v="SG4"/>
    <m/>
    <x v="2"/>
    <x v="4"/>
    <x v="0"/>
    <x v="1"/>
    <x v="0"/>
    <x v="0"/>
    <x v="0"/>
    <m/>
    <x v="0"/>
    <x v="0"/>
    <n v="0.21810600000000002"/>
    <m/>
    <x v="4"/>
    <x v="0"/>
    <x v="0"/>
    <x v="4"/>
    <x v="0"/>
  </r>
  <r>
    <s v="Singapore"/>
    <x v="0"/>
    <s v="SG2"/>
    <m/>
    <x v="3"/>
    <x v="2"/>
    <x v="2"/>
    <x v="1"/>
    <x v="0"/>
    <x v="0"/>
    <x v="0"/>
    <m/>
    <x v="0"/>
    <x v="0"/>
    <n v="-0.12463200000000001"/>
    <m/>
    <x v="0"/>
    <x v="1"/>
    <x v="0"/>
    <x v="5"/>
    <x v="0"/>
  </r>
  <r>
    <s v="Singapore"/>
    <x v="5"/>
    <s v="SG3"/>
    <m/>
    <x v="4"/>
    <x v="3"/>
    <x v="1"/>
    <x v="0"/>
    <x v="0"/>
    <x v="0"/>
    <x v="0"/>
    <m/>
    <x v="0"/>
    <x v="0"/>
    <n v="-0.21810600000000002"/>
    <m/>
    <x v="4"/>
    <x v="0"/>
    <x v="0"/>
    <x v="5"/>
    <x v="0"/>
  </r>
  <r>
    <s v="Singapore"/>
    <x v="2"/>
    <s v="SG4"/>
    <m/>
    <x v="5"/>
    <x v="1"/>
    <x v="4"/>
    <x v="2"/>
    <x v="0"/>
    <x v="0"/>
    <x v="0"/>
    <m/>
    <x v="0"/>
    <x v="0"/>
    <n v="-0.14055373800000001"/>
    <m/>
    <x v="3"/>
    <x v="1"/>
    <x v="0"/>
    <x v="4"/>
    <x v="1"/>
  </r>
  <r>
    <s v="Singapore"/>
    <x v="0"/>
    <s v="SG4"/>
    <m/>
    <x v="5"/>
    <x v="0"/>
    <x v="3"/>
    <x v="0"/>
    <x v="0"/>
    <x v="0"/>
    <x v="0"/>
    <m/>
    <x v="0"/>
    <x v="0"/>
    <n v="-0.21810600000000002"/>
    <m/>
    <x v="4"/>
    <x v="0"/>
    <x v="0"/>
    <x v="3"/>
    <x v="1"/>
  </r>
  <r>
    <s v="Singapore"/>
    <x v="5"/>
    <s v="SG4"/>
    <m/>
    <x v="4"/>
    <x v="1"/>
    <x v="1"/>
    <x v="5"/>
    <x v="0"/>
    <x v="0"/>
    <x v="0"/>
    <m/>
    <x v="0"/>
    <x v="0"/>
    <n v="0.683528625"/>
    <m/>
    <x v="8"/>
    <x v="0"/>
    <x v="0"/>
    <x v="0"/>
    <x v="2"/>
  </r>
  <r>
    <s v="Singapore"/>
    <x v="1"/>
    <s v="SG3"/>
    <m/>
    <x v="0"/>
    <x v="3"/>
    <x v="1"/>
    <x v="3"/>
    <x v="0"/>
    <x v="0"/>
    <x v="0"/>
    <m/>
    <x v="0"/>
    <x v="0"/>
    <n v="-3.1158000000000002E-2"/>
    <m/>
    <x v="0"/>
    <x v="2"/>
    <x v="0"/>
    <x v="4"/>
    <x v="1"/>
  </r>
  <r>
    <s v="Singapore"/>
    <x v="5"/>
    <s v="SG2"/>
    <m/>
    <x v="4"/>
    <x v="4"/>
    <x v="4"/>
    <x v="3"/>
    <x v="0"/>
    <x v="0"/>
    <x v="0"/>
    <m/>
    <x v="0"/>
    <x v="0"/>
    <n v="-0.17136900000000002"/>
    <m/>
    <x v="8"/>
    <x v="2"/>
    <x v="0"/>
    <x v="0"/>
    <x v="0"/>
  </r>
  <r>
    <s v="Singapore"/>
    <x v="4"/>
    <s v="SG2"/>
    <m/>
    <x v="4"/>
    <x v="4"/>
    <x v="3"/>
    <x v="4"/>
    <x v="0"/>
    <x v="0"/>
    <x v="0"/>
    <m/>
    <x v="0"/>
    <x v="0"/>
    <n v="7.7895000000000004E-3"/>
    <m/>
    <x v="0"/>
    <x v="3"/>
    <x v="0"/>
    <x v="3"/>
    <x v="0"/>
  </r>
  <r>
    <s v="Singapore"/>
    <x v="1"/>
    <s v="SG2"/>
    <m/>
    <x v="3"/>
    <x v="0"/>
    <x v="2"/>
    <x v="1"/>
    <x v="0"/>
    <x v="0"/>
    <x v="0"/>
    <m/>
    <x v="0"/>
    <x v="0"/>
    <n v="-0.37389600000000001"/>
    <m/>
    <x v="4"/>
    <x v="2"/>
    <x v="0"/>
    <x v="3"/>
    <x v="0"/>
  </r>
  <r>
    <s v="Singapore"/>
    <x v="3"/>
    <s v="SG1"/>
    <m/>
    <x v="4"/>
    <x v="0"/>
    <x v="4"/>
    <x v="0"/>
    <x v="0"/>
    <x v="0"/>
    <x v="0"/>
    <m/>
    <x v="0"/>
    <x v="0"/>
    <n v="-0.46737000000000001"/>
    <m/>
    <x v="1"/>
    <x v="3"/>
    <x v="0"/>
    <x v="4"/>
    <x v="0"/>
  </r>
  <r>
    <s v="Singapore"/>
    <x v="5"/>
    <s v="SG2"/>
    <m/>
    <x v="4"/>
    <x v="0"/>
    <x v="4"/>
    <x v="5"/>
    <x v="0"/>
    <x v="0"/>
    <x v="0"/>
    <m/>
    <x v="0"/>
    <x v="0"/>
    <n v="-4.5132363"/>
    <m/>
    <x v="4"/>
    <x v="2"/>
    <x v="0"/>
    <x v="5"/>
    <x v="1"/>
  </r>
  <r>
    <s v="Singapore"/>
    <x v="1"/>
    <s v="SG3"/>
    <m/>
    <x v="4"/>
    <x v="0"/>
    <x v="2"/>
    <x v="5"/>
    <x v="0"/>
    <x v="0"/>
    <x v="0"/>
    <m/>
    <x v="0"/>
    <x v="0"/>
    <n v="-0.24926400000000001"/>
    <m/>
    <x v="4"/>
    <x v="2"/>
    <x v="0"/>
    <x v="1"/>
    <x v="0"/>
  </r>
  <r>
    <s v="Singapore"/>
    <x v="4"/>
    <s v="SG3"/>
    <m/>
    <x v="0"/>
    <x v="3"/>
    <x v="0"/>
    <x v="2"/>
    <x v="0"/>
    <x v="0"/>
    <x v="0"/>
    <m/>
    <x v="0"/>
    <x v="0"/>
    <n v="-4.6737000000000001E-2"/>
    <m/>
    <x v="0"/>
    <x v="1"/>
    <x v="0"/>
    <x v="2"/>
    <x v="2"/>
  </r>
  <r>
    <s v="Singapore"/>
    <x v="1"/>
    <s v="SG2"/>
    <m/>
    <x v="3"/>
    <x v="0"/>
    <x v="1"/>
    <x v="5"/>
    <x v="0"/>
    <x v="0"/>
    <x v="0"/>
    <m/>
    <x v="0"/>
    <x v="0"/>
    <n v="-0.545265"/>
    <m/>
    <x v="1"/>
    <x v="2"/>
    <x v="0"/>
    <x v="5"/>
    <x v="2"/>
  </r>
  <r>
    <s v="Singapore"/>
    <x v="0"/>
    <s v="SG4"/>
    <m/>
    <x v="0"/>
    <x v="1"/>
    <x v="2"/>
    <x v="0"/>
    <x v="0"/>
    <x v="0"/>
    <x v="0"/>
    <m/>
    <x v="0"/>
    <x v="0"/>
    <n v="4.75175079"/>
    <m/>
    <x v="2"/>
    <x v="3"/>
    <x v="0"/>
    <x v="0"/>
    <x v="0"/>
  </r>
  <r>
    <s v="Singapore"/>
    <x v="0"/>
    <s v="SG4"/>
    <m/>
    <x v="2"/>
    <x v="2"/>
    <x v="4"/>
    <x v="5"/>
    <x v="0"/>
    <x v="0"/>
    <x v="0"/>
    <m/>
    <x v="0"/>
    <x v="0"/>
    <n v="-6.8438547000000002E-2"/>
    <m/>
    <x v="3"/>
    <x v="2"/>
    <x v="0"/>
    <x v="2"/>
    <x v="0"/>
  </r>
  <r>
    <s v="Singapore"/>
    <x v="0"/>
    <s v="SG1"/>
    <m/>
    <x v="1"/>
    <x v="0"/>
    <x v="2"/>
    <x v="0"/>
    <x v="0"/>
    <x v="0"/>
    <x v="0"/>
    <m/>
    <x v="0"/>
    <x v="0"/>
    <n v="-2.18106"/>
    <m/>
    <x v="4"/>
    <x v="1"/>
    <x v="0"/>
    <x v="0"/>
    <x v="0"/>
  </r>
  <r>
    <s v="Singapore"/>
    <x v="4"/>
    <s v="SG4"/>
    <m/>
    <x v="2"/>
    <x v="3"/>
    <x v="4"/>
    <x v="2"/>
    <x v="0"/>
    <x v="0"/>
    <x v="0"/>
    <m/>
    <x v="0"/>
    <x v="0"/>
    <n v="-139.58784"/>
    <m/>
    <x v="4"/>
    <x v="3"/>
    <x v="0"/>
    <x v="3"/>
    <x v="1"/>
  </r>
  <r>
    <s v="Singapore"/>
    <x v="1"/>
    <s v="SG1"/>
    <m/>
    <x v="3"/>
    <x v="4"/>
    <x v="3"/>
    <x v="2"/>
    <x v="0"/>
    <x v="0"/>
    <x v="0"/>
    <m/>
    <x v="0"/>
    <x v="0"/>
    <n v="1.2463200000000001E-2"/>
    <m/>
    <x v="6"/>
    <x v="1"/>
    <x v="0"/>
    <x v="0"/>
    <x v="0"/>
  </r>
  <r>
    <s v="Singapore"/>
    <x v="5"/>
    <s v="SG4"/>
    <m/>
    <x v="1"/>
    <x v="3"/>
    <x v="1"/>
    <x v="3"/>
    <x v="0"/>
    <x v="0"/>
    <x v="0"/>
    <m/>
    <x v="0"/>
    <x v="0"/>
    <n v="9.8957808000000008E-2"/>
    <m/>
    <x v="8"/>
    <x v="3"/>
    <x v="0"/>
    <x v="3"/>
    <x v="0"/>
  </r>
  <r>
    <s v="Singapore"/>
    <x v="4"/>
    <s v="SG2"/>
    <m/>
    <x v="3"/>
    <x v="4"/>
    <x v="3"/>
    <x v="3"/>
    <x v="0"/>
    <x v="0"/>
    <x v="0"/>
    <m/>
    <x v="0"/>
    <x v="0"/>
    <n v="-0.74779200000000001"/>
    <m/>
    <x v="4"/>
    <x v="0"/>
    <x v="0"/>
    <x v="4"/>
    <x v="2"/>
  </r>
  <r>
    <s v="Singapore"/>
    <x v="5"/>
    <s v="SG1"/>
    <m/>
    <x v="1"/>
    <x v="2"/>
    <x v="3"/>
    <x v="4"/>
    <x v="0"/>
    <x v="0"/>
    <x v="0"/>
    <m/>
    <x v="0"/>
    <x v="0"/>
    <n v="-2.1563361270000003"/>
    <m/>
    <x v="0"/>
    <x v="2"/>
    <x v="0"/>
    <x v="1"/>
    <x v="0"/>
  </r>
  <r>
    <s v="Singapore"/>
    <x v="5"/>
    <s v="SG4"/>
    <m/>
    <x v="0"/>
    <x v="3"/>
    <x v="4"/>
    <x v="5"/>
    <x v="0"/>
    <x v="0"/>
    <x v="0"/>
    <m/>
    <x v="0"/>
    <x v="0"/>
    <n v="16.005942494999999"/>
    <m/>
    <x v="7"/>
    <x v="0"/>
    <x v="0"/>
    <x v="4"/>
    <x v="1"/>
  </r>
  <r>
    <s v="Singapore"/>
    <x v="4"/>
    <s v="SG3"/>
    <m/>
    <x v="1"/>
    <x v="3"/>
    <x v="0"/>
    <x v="1"/>
    <x v="0"/>
    <x v="0"/>
    <x v="0"/>
    <m/>
    <x v="0"/>
    <x v="0"/>
    <n v="4.36212"/>
    <m/>
    <x v="1"/>
    <x v="0"/>
    <x v="0"/>
    <x v="5"/>
    <x v="0"/>
  </r>
  <r>
    <s v="Singapore"/>
    <x v="1"/>
    <s v="SG1"/>
    <m/>
    <x v="4"/>
    <x v="1"/>
    <x v="0"/>
    <x v="2"/>
    <x v="0"/>
    <x v="0"/>
    <x v="0"/>
    <m/>
    <x v="0"/>
    <x v="0"/>
    <n v="-0.70105499999999998"/>
    <m/>
    <x v="4"/>
    <x v="3"/>
    <x v="0"/>
    <x v="0"/>
    <x v="2"/>
  </r>
  <r>
    <s v="Singapore"/>
    <x v="5"/>
    <s v="SG4"/>
    <m/>
    <x v="3"/>
    <x v="1"/>
    <x v="4"/>
    <x v="4"/>
    <x v="0"/>
    <x v="0"/>
    <x v="0"/>
    <m/>
    <x v="0"/>
    <x v="0"/>
    <n v="1.277119683"/>
    <m/>
    <x v="1"/>
    <x v="1"/>
    <x v="0"/>
    <x v="1"/>
    <x v="1"/>
  </r>
  <r>
    <s v="Singapore"/>
    <x v="1"/>
    <s v="SG2"/>
    <m/>
    <x v="4"/>
    <x v="3"/>
    <x v="4"/>
    <x v="1"/>
    <x v="0"/>
    <x v="0"/>
    <x v="0"/>
    <m/>
    <x v="0"/>
    <x v="0"/>
    <n v="-0.15579000000000001"/>
    <m/>
    <x v="4"/>
    <x v="0"/>
    <x v="0"/>
    <x v="5"/>
    <x v="0"/>
  </r>
  <r>
    <s v="Singapore"/>
    <x v="4"/>
    <s v="SG3"/>
    <m/>
    <x v="0"/>
    <x v="3"/>
    <x v="0"/>
    <x v="1"/>
    <x v="0"/>
    <x v="0"/>
    <x v="0"/>
    <m/>
    <x v="0"/>
    <x v="0"/>
    <n v="15.189525000000001"/>
    <m/>
    <x v="7"/>
    <x v="1"/>
    <x v="0"/>
    <x v="5"/>
    <x v="1"/>
  </r>
  <r>
    <s v="Singapore"/>
    <x v="0"/>
    <s v="SG1"/>
    <m/>
    <x v="0"/>
    <x v="3"/>
    <x v="2"/>
    <x v="2"/>
    <x v="0"/>
    <x v="0"/>
    <x v="0"/>
    <m/>
    <x v="0"/>
    <x v="0"/>
    <n v="0.1838322"/>
    <m/>
    <x v="4"/>
    <x v="2"/>
    <x v="0"/>
    <x v="3"/>
    <x v="2"/>
  </r>
  <r>
    <s v="Singapore"/>
    <x v="1"/>
    <s v="SG3"/>
    <m/>
    <x v="3"/>
    <x v="4"/>
    <x v="3"/>
    <x v="5"/>
    <x v="0"/>
    <x v="0"/>
    <x v="0"/>
    <m/>
    <x v="0"/>
    <x v="0"/>
    <n v="0.42063300000000003"/>
    <m/>
    <x v="0"/>
    <x v="2"/>
    <x v="0"/>
    <x v="5"/>
    <x v="1"/>
  </r>
  <r>
    <s v="Singapore"/>
    <x v="5"/>
    <s v="SG2"/>
    <m/>
    <x v="2"/>
    <x v="0"/>
    <x v="4"/>
    <x v="1"/>
    <x v="0"/>
    <x v="0"/>
    <x v="0"/>
    <m/>
    <x v="0"/>
    <x v="0"/>
    <n v="0.280141578"/>
    <m/>
    <x v="0"/>
    <x v="3"/>
    <x v="0"/>
    <x v="0"/>
    <x v="0"/>
  </r>
  <r>
    <s v="Singapore"/>
    <x v="3"/>
    <s v="SG3"/>
    <m/>
    <x v="3"/>
    <x v="0"/>
    <x v="1"/>
    <x v="0"/>
    <x v="0"/>
    <x v="0"/>
    <x v="0"/>
    <m/>
    <x v="0"/>
    <x v="0"/>
    <n v="-0.15579000000000001"/>
    <m/>
    <x v="0"/>
    <x v="3"/>
    <x v="0"/>
    <x v="4"/>
    <x v="2"/>
  </r>
  <r>
    <s v="Singapore"/>
    <x v="4"/>
    <s v="SG4"/>
    <m/>
    <x v="1"/>
    <x v="2"/>
    <x v="3"/>
    <x v="0"/>
    <x v="0"/>
    <x v="0"/>
    <x v="0"/>
    <m/>
    <x v="0"/>
    <x v="0"/>
    <n v="-2.775180744"/>
    <m/>
    <x v="4"/>
    <x v="2"/>
    <x v="0"/>
    <x v="0"/>
    <x v="0"/>
  </r>
  <r>
    <s v="Singapore"/>
    <x v="5"/>
    <s v="SG4"/>
    <m/>
    <x v="4"/>
    <x v="1"/>
    <x v="0"/>
    <x v="2"/>
    <x v="0"/>
    <x v="0"/>
    <x v="0"/>
    <m/>
    <x v="0"/>
    <x v="0"/>
    <n v="-0.12463200000000001"/>
    <m/>
    <x v="0"/>
    <x v="0"/>
    <x v="0"/>
    <x v="0"/>
    <x v="1"/>
  </r>
  <r>
    <s v="Singapore"/>
    <x v="3"/>
    <s v="SG1"/>
    <m/>
    <x v="0"/>
    <x v="0"/>
    <x v="2"/>
    <x v="5"/>
    <x v="0"/>
    <x v="0"/>
    <x v="0"/>
    <m/>
    <x v="0"/>
    <x v="0"/>
    <n v="2.8556307000000003"/>
    <m/>
    <x v="1"/>
    <x v="0"/>
    <x v="0"/>
    <x v="5"/>
    <x v="0"/>
  </r>
  <r>
    <s v="Singapore"/>
    <x v="4"/>
    <s v="SG1"/>
    <m/>
    <x v="5"/>
    <x v="0"/>
    <x v="3"/>
    <x v="0"/>
    <x v="0"/>
    <x v="0"/>
    <x v="0"/>
    <m/>
    <x v="0"/>
    <x v="0"/>
    <n v="0.70105499999999998"/>
    <m/>
    <x v="1"/>
    <x v="3"/>
    <x v="0"/>
    <x v="1"/>
    <x v="2"/>
  </r>
  <r>
    <s v="Singapore"/>
    <x v="3"/>
    <s v="SG3"/>
    <m/>
    <x v="4"/>
    <x v="4"/>
    <x v="3"/>
    <x v="5"/>
    <x v="0"/>
    <x v="0"/>
    <x v="0"/>
    <m/>
    <x v="0"/>
    <x v="0"/>
    <n v="-0.85684500000000008"/>
    <m/>
    <x v="2"/>
    <x v="0"/>
    <x v="0"/>
    <x v="3"/>
    <x v="2"/>
  </r>
  <r>
    <s v="Singapore"/>
    <x v="5"/>
    <s v="SG2"/>
    <m/>
    <x v="4"/>
    <x v="3"/>
    <x v="3"/>
    <x v="5"/>
    <x v="0"/>
    <x v="0"/>
    <x v="0"/>
    <m/>
    <x v="0"/>
    <x v="0"/>
    <n v="-0.42063300000000003"/>
    <m/>
    <x v="4"/>
    <x v="3"/>
    <x v="0"/>
    <x v="1"/>
    <x v="1"/>
  </r>
  <r>
    <s v="Singapore"/>
    <x v="3"/>
    <s v="SG3"/>
    <m/>
    <x v="3"/>
    <x v="1"/>
    <x v="3"/>
    <x v="4"/>
    <x v="0"/>
    <x v="0"/>
    <x v="0"/>
    <m/>
    <x v="0"/>
    <x v="0"/>
    <n v="-0.24926400000000001"/>
    <m/>
    <x v="0"/>
    <x v="0"/>
    <x v="0"/>
    <x v="3"/>
    <x v="0"/>
  </r>
  <r>
    <s v="Singapore"/>
    <x v="5"/>
    <s v="SG4"/>
    <m/>
    <x v="4"/>
    <x v="1"/>
    <x v="0"/>
    <x v="4"/>
    <x v="0"/>
    <x v="0"/>
    <x v="0"/>
    <m/>
    <x v="0"/>
    <x v="0"/>
    <n v="1.277119683"/>
    <m/>
    <x v="1"/>
    <x v="3"/>
    <x v="0"/>
    <x v="3"/>
    <x v="2"/>
  </r>
  <r>
    <s v="Singapore"/>
    <x v="1"/>
    <s v="SG4"/>
    <m/>
    <x v="4"/>
    <x v="1"/>
    <x v="2"/>
    <x v="5"/>
    <x v="0"/>
    <x v="0"/>
    <x v="0"/>
    <m/>
    <x v="0"/>
    <x v="0"/>
    <n v="-10.733931"/>
    <m/>
    <x v="4"/>
    <x v="3"/>
    <x v="0"/>
    <x v="1"/>
    <x v="1"/>
  </r>
  <r>
    <s v="Singapore"/>
    <x v="1"/>
    <s v="SG2"/>
    <m/>
    <x v="4"/>
    <x v="2"/>
    <x v="4"/>
    <x v="5"/>
    <x v="0"/>
    <x v="0"/>
    <x v="0"/>
    <m/>
    <x v="0"/>
    <x v="0"/>
    <n v="-1.2774780000000001"/>
    <m/>
    <x v="1"/>
    <x v="3"/>
    <x v="0"/>
    <x v="2"/>
    <x v="2"/>
  </r>
  <r>
    <s v="Singapore"/>
    <x v="4"/>
    <s v="SG1"/>
    <m/>
    <x v="5"/>
    <x v="2"/>
    <x v="2"/>
    <x v="5"/>
    <x v="0"/>
    <x v="0"/>
    <x v="0"/>
    <m/>
    <x v="0"/>
    <x v="0"/>
    <n v="0.24926400000000001"/>
    <m/>
    <x v="8"/>
    <x v="0"/>
    <x v="0"/>
    <x v="4"/>
    <x v="2"/>
  </r>
  <r>
    <s v="Singapore"/>
    <x v="3"/>
    <s v="SG2"/>
    <m/>
    <x v="4"/>
    <x v="0"/>
    <x v="1"/>
    <x v="0"/>
    <x v="0"/>
    <x v="0"/>
    <x v="0"/>
    <m/>
    <x v="0"/>
    <x v="0"/>
    <n v="-0.11216880000000001"/>
    <m/>
    <x v="6"/>
    <x v="2"/>
    <x v="0"/>
    <x v="0"/>
    <x v="1"/>
  </r>
  <r>
    <s v="Singapore"/>
    <x v="5"/>
    <s v="SG4"/>
    <m/>
    <x v="3"/>
    <x v="2"/>
    <x v="2"/>
    <x v="3"/>
    <x v="0"/>
    <x v="0"/>
    <x v="0"/>
    <m/>
    <x v="0"/>
    <x v="0"/>
    <n v="-33.713672633999998"/>
    <m/>
    <x v="3"/>
    <x v="0"/>
    <x v="0"/>
    <x v="1"/>
    <x v="1"/>
  </r>
  <r>
    <s v="Singapore"/>
    <x v="5"/>
    <s v="SG2"/>
    <m/>
    <x v="5"/>
    <x v="2"/>
    <x v="4"/>
    <x v="0"/>
    <x v="0"/>
    <x v="0"/>
    <x v="0"/>
    <m/>
    <x v="0"/>
    <x v="0"/>
    <n v="-1.5731985780000002"/>
    <m/>
    <x v="4"/>
    <x v="1"/>
    <x v="0"/>
    <x v="5"/>
    <x v="0"/>
  </r>
  <r>
    <s v="Singapore"/>
    <x v="5"/>
    <s v="SG3"/>
    <m/>
    <x v="5"/>
    <x v="2"/>
    <x v="3"/>
    <x v="0"/>
    <x v="0"/>
    <x v="0"/>
    <x v="0"/>
    <m/>
    <x v="0"/>
    <x v="0"/>
    <n v="2.8042200000000003E-2"/>
    <m/>
    <x v="3"/>
    <x v="0"/>
    <x v="0"/>
    <x v="3"/>
    <x v="2"/>
  </r>
  <r>
    <s v="Singapore"/>
    <x v="4"/>
    <s v="SG2"/>
    <m/>
    <x v="0"/>
    <x v="2"/>
    <x v="2"/>
    <x v="3"/>
    <x v="0"/>
    <x v="0"/>
    <x v="0"/>
    <m/>
    <x v="0"/>
    <x v="0"/>
    <n v="-2.8480437270000003"/>
    <m/>
    <x v="2"/>
    <x v="0"/>
    <x v="0"/>
    <x v="4"/>
    <x v="0"/>
  </r>
  <r>
    <s v="Singapore"/>
    <x v="5"/>
    <s v="SG2"/>
    <m/>
    <x v="2"/>
    <x v="4"/>
    <x v="2"/>
    <x v="1"/>
    <x v="0"/>
    <x v="0"/>
    <x v="0"/>
    <m/>
    <x v="0"/>
    <x v="0"/>
    <n v="59.979150000000004"/>
    <m/>
    <x v="5"/>
    <x v="0"/>
    <x v="0"/>
    <x v="3"/>
    <x v="2"/>
  </r>
  <r>
    <s v="Singapore"/>
    <x v="2"/>
    <s v="SG4"/>
    <m/>
    <x v="0"/>
    <x v="1"/>
    <x v="1"/>
    <x v="1"/>
    <x v="0"/>
    <x v="0"/>
    <x v="0"/>
    <m/>
    <x v="0"/>
    <x v="0"/>
    <n v="-0.21810600000000002"/>
    <m/>
    <x v="1"/>
    <x v="2"/>
    <x v="0"/>
    <x v="3"/>
    <x v="2"/>
  </r>
  <r>
    <s v="Singapore"/>
    <x v="2"/>
    <s v="SG3"/>
    <m/>
    <x v="1"/>
    <x v="1"/>
    <x v="4"/>
    <x v="4"/>
    <x v="0"/>
    <x v="0"/>
    <x v="0"/>
    <m/>
    <x v="0"/>
    <x v="0"/>
    <n v="-2.77851465"/>
    <m/>
    <x v="3"/>
    <x v="3"/>
    <x v="0"/>
    <x v="3"/>
    <x v="1"/>
  </r>
  <r>
    <s v="Singapore"/>
    <x v="2"/>
    <s v="SG4"/>
    <m/>
    <x v="0"/>
    <x v="1"/>
    <x v="0"/>
    <x v="0"/>
    <x v="0"/>
    <x v="0"/>
    <x v="0"/>
    <m/>
    <x v="0"/>
    <x v="0"/>
    <n v="0.1838322"/>
    <m/>
    <x v="4"/>
    <x v="3"/>
    <x v="0"/>
    <x v="4"/>
    <x v="2"/>
  </r>
  <r>
    <s v="Singapore"/>
    <x v="5"/>
    <s v="SG2"/>
    <m/>
    <x v="3"/>
    <x v="0"/>
    <x v="3"/>
    <x v="5"/>
    <x v="0"/>
    <x v="0"/>
    <x v="0"/>
    <m/>
    <x v="0"/>
    <x v="0"/>
    <n v="1.1917935000000002"/>
    <m/>
    <x v="1"/>
    <x v="1"/>
    <x v="0"/>
    <x v="5"/>
    <x v="2"/>
  </r>
  <r>
    <s v="Singapore"/>
    <x v="4"/>
    <s v="SG4"/>
    <m/>
    <x v="4"/>
    <x v="2"/>
    <x v="2"/>
    <x v="5"/>
    <x v="0"/>
    <x v="0"/>
    <x v="0"/>
    <m/>
    <x v="0"/>
    <x v="0"/>
    <n v="-0.85684500000000008"/>
    <m/>
    <x v="1"/>
    <x v="1"/>
    <x v="0"/>
    <x v="2"/>
    <x v="1"/>
  </r>
  <r>
    <s v="Singapore"/>
    <x v="3"/>
    <s v="SG3"/>
    <m/>
    <x v="3"/>
    <x v="0"/>
    <x v="0"/>
    <x v="2"/>
    <x v="0"/>
    <x v="0"/>
    <x v="0"/>
    <m/>
    <x v="0"/>
    <x v="0"/>
    <n v="-0.2305692"/>
    <m/>
    <x v="0"/>
    <x v="1"/>
    <x v="0"/>
    <x v="0"/>
    <x v="1"/>
  </r>
  <r>
    <s v="Singapore"/>
    <x v="3"/>
    <s v="SG2"/>
    <m/>
    <x v="0"/>
    <x v="2"/>
    <x v="1"/>
    <x v="4"/>
    <x v="0"/>
    <x v="0"/>
    <x v="0"/>
    <m/>
    <x v="0"/>
    <x v="0"/>
    <n v="-1.6747425E-2"/>
    <m/>
    <x v="6"/>
    <x v="1"/>
    <x v="0"/>
    <x v="5"/>
    <x v="1"/>
  </r>
  <r>
    <s v="Singapore"/>
    <x v="5"/>
    <s v="SG2"/>
    <m/>
    <x v="3"/>
    <x v="2"/>
    <x v="0"/>
    <x v="3"/>
    <x v="0"/>
    <x v="0"/>
    <x v="0"/>
    <m/>
    <x v="0"/>
    <x v="0"/>
    <n v="-524.090599623"/>
    <m/>
    <x v="1"/>
    <x v="1"/>
    <x v="0"/>
    <x v="0"/>
    <x v="1"/>
  </r>
  <r>
    <s v="Singapore"/>
    <x v="0"/>
    <s v="SG4"/>
    <m/>
    <x v="2"/>
    <x v="2"/>
    <x v="1"/>
    <x v="0"/>
    <x v="0"/>
    <x v="0"/>
    <x v="0"/>
    <m/>
    <x v="0"/>
    <x v="0"/>
    <n v="-9.3474000000000002E-2"/>
    <m/>
    <x v="0"/>
    <x v="3"/>
    <x v="0"/>
    <x v="0"/>
    <x v="1"/>
  </r>
  <r>
    <s v="Singapore"/>
    <x v="3"/>
    <s v="SG3"/>
    <m/>
    <x v="3"/>
    <x v="0"/>
    <x v="3"/>
    <x v="3"/>
    <x v="0"/>
    <x v="0"/>
    <x v="0"/>
    <m/>
    <x v="0"/>
    <x v="0"/>
    <n v="-2.7263250000000001"/>
    <m/>
    <x v="1"/>
    <x v="2"/>
    <x v="0"/>
    <x v="4"/>
    <x v="0"/>
  </r>
  <r>
    <s v="Singapore"/>
    <x v="5"/>
    <s v="SG3"/>
    <m/>
    <x v="2"/>
    <x v="1"/>
    <x v="1"/>
    <x v="3"/>
    <x v="0"/>
    <x v="0"/>
    <x v="0"/>
    <m/>
    <x v="0"/>
    <x v="0"/>
    <n v="7.5692908349999994"/>
    <m/>
    <x v="8"/>
    <x v="0"/>
    <x v="0"/>
    <x v="5"/>
    <x v="1"/>
  </r>
  <r>
    <s v="Singapore"/>
    <x v="3"/>
    <s v="SG3"/>
    <m/>
    <x v="2"/>
    <x v="2"/>
    <x v="2"/>
    <x v="4"/>
    <x v="0"/>
    <x v="0"/>
    <x v="0"/>
    <m/>
    <x v="0"/>
    <x v="0"/>
    <n v="-4.6737000000000001E-2"/>
    <m/>
    <x v="0"/>
    <x v="1"/>
    <x v="0"/>
    <x v="2"/>
    <x v="1"/>
  </r>
  <r>
    <s v="Singapore"/>
    <x v="3"/>
    <s v="SG2"/>
    <m/>
    <x v="5"/>
    <x v="4"/>
    <x v="3"/>
    <x v="0"/>
    <x v="0"/>
    <x v="0"/>
    <x v="0"/>
    <m/>
    <x v="0"/>
    <x v="0"/>
    <n v="1.7837955000000001"/>
    <m/>
    <x v="1"/>
    <x v="2"/>
    <x v="0"/>
    <x v="0"/>
    <x v="2"/>
  </r>
  <r>
    <s v="Singapore"/>
    <x v="0"/>
    <s v="SG4"/>
    <m/>
    <x v="0"/>
    <x v="2"/>
    <x v="4"/>
    <x v="4"/>
    <x v="0"/>
    <x v="0"/>
    <x v="0"/>
    <m/>
    <x v="0"/>
    <x v="0"/>
    <n v="-3.1158000000000002E-2"/>
    <m/>
    <x v="0"/>
    <x v="2"/>
    <x v="0"/>
    <x v="1"/>
    <x v="0"/>
  </r>
  <r>
    <s v="Singapore"/>
    <x v="4"/>
    <s v="SG2"/>
    <m/>
    <x v="4"/>
    <x v="2"/>
    <x v="3"/>
    <x v="0"/>
    <x v="0"/>
    <x v="0"/>
    <x v="0"/>
    <m/>
    <x v="0"/>
    <x v="0"/>
    <n v="-2.775180744"/>
    <m/>
    <x v="4"/>
    <x v="0"/>
    <x v="0"/>
    <x v="1"/>
    <x v="2"/>
  </r>
  <r>
    <s v="Singapore"/>
    <x v="0"/>
    <s v="SG1"/>
    <m/>
    <x v="1"/>
    <x v="4"/>
    <x v="1"/>
    <x v="0"/>
    <x v="0"/>
    <x v="0"/>
    <x v="0"/>
    <m/>
    <x v="0"/>
    <x v="0"/>
    <n v="0.15968475000000001"/>
    <m/>
    <x v="7"/>
    <x v="3"/>
    <x v="0"/>
    <x v="1"/>
    <x v="0"/>
  </r>
  <r>
    <s v="Singapore"/>
    <x v="3"/>
    <s v="SG4"/>
    <m/>
    <x v="2"/>
    <x v="1"/>
    <x v="0"/>
    <x v="1"/>
    <x v="0"/>
    <x v="0"/>
    <x v="0"/>
    <m/>
    <x v="0"/>
    <x v="0"/>
    <n v="0.21810600000000002"/>
    <m/>
    <x v="4"/>
    <x v="1"/>
    <x v="0"/>
    <x v="1"/>
    <x v="2"/>
  </r>
  <r>
    <s v="Singapore"/>
    <x v="4"/>
    <s v="SG3"/>
    <m/>
    <x v="1"/>
    <x v="4"/>
    <x v="3"/>
    <x v="5"/>
    <x v="0"/>
    <x v="0"/>
    <x v="0"/>
    <m/>
    <x v="0"/>
    <x v="0"/>
    <n v="5.6930962860000003"/>
    <m/>
    <x v="0"/>
    <x v="2"/>
    <x v="0"/>
    <x v="2"/>
    <x v="0"/>
  </r>
  <r>
    <s v="Singapore"/>
    <x v="4"/>
    <s v="SG2"/>
    <m/>
    <x v="1"/>
    <x v="0"/>
    <x v="0"/>
    <x v="0"/>
    <x v="0"/>
    <x v="0"/>
    <x v="0"/>
    <m/>
    <x v="0"/>
    <x v="0"/>
    <n v="0.1838322"/>
    <m/>
    <x v="4"/>
    <x v="1"/>
    <x v="0"/>
    <x v="4"/>
    <x v="0"/>
  </r>
  <r>
    <s v="Singapore"/>
    <x v="0"/>
    <s v="SG2"/>
    <m/>
    <x v="1"/>
    <x v="0"/>
    <x v="1"/>
    <x v="4"/>
    <x v="0"/>
    <x v="0"/>
    <x v="0"/>
    <m/>
    <x v="0"/>
    <x v="0"/>
    <n v="0.15579000000000001"/>
    <m/>
    <x v="1"/>
    <x v="3"/>
    <x v="0"/>
    <x v="3"/>
    <x v="2"/>
  </r>
  <r>
    <s v="Singapore"/>
    <x v="3"/>
    <s v="SG4"/>
    <m/>
    <x v="5"/>
    <x v="0"/>
    <x v="0"/>
    <x v="0"/>
    <x v="0"/>
    <x v="0"/>
    <x v="0"/>
    <m/>
    <x v="0"/>
    <x v="0"/>
    <n v="-4.6737000000000001E-2"/>
    <m/>
    <x v="0"/>
    <x v="2"/>
    <x v="0"/>
    <x v="3"/>
    <x v="2"/>
  </r>
  <r>
    <s v="Singapore"/>
    <x v="2"/>
    <s v="SG3"/>
    <m/>
    <x v="0"/>
    <x v="3"/>
    <x v="1"/>
    <x v="1"/>
    <x v="0"/>
    <x v="0"/>
    <x v="0"/>
    <m/>
    <x v="0"/>
    <x v="0"/>
    <n v="-0.233685"/>
    <m/>
    <x v="1"/>
    <x v="2"/>
    <x v="0"/>
    <x v="5"/>
    <x v="0"/>
  </r>
  <r>
    <s v="Singapore"/>
    <x v="1"/>
    <s v="SG2"/>
    <m/>
    <x v="5"/>
    <x v="2"/>
    <x v="3"/>
    <x v="5"/>
    <x v="0"/>
    <x v="0"/>
    <x v="0"/>
    <m/>
    <x v="0"/>
    <x v="0"/>
    <n v="-0.76337100000000002"/>
    <m/>
    <x v="0"/>
    <x v="2"/>
    <x v="0"/>
    <x v="2"/>
    <x v="0"/>
  </r>
  <r>
    <s v="Singapore"/>
    <x v="2"/>
    <s v="SG2"/>
    <m/>
    <x v="3"/>
    <x v="1"/>
    <x v="0"/>
    <x v="4"/>
    <x v="0"/>
    <x v="0"/>
    <x v="0"/>
    <m/>
    <x v="0"/>
    <x v="0"/>
    <n v="14.800050000000001"/>
    <m/>
    <x v="4"/>
    <x v="0"/>
    <x v="0"/>
    <x v="2"/>
    <x v="2"/>
  </r>
  <r>
    <s v="Singapore"/>
    <x v="3"/>
    <s v="SG3"/>
    <m/>
    <x v="1"/>
    <x v="3"/>
    <x v="2"/>
    <x v="0"/>
    <x v="0"/>
    <x v="0"/>
    <x v="0"/>
    <m/>
    <x v="0"/>
    <x v="0"/>
    <n v="-0.21810600000000002"/>
    <m/>
    <x v="1"/>
    <x v="0"/>
    <x v="0"/>
    <x v="0"/>
    <x v="1"/>
  </r>
  <r>
    <s v="Singapore"/>
    <x v="2"/>
    <s v="SG1"/>
    <m/>
    <x v="5"/>
    <x v="3"/>
    <x v="0"/>
    <x v="5"/>
    <x v="0"/>
    <x v="0"/>
    <x v="0"/>
    <m/>
    <x v="0"/>
    <x v="0"/>
    <n v="0.12463200000000001"/>
    <m/>
    <x v="0"/>
    <x v="1"/>
    <x v="0"/>
    <x v="5"/>
    <x v="0"/>
  </r>
  <r>
    <s v="Singapore"/>
    <x v="1"/>
    <s v="SG2"/>
    <m/>
    <x v="5"/>
    <x v="3"/>
    <x v="1"/>
    <x v="5"/>
    <x v="0"/>
    <x v="0"/>
    <x v="0"/>
    <m/>
    <x v="0"/>
    <x v="0"/>
    <n v="-7.7895000000000006E-2"/>
    <m/>
    <x v="1"/>
    <x v="3"/>
    <x v="0"/>
    <x v="3"/>
    <x v="1"/>
  </r>
  <r>
    <s v="Singapore"/>
    <x v="4"/>
    <s v="SG1"/>
    <m/>
    <x v="5"/>
    <x v="2"/>
    <x v="2"/>
    <x v="5"/>
    <x v="0"/>
    <x v="0"/>
    <x v="0"/>
    <m/>
    <x v="0"/>
    <x v="0"/>
    <n v="-4.5568575000000004"/>
    <m/>
    <x v="3"/>
    <x v="2"/>
    <x v="0"/>
    <x v="2"/>
    <x v="2"/>
  </r>
  <r>
    <s v="Singapore"/>
    <x v="0"/>
    <s v="SG3"/>
    <m/>
    <x v="4"/>
    <x v="3"/>
    <x v="1"/>
    <x v="0"/>
    <x v="0"/>
    <x v="0"/>
    <x v="0"/>
    <m/>
    <x v="0"/>
    <x v="0"/>
    <n v="-0.233685"/>
    <m/>
    <x v="0"/>
    <x v="1"/>
    <x v="0"/>
    <x v="0"/>
    <x v="2"/>
  </r>
  <r>
    <s v="Singapore"/>
    <x v="2"/>
    <s v="SG4"/>
    <m/>
    <x v="0"/>
    <x v="1"/>
    <x v="4"/>
    <x v="0"/>
    <x v="0"/>
    <x v="0"/>
    <x v="0"/>
    <m/>
    <x v="0"/>
    <x v="0"/>
    <n v="29.294751600000001"/>
    <m/>
    <x v="5"/>
    <x v="2"/>
    <x v="0"/>
    <x v="1"/>
    <x v="1"/>
  </r>
  <r>
    <s v="Singapore"/>
    <x v="2"/>
    <s v="SG4"/>
    <m/>
    <x v="0"/>
    <x v="2"/>
    <x v="4"/>
    <x v="4"/>
    <x v="0"/>
    <x v="0"/>
    <x v="0"/>
    <m/>
    <x v="0"/>
    <x v="0"/>
    <n v="0.31158000000000002"/>
    <m/>
    <x v="1"/>
    <x v="0"/>
    <x v="0"/>
    <x v="3"/>
    <x v="1"/>
  </r>
  <r>
    <s v="Singapore"/>
    <x v="0"/>
    <s v="SG4"/>
    <m/>
    <x v="2"/>
    <x v="3"/>
    <x v="1"/>
    <x v="3"/>
    <x v="0"/>
    <x v="0"/>
    <x v="0"/>
    <m/>
    <x v="0"/>
    <x v="0"/>
    <n v="-3.8947500000000003E-2"/>
    <m/>
    <x v="0"/>
    <x v="0"/>
    <x v="0"/>
    <x v="1"/>
    <x v="2"/>
  </r>
  <r>
    <s v="Singapore"/>
    <x v="3"/>
    <s v="SG2"/>
    <m/>
    <x v="0"/>
    <x v="1"/>
    <x v="3"/>
    <x v="4"/>
    <x v="0"/>
    <x v="0"/>
    <x v="0"/>
    <m/>
    <x v="0"/>
    <x v="0"/>
    <n v="-3.7389600000000001"/>
    <m/>
    <x v="4"/>
    <x v="2"/>
    <x v="0"/>
    <x v="5"/>
    <x v="2"/>
  </r>
  <r>
    <s v="Singapore"/>
    <x v="2"/>
    <s v="SG3"/>
    <m/>
    <x v="0"/>
    <x v="2"/>
    <x v="0"/>
    <x v="0"/>
    <x v="0"/>
    <x v="0"/>
    <x v="0"/>
    <m/>
    <x v="0"/>
    <x v="0"/>
    <n v="-3.1158000000000002E-2"/>
    <m/>
    <x v="4"/>
    <x v="1"/>
    <x v="0"/>
    <x v="4"/>
    <x v="0"/>
  </r>
  <r>
    <s v="Singapore"/>
    <x v="3"/>
    <s v="SG2"/>
    <m/>
    <x v="0"/>
    <x v="2"/>
    <x v="1"/>
    <x v="3"/>
    <x v="0"/>
    <x v="0"/>
    <x v="0"/>
    <m/>
    <x v="0"/>
    <x v="0"/>
    <n v="0.14955840000000001"/>
    <m/>
    <x v="3"/>
    <x v="0"/>
    <x v="0"/>
    <x v="3"/>
    <x v="2"/>
  </r>
  <r>
    <s v="Singapore"/>
    <x v="2"/>
    <s v="SG4"/>
    <m/>
    <x v="5"/>
    <x v="1"/>
    <x v="4"/>
    <x v="0"/>
    <x v="0"/>
    <x v="0"/>
    <x v="0"/>
    <m/>
    <x v="0"/>
    <x v="0"/>
    <n v="0.17136900000000002"/>
    <m/>
    <x v="8"/>
    <x v="2"/>
    <x v="0"/>
    <x v="0"/>
    <x v="0"/>
  </r>
  <r>
    <s v="Singapore"/>
    <x v="3"/>
    <s v="SG1"/>
    <m/>
    <x v="0"/>
    <x v="2"/>
    <x v="3"/>
    <x v="5"/>
    <x v="0"/>
    <x v="0"/>
    <x v="0"/>
    <m/>
    <x v="0"/>
    <x v="0"/>
    <n v="-0.14800050000000001"/>
    <m/>
    <x v="4"/>
    <x v="2"/>
    <x v="0"/>
    <x v="1"/>
    <x v="1"/>
  </r>
  <r>
    <s v="Singapore"/>
    <x v="0"/>
    <s v="SG4"/>
    <m/>
    <x v="2"/>
    <x v="1"/>
    <x v="1"/>
    <x v="0"/>
    <x v="0"/>
    <x v="0"/>
    <x v="0"/>
    <m/>
    <x v="0"/>
    <x v="0"/>
    <n v="-1.6202160000000001"/>
    <m/>
    <x v="0"/>
    <x v="3"/>
    <x v="0"/>
    <x v="1"/>
    <x v="0"/>
  </r>
  <r>
    <s v="Singapore"/>
    <x v="2"/>
    <s v="SG1"/>
    <m/>
    <x v="1"/>
    <x v="1"/>
    <x v="0"/>
    <x v="1"/>
    <x v="0"/>
    <x v="0"/>
    <x v="0"/>
    <m/>
    <x v="0"/>
    <x v="0"/>
    <n v="0.85684500000000008"/>
    <m/>
    <x v="4"/>
    <x v="0"/>
    <x v="0"/>
    <x v="5"/>
    <x v="0"/>
  </r>
  <r>
    <s v="Singapore"/>
    <x v="4"/>
    <s v="SG2"/>
    <m/>
    <x v="0"/>
    <x v="1"/>
    <x v="3"/>
    <x v="1"/>
    <x v="0"/>
    <x v="0"/>
    <x v="0"/>
    <m/>
    <x v="0"/>
    <x v="0"/>
    <n v="-0.10360035000000001"/>
    <m/>
    <x v="6"/>
    <x v="2"/>
    <x v="0"/>
    <x v="3"/>
    <x v="1"/>
  </r>
  <r>
    <s v="Singapore"/>
    <x v="1"/>
    <s v="SG1"/>
    <m/>
    <x v="1"/>
    <x v="2"/>
    <x v="0"/>
    <x v="0"/>
    <x v="0"/>
    <x v="0"/>
    <x v="0"/>
    <m/>
    <x v="0"/>
    <x v="0"/>
    <n v="-0.2741904"/>
    <m/>
    <x v="6"/>
    <x v="3"/>
    <x v="0"/>
    <x v="5"/>
    <x v="0"/>
  </r>
  <r>
    <s v="Singapore"/>
    <x v="2"/>
    <s v="SG2"/>
    <m/>
    <x v="4"/>
    <x v="1"/>
    <x v="2"/>
    <x v="3"/>
    <x v="0"/>
    <x v="0"/>
    <x v="0"/>
    <m/>
    <x v="0"/>
    <x v="0"/>
    <n v="-9.3474000000000002E-2"/>
    <m/>
    <x v="0"/>
    <x v="0"/>
    <x v="0"/>
    <x v="4"/>
    <x v="1"/>
  </r>
  <r>
    <s v="Singapore"/>
    <x v="5"/>
    <s v="SG4"/>
    <m/>
    <x v="5"/>
    <x v="2"/>
    <x v="4"/>
    <x v="1"/>
    <x v="0"/>
    <x v="0"/>
    <x v="0"/>
    <m/>
    <x v="0"/>
    <x v="0"/>
    <n v="-0.28543843800000002"/>
    <m/>
    <x v="0"/>
    <x v="2"/>
    <x v="0"/>
    <x v="1"/>
    <x v="0"/>
  </r>
  <r>
    <s v="Singapore"/>
    <x v="0"/>
    <s v="SG4"/>
    <m/>
    <x v="3"/>
    <x v="1"/>
    <x v="4"/>
    <x v="5"/>
    <x v="0"/>
    <x v="0"/>
    <x v="0"/>
    <m/>
    <x v="0"/>
    <x v="0"/>
    <n v="-3.1158000000000002E-2"/>
    <m/>
    <x v="0"/>
    <x v="1"/>
    <x v="0"/>
    <x v="3"/>
    <x v="0"/>
  </r>
  <r>
    <s v="Singapore"/>
    <x v="4"/>
    <s v="SG1"/>
    <m/>
    <x v="0"/>
    <x v="4"/>
    <x v="4"/>
    <x v="0"/>
    <x v="0"/>
    <x v="0"/>
    <x v="0"/>
    <m/>
    <x v="0"/>
    <x v="0"/>
    <n v="-0.51410699999999998"/>
    <m/>
    <x v="0"/>
    <x v="1"/>
    <x v="0"/>
    <x v="2"/>
    <x v="0"/>
  </r>
  <r>
    <s v="Singapore"/>
    <x v="4"/>
    <s v="SG1"/>
    <m/>
    <x v="0"/>
    <x v="3"/>
    <x v="0"/>
    <x v="0"/>
    <x v="0"/>
    <x v="0"/>
    <x v="0"/>
    <m/>
    <x v="0"/>
    <x v="0"/>
    <n v="7.6401285479999999"/>
    <m/>
    <x v="5"/>
    <x v="1"/>
    <x v="0"/>
    <x v="4"/>
    <x v="0"/>
  </r>
  <r>
    <s v="Singapore"/>
    <x v="0"/>
    <s v="SG3"/>
    <m/>
    <x v="2"/>
    <x v="4"/>
    <x v="1"/>
    <x v="0"/>
    <x v="0"/>
    <x v="0"/>
    <x v="0"/>
    <m/>
    <x v="0"/>
    <x v="0"/>
    <n v="3.1158000000000001"/>
    <m/>
    <x v="11"/>
    <x v="2"/>
    <x v="0"/>
    <x v="2"/>
    <x v="2"/>
  </r>
  <r>
    <s v="Singapore"/>
    <x v="1"/>
    <s v="SG4"/>
    <m/>
    <x v="4"/>
    <x v="3"/>
    <x v="0"/>
    <x v="1"/>
    <x v="0"/>
    <x v="0"/>
    <x v="0"/>
    <m/>
    <x v="0"/>
    <x v="0"/>
    <n v="-0.98147700000000004"/>
    <m/>
    <x v="0"/>
    <x v="3"/>
    <x v="0"/>
    <x v="4"/>
    <x v="2"/>
  </r>
  <r>
    <s v="Singapore"/>
    <x v="3"/>
    <s v="SG1"/>
    <m/>
    <x v="5"/>
    <x v="1"/>
    <x v="2"/>
    <x v="0"/>
    <x v="0"/>
    <x v="0"/>
    <x v="0"/>
    <m/>
    <x v="0"/>
    <x v="0"/>
    <n v="0.186948"/>
    <m/>
    <x v="0"/>
    <x v="2"/>
    <x v="0"/>
    <x v="4"/>
    <x v="1"/>
  </r>
  <r>
    <s v="Singapore"/>
    <x v="5"/>
    <s v="SG2"/>
    <m/>
    <x v="1"/>
    <x v="0"/>
    <x v="1"/>
    <x v="3"/>
    <x v="0"/>
    <x v="0"/>
    <x v="0"/>
    <m/>
    <x v="0"/>
    <x v="0"/>
    <n v="-2.8556307000000003"/>
    <m/>
    <x v="1"/>
    <x v="0"/>
    <x v="0"/>
    <x v="5"/>
    <x v="2"/>
  </r>
  <r>
    <s v="Singapore"/>
    <x v="3"/>
    <s v="SG4"/>
    <m/>
    <x v="4"/>
    <x v="1"/>
    <x v="1"/>
    <x v="2"/>
    <x v="0"/>
    <x v="0"/>
    <x v="0"/>
    <m/>
    <x v="0"/>
    <x v="0"/>
    <n v="-0.37389600000000001"/>
    <m/>
    <x v="4"/>
    <x v="0"/>
    <x v="0"/>
    <x v="4"/>
    <x v="1"/>
  </r>
  <r>
    <s v="Singapore"/>
    <x v="1"/>
    <s v="SG4"/>
    <m/>
    <x v="4"/>
    <x v="4"/>
    <x v="0"/>
    <x v="0"/>
    <x v="0"/>
    <x v="0"/>
    <x v="0"/>
    <m/>
    <x v="0"/>
    <x v="0"/>
    <n v="-0.10905300000000001"/>
    <m/>
    <x v="4"/>
    <x v="0"/>
    <x v="0"/>
    <x v="2"/>
    <x v="2"/>
  </r>
  <r>
    <s v="Singapore"/>
    <x v="5"/>
    <s v="SG2"/>
    <m/>
    <x v="5"/>
    <x v="4"/>
    <x v="3"/>
    <x v="2"/>
    <x v="0"/>
    <x v="0"/>
    <x v="0"/>
    <m/>
    <x v="0"/>
    <x v="0"/>
    <n v="46.737000000000002"/>
    <m/>
    <x v="7"/>
    <x v="3"/>
    <x v="0"/>
    <x v="2"/>
    <x v="1"/>
  </r>
  <r>
    <s v="Singapore"/>
    <x v="4"/>
    <s v="SG4"/>
    <m/>
    <x v="4"/>
    <x v="0"/>
    <x v="4"/>
    <x v="4"/>
    <x v="0"/>
    <x v="0"/>
    <x v="0"/>
    <m/>
    <x v="0"/>
    <x v="0"/>
    <n v="-0.77895000000000003"/>
    <m/>
    <x v="4"/>
    <x v="1"/>
    <x v="0"/>
    <x v="3"/>
    <x v="2"/>
  </r>
  <r>
    <s v="Singapore"/>
    <x v="2"/>
    <s v="SG4"/>
    <m/>
    <x v="5"/>
    <x v="2"/>
    <x v="4"/>
    <x v="2"/>
    <x v="0"/>
    <x v="0"/>
    <x v="0"/>
    <m/>
    <x v="0"/>
    <x v="0"/>
    <n v="-0.12835538100000002"/>
    <m/>
    <x v="4"/>
    <x v="3"/>
    <x v="0"/>
    <x v="3"/>
    <x v="1"/>
  </r>
  <r>
    <s v="Singapore"/>
    <x v="1"/>
    <s v="SG3"/>
    <m/>
    <x v="0"/>
    <x v="4"/>
    <x v="4"/>
    <x v="0"/>
    <x v="0"/>
    <x v="0"/>
    <x v="0"/>
    <m/>
    <x v="0"/>
    <x v="0"/>
    <n v="-0.337332087"/>
    <m/>
    <x v="6"/>
    <x v="0"/>
    <x v="0"/>
    <x v="0"/>
    <x v="0"/>
  </r>
  <r>
    <s v="Singapore"/>
    <x v="0"/>
    <s v="SG3"/>
    <m/>
    <x v="0"/>
    <x v="3"/>
    <x v="3"/>
    <x v="2"/>
    <x v="0"/>
    <x v="0"/>
    <x v="0"/>
    <m/>
    <x v="0"/>
    <x v="0"/>
    <n v="2.159187084"/>
    <m/>
    <x v="7"/>
    <x v="0"/>
    <x v="0"/>
    <x v="3"/>
    <x v="0"/>
  </r>
  <r>
    <s v="Singapore"/>
    <x v="5"/>
    <s v="SG1"/>
    <m/>
    <x v="1"/>
    <x v="4"/>
    <x v="2"/>
    <x v="5"/>
    <x v="0"/>
    <x v="0"/>
    <x v="0"/>
    <m/>
    <x v="0"/>
    <x v="0"/>
    <n v="9.4751478000000002"/>
    <m/>
    <x v="7"/>
    <x v="2"/>
    <x v="0"/>
    <x v="0"/>
    <x v="0"/>
  </r>
  <r>
    <s v="Singapore"/>
    <x v="4"/>
    <s v="SG4"/>
    <m/>
    <x v="3"/>
    <x v="2"/>
    <x v="0"/>
    <x v="4"/>
    <x v="0"/>
    <x v="0"/>
    <x v="0"/>
    <m/>
    <x v="0"/>
    <x v="0"/>
    <n v="-0.12463200000000001"/>
    <m/>
    <x v="0"/>
    <x v="1"/>
    <x v="0"/>
    <x v="4"/>
    <x v="2"/>
  </r>
  <r>
    <s v="Singapore"/>
    <x v="0"/>
    <s v="SG4"/>
    <m/>
    <x v="2"/>
    <x v="0"/>
    <x v="1"/>
    <x v="5"/>
    <x v="0"/>
    <x v="0"/>
    <x v="0"/>
    <m/>
    <x v="0"/>
    <x v="0"/>
    <n v="-0.10905300000000001"/>
    <m/>
    <x v="4"/>
    <x v="1"/>
    <x v="0"/>
    <x v="3"/>
    <x v="1"/>
  </r>
  <r>
    <s v="Singapore"/>
    <x v="0"/>
    <s v="SG3"/>
    <m/>
    <x v="5"/>
    <x v="1"/>
    <x v="2"/>
    <x v="5"/>
    <x v="0"/>
    <x v="0"/>
    <x v="0"/>
    <m/>
    <x v="0"/>
    <x v="0"/>
    <n v="-0.10905300000000001"/>
    <m/>
    <x v="4"/>
    <x v="2"/>
    <x v="0"/>
    <x v="1"/>
    <x v="1"/>
  </r>
  <r>
    <s v="Singapore"/>
    <x v="2"/>
    <s v="SG4"/>
    <m/>
    <x v="0"/>
    <x v="1"/>
    <x v="1"/>
    <x v="5"/>
    <x v="0"/>
    <x v="0"/>
    <x v="0"/>
    <m/>
    <x v="0"/>
    <x v="0"/>
    <n v="-1.2463200000000001E-2"/>
    <m/>
    <x v="6"/>
    <x v="3"/>
    <x v="0"/>
    <x v="0"/>
    <x v="0"/>
  </r>
  <r>
    <s v="Singapore"/>
    <x v="3"/>
    <s v="SG2"/>
    <m/>
    <x v="4"/>
    <x v="4"/>
    <x v="2"/>
    <x v="1"/>
    <x v="0"/>
    <x v="0"/>
    <x v="0"/>
    <m/>
    <x v="0"/>
    <x v="0"/>
    <n v="-0.24926400000000001"/>
    <m/>
    <x v="0"/>
    <x v="2"/>
    <x v="0"/>
    <x v="2"/>
    <x v="2"/>
  </r>
  <r>
    <s v="Singapore"/>
    <x v="4"/>
    <s v="SG2"/>
    <m/>
    <x v="3"/>
    <x v="2"/>
    <x v="1"/>
    <x v="3"/>
    <x v="0"/>
    <x v="0"/>
    <x v="0"/>
    <m/>
    <x v="0"/>
    <x v="0"/>
    <n v="-4.6737000000000001E-2"/>
    <m/>
    <x v="0"/>
    <x v="2"/>
    <x v="0"/>
    <x v="0"/>
    <x v="2"/>
  </r>
  <r>
    <s v="Singapore"/>
    <x v="4"/>
    <s v="SG4"/>
    <m/>
    <x v="3"/>
    <x v="0"/>
    <x v="3"/>
    <x v="3"/>
    <x v="0"/>
    <x v="0"/>
    <x v="0"/>
    <m/>
    <x v="0"/>
    <x v="0"/>
    <n v="0.15579000000000001"/>
    <m/>
    <x v="1"/>
    <x v="2"/>
    <x v="0"/>
    <x v="4"/>
    <x v="2"/>
  </r>
  <r>
    <s v="Singapore"/>
    <x v="4"/>
    <s v="SG2"/>
    <m/>
    <x v="1"/>
    <x v="4"/>
    <x v="4"/>
    <x v="1"/>
    <x v="0"/>
    <x v="0"/>
    <x v="0"/>
    <m/>
    <x v="0"/>
    <x v="0"/>
    <n v="-0.43932780000000005"/>
    <m/>
    <x v="3"/>
    <x v="3"/>
    <x v="0"/>
    <x v="0"/>
    <x v="1"/>
  </r>
  <r>
    <s v="Singapore"/>
    <x v="2"/>
    <s v="SG2"/>
    <m/>
    <x v="0"/>
    <x v="1"/>
    <x v="4"/>
    <x v="0"/>
    <x v="0"/>
    <x v="0"/>
    <x v="0"/>
    <m/>
    <x v="0"/>
    <x v="0"/>
    <n v="-0.12463200000000001"/>
    <m/>
    <x v="0"/>
    <x v="1"/>
    <x v="0"/>
    <x v="3"/>
    <x v="1"/>
  </r>
  <r>
    <s v="Singapore"/>
    <x v="3"/>
    <s v="SG4"/>
    <m/>
    <x v="5"/>
    <x v="0"/>
    <x v="3"/>
    <x v="2"/>
    <x v="0"/>
    <x v="0"/>
    <x v="0"/>
    <m/>
    <x v="0"/>
    <x v="0"/>
    <n v="-0.70105499999999998"/>
    <m/>
    <x v="4"/>
    <x v="3"/>
    <x v="0"/>
    <x v="1"/>
    <x v="1"/>
  </r>
  <r>
    <s v="Singapore"/>
    <x v="3"/>
    <s v="SG4"/>
    <m/>
    <x v="2"/>
    <x v="1"/>
    <x v="1"/>
    <x v="3"/>
    <x v="0"/>
    <x v="0"/>
    <x v="0"/>
    <m/>
    <x v="0"/>
    <x v="0"/>
    <n v="-0.1838322"/>
    <m/>
    <x v="4"/>
    <x v="3"/>
    <x v="0"/>
    <x v="5"/>
    <x v="0"/>
  </r>
  <r>
    <s v="Singapore"/>
    <x v="2"/>
    <s v="SG2"/>
    <m/>
    <x v="3"/>
    <x v="1"/>
    <x v="3"/>
    <x v="5"/>
    <x v="0"/>
    <x v="0"/>
    <x v="0"/>
    <m/>
    <x v="0"/>
    <x v="0"/>
    <n v="0.12463200000000001"/>
    <m/>
    <x v="0"/>
    <x v="1"/>
    <x v="0"/>
    <x v="5"/>
    <x v="2"/>
  </r>
  <r>
    <s v="Singapore"/>
    <x v="5"/>
    <s v="SG4"/>
    <m/>
    <x v="4"/>
    <x v="0"/>
    <x v="1"/>
    <x v="2"/>
    <x v="0"/>
    <x v="0"/>
    <x v="0"/>
    <m/>
    <x v="0"/>
    <x v="0"/>
    <n v="-0.15579000000000001"/>
    <m/>
    <x v="0"/>
    <x v="2"/>
    <x v="0"/>
    <x v="2"/>
    <x v="0"/>
  </r>
  <r>
    <s v="Singapore"/>
    <x v="4"/>
    <s v="SG1"/>
    <m/>
    <x v="3"/>
    <x v="2"/>
    <x v="0"/>
    <x v="3"/>
    <x v="0"/>
    <x v="0"/>
    <x v="0"/>
    <m/>
    <x v="0"/>
    <x v="0"/>
    <n v="0.153390834"/>
    <m/>
    <x v="1"/>
    <x v="2"/>
    <x v="0"/>
    <x v="1"/>
    <x v="0"/>
  </r>
  <r>
    <s v="Singapore"/>
    <x v="5"/>
    <s v="SG1"/>
    <m/>
    <x v="2"/>
    <x v="1"/>
    <x v="0"/>
    <x v="4"/>
    <x v="0"/>
    <x v="0"/>
    <x v="0"/>
    <m/>
    <x v="0"/>
    <x v="0"/>
    <n v="-0.17136900000000002"/>
    <m/>
    <x v="8"/>
    <x v="2"/>
    <x v="0"/>
    <x v="2"/>
    <x v="1"/>
  </r>
  <r>
    <s v="Singapore"/>
    <x v="4"/>
    <s v="SG3"/>
    <m/>
    <x v="5"/>
    <x v="3"/>
    <x v="4"/>
    <x v="2"/>
    <x v="0"/>
    <x v="0"/>
    <x v="0"/>
    <m/>
    <x v="0"/>
    <x v="0"/>
    <n v="-3.5831700000000004"/>
    <m/>
    <x v="4"/>
    <x v="1"/>
    <x v="0"/>
    <x v="5"/>
    <x v="2"/>
  </r>
  <r>
    <s v="Singapore"/>
    <x v="0"/>
    <s v="SG4"/>
    <m/>
    <x v="1"/>
    <x v="4"/>
    <x v="1"/>
    <x v="5"/>
    <x v="0"/>
    <x v="0"/>
    <x v="0"/>
    <m/>
    <x v="0"/>
    <x v="0"/>
    <n v="-33.665486786999999"/>
    <m/>
    <x v="2"/>
    <x v="0"/>
    <x v="0"/>
    <x v="2"/>
    <x v="1"/>
  </r>
  <r>
    <s v="Singapore"/>
    <x v="1"/>
    <s v="SG2"/>
    <m/>
    <x v="3"/>
    <x v="3"/>
    <x v="4"/>
    <x v="3"/>
    <x v="0"/>
    <x v="0"/>
    <x v="0"/>
    <m/>
    <x v="0"/>
    <x v="0"/>
    <n v="1.137267"/>
    <m/>
    <x v="1"/>
    <x v="3"/>
    <x v="0"/>
    <x v="5"/>
    <x v="0"/>
  </r>
  <r>
    <s v="Singapore"/>
    <x v="4"/>
    <s v="SG2"/>
    <m/>
    <x v="5"/>
    <x v="0"/>
    <x v="3"/>
    <x v="3"/>
    <x v="0"/>
    <x v="0"/>
    <x v="0"/>
    <m/>
    <x v="0"/>
    <x v="0"/>
    <n v="-1.5579000000000001E-2"/>
    <m/>
    <x v="0"/>
    <x v="2"/>
    <x v="0"/>
    <x v="1"/>
    <x v="1"/>
  </r>
  <r>
    <s v="Singapore"/>
    <x v="4"/>
    <s v="SG1"/>
    <m/>
    <x v="3"/>
    <x v="1"/>
    <x v="2"/>
    <x v="3"/>
    <x v="0"/>
    <x v="0"/>
    <x v="0"/>
    <m/>
    <x v="0"/>
    <x v="0"/>
    <n v="-138.16318718700001"/>
    <m/>
    <x v="3"/>
    <x v="1"/>
    <x v="0"/>
    <x v="2"/>
    <x v="2"/>
  </r>
  <r>
    <s v="Singapore"/>
    <x v="1"/>
    <s v="SG1"/>
    <m/>
    <x v="2"/>
    <x v="2"/>
    <x v="1"/>
    <x v="1"/>
    <x v="0"/>
    <x v="0"/>
    <x v="0"/>
    <m/>
    <x v="0"/>
    <x v="0"/>
    <n v="-3.1158000000000002E-2"/>
    <m/>
    <x v="0"/>
    <x v="2"/>
    <x v="0"/>
    <x v="2"/>
    <x v="1"/>
  </r>
  <r>
    <s v="Singapore"/>
    <x v="3"/>
    <s v="SG2"/>
    <m/>
    <x v="5"/>
    <x v="3"/>
    <x v="4"/>
    <x v="5"/>
    <x v="0"/>
    <x v="0"/>
    <x v="0"/>
    <m/>
    <x v="0"/>
    <x v="0"/>
    <n v="-0.12463200000000001"/>
    <m/>
    <x v="4"/>
    <x v="3"/>
    <x v="0"/>
    <x v="1"/>
    <x v="1"/>
  </r>
  <r>
    <s v="Singapore"/>
    <x v="0"/>
    <s v="SG2"/>
    <m/>
    <x v="3"/>
    <x v="1"/>
    <x v="2"/>
    <x v="5"/>
    <x v="0"/>
    <x v="0"/>
    <x v="0"/>
    <m/>
    <x v="0"/>
    <x v="0"/>
    <n v="0.21031650000000002"/>
    <m/>
    <x v="1"/>
    <x v="1"/>
    <x v="0"/>
    <x v="2"/>
    <x v="0"/>
  </r>
  <r>
    <s v="Singapore"/>
    <x v="3"/>
    <s v="SG3"/>
    <m/>
    <x v="4"/>
    <x v="0"/>
    <x v="1"/>
    <x v="1"/>
    <x v="0"/>
    <x v="0"/>
    <x v="0"/>
    <m/>
    <x v="0"/>
    <x v="0"/>
    <n v="5.2869361770000003"/>
    <m/>
    <x v="7"/>
    <x v="1"/>
    <x v="0"/>
    <x v="1"/>
    <x v="1"/>
  </r>
  <r>
    <s v="Singapore"/>
    <x v="3"/>
    <s v="SG3"/>
    <m/>
    <x v="2"/>
    <x v="2"/>
    <x v="4"/>
    <x v="1"/>
    <x v="0"/>
    <x v="0"/>
    <x v="0"/>
    <m/>
    <x v="0"/>
    <x v="0"/>
    <n v="-0.59200200000000003"/>
    <m/>
    <x v="0"/>
    <x v="3"/>
    <x v="0"/>
    <x v="4"/>
    <x v="1"/>
  </r>
  <r>
    <s v="Singapore"/>
    <x v="4"/>
    <s v="SG2"/>
    <m/>
    <x v="0"/>
    <x v="2"/>
    <x v="1"/>
    <x v="2"/>
    <x v="0"/>
    <x v="0"/>
    <x v="0"/>
    <m/>
    <x v="0"/>
    <x v="0"/>
    <n v="-0.545265"/>
    <m/>
    <x v="0"/>
    <x v="1"/>
    <x v="0"/>
    <x v="3"/>
    <x v="2"/>
  </r>
  <r>
    <s v="Singapore"/>
    <x v="1"/>
    <s v="SG2"/>
    <m/>
    <x v="4"/>
    <x v="3"/>
    <x v="2"/>
    <x v="0"/>
    <x v="0"/>
    <x v="0"/>
    <x v="0"/>
    <m/>
    <x v="0"/>
    <x v="0"/>
    <n v="1.0801232280000002"/>
    <m/>
    <x v="1"/>
    <x v="3"/>
    <x v="0"/>
    <x v="3"/>
    <x v="1"/>
  </r>
  <r>
    <s v="Singapore"/>
    <x v="0"/>
    <s v="SG2"/>
    <m/>
    <x v="1"/>
    <x v="3"/>
    <x v="1"/>
    <x v="2"/>
    <x v="0"/>
    <x v="0"/>
    <x v="0"/>
    <m/>
    <x v="0"/>
    <x v="0"/>
    <n v="-0.17956355400000001"/>
    <m/>
    <x v="0"/>
    <x v="3"/>
    <x v="0"/>
    <x v="0"/>
    <x v="2"/>
  </r>
  <r>
    <s v="Singapore"/>
    <x v="5"/>
    <s v="SG3"/>
    <m/>
    <x v="5"/>
    <x v="1"/>
    <x v="0"/>
    <x v="1"/>
    <x v="0"/>
    <x v="0"/>
    <x v="0"/>
    <m/>
    <x v="0"/>
    <x v="0"/>
    <n v="-7.7895000000000006E-2"/>
    <m/>
    <x v="0"/>
    <x v="1"/>
    <x v="0"/>
    <x v="3"/>
    <x v="0"/>
  </r>
  <r>
    <s v="Singapore"/>
    <x v="1"/>
    <s v="SG1"/>
    <m/>
    <x v="5"/>
    <x v="3"/>
    <x v="0"/>
    <x v="0"/>
    <x v="0"/>
    <x v="0"/>
    <x v="0"/>
    <m/>
    <x v="0"/>
    <x v="0"/>
    <n v="-4.6737000000000001E-2"/>
    <m/>
    <x v="0"/>
    <x v="2"/>
    <x v="0"/>
    <x v="0"/>
    <x v="0"/>
  </r>
  <r>
    <s v="Singapore"/>
    <x v="4"/>
    <s v="SG4"/>
    <m/>
    <x v="3"/>
    <x v="0"/>
    <x v="3"/>
    <x v="4"/>
    <x v="0"/>
    <x v="0"/>
    <x v="0"/>
    <m/>
    <x v="0"/>
    <x v="0"/>
    <n v="-0.186948"/>
    <m/>
    <x v="0"/>
    <x v="0"/>
    <x v="0"/>
    <x v="0"/>
    <x v="2"/>
  </r>
  <r>
    <s v="Singapore"/>
    <x v="4"/>
    <s v="SG3"/>
    <m/>
    <x v="0"/>
    <x v="4"/>
    <x v="3"/>
    <x v="5"/>
    <x v="0"/>
    <x v="0"/>
    <x v="0"/>
    <m/>
    <x v="0"/>
    <x v="0"/>
    <n v="-0.10905300000000001"/>
    <m/>
    <x v="4"/>
    <x v="1"/>
    <x v="0"/>
    <x v="3"/>
    <x v="1"/>
  </r>
  <r>
    <s v="Singapore"/>
    <x v="5"/>
    <s v="SG1"/>
    <m/>
    <x v="4"/>
    <x v="3"/>
    <x v="4"/>
    <x v="5"/>
    <x v="0"/>
    <x v="0"/>
    <x v="0"/>
    <m/>
    <x v="0"/>
    <x v="0"/>
    <n v="-4.2063300000000005E-2"/>
    <m/>
    <x v="3"/>
    <x v="1"/>
    <x v="0"/>
    <x v="5"/>
    <x v="1"/>
  </r>
  <r>
    <s v="Singapore"/>
    <x v="2"/>
    <s v="SG2"/>
    <m/>
    <x v="5"/>
    <x v="1"/>
    <x v="3"/>
    <x v="1"/>
    <x v="0"/>
    <x v="0"/>
    <x v="0"/>
    <m/>
    <x v="0"/>
    <x v="0"/>
    <n v="-0.15579000000000001"/>
    <m/>
    <x v="0"/>
    <x v="2"/>
    <x v="0"/>
    <x v="3"/>
    <x v="1"/>
  </r>
  <r>
    <s v="Singapore"/>
    <x v="0"/>
    <s v="SG1"/>
    <m/>
    <x v="3"/>
    <x v="1"/>
    <x v="2"/>
    <x v="3"/>
    <x v="0"/>
    <x v="0"/>
    <x v="0"/>
    <m/>
    <x v="0"/>
    <x v="0"/>
    <n v="-0.42063300000000003"/>
    <m/>
    <x v="4"/>
    <x v="0"/>
    <x v="0"/>
    <x v="4"/>
    <x v="2"/>
  </r>
  <r>
    <s v="Singapore"/>
    <x v="5"/>
    <s v="SG3"/>
    <m/>
    <x v="1"/>
    <x v="3"/>
    <x v="4"/>
    <x v="4"/>
    <x v="0"/>
    <x v="0"/>
    <x v="0"/>
    <m/>
    <x v="0"/>
    <x v="0"/>
    <n v="-0.140211"/>
    <m/>
    <x v="0"/>
    <x v="3"/>
    <x v="0"/>
    <x v="2"/>
    <x v="0"/>
  </r>
  <r>
    <s v="Singapore"/>
    <x v="4"/>
    <s v="SG2"/>
    <m/>
    <x v="4"/>
    <x v="4"/>
    <x v="2"/>
    <x v="2"/>
    <x v="0"/>
    <x v="0"/>
    <x v="0"/>
    <m/>
    <x v="0"/>
    <x v="0"/>
    <n v="-0.233685"/>
    <m/>
    <x v="0"/>
    <x v="3"/>
    <x v="0"/>
    <x v="1"/>
    <x v="2"/>
  </r>
  <r>
    <s v="Singapore"/>
    <x v="3"/>
    <s v="SG4"/>
    <m/>
    <x v="3"/>
    <x v="2"/>
    <x v="0"/>
    <x v="1"/>
    <x v="0"/>
    <x v="0"/>
    <x v="0"/>
    <m/>
    <x v="0"/>
    <x v="0"/>
    <n v="5.795388"/>
    <m/>
    <x v="8"/>
    <x v="1"/>
    <x v="0"/>
    <x v="3"/>
    <x v="0"/>
  </r>
  <r>
    <s v="Singapore"/>
    <x v="3"/>
    <s v="SG4"/>
    <m/>
    <x v="5"/>
    <x v="4"/>
    <x v="0"/>
    <x v="0"/>
    <x v="0"/>
    <x v="0"/>
    <x v="0"/>
    <m/>
    <x v="0"/>
    <x v="0"/>
    <n v="-0.42063300000000003"/>
    <m/>
    <x v="4"/>
    <x v="0"/>
    <x v="0"/>
    <x v="3"/>
    <x v="1"/>
  </r>
  <r>
    <s v="Singapore"/>
    <x v="4"/>
    <s v="SG2"/>
    <m/>
    <x v="1"/>
    <x v="4"/>
    <x v="3"/>
    <x v="1"/>
    <x v="0"/>
    <x v="0"/>
    <x v="0"/>
    <m/>
    <x v="0"/>
    <x v="0"/>
    <n v="-0.12463200000000001"/>
    <m/>
    <x v="4"/>
    <x v="0"/>
    <x v="0"/>
    <x v="1"/>
    <x v="2"/>
  </r>
  <r>
    <s v="Singapore"/>
    <x v="5"/>
    <s v="SG1"/>
    <m/>
    <x v="3"/>
    <x v="1"/>
    <x v="2"/>
    <x v="4"/>
    <x v="0"/>
    <x v="0"/>
    <x v="0"/>
    <m/>
    <x v="0"/>
    <x v="0"/>
    <n v="-0.12463200000000001"/>
    <m/>
    <x v="4"/>
    <x v="1"/>
    <x v="0"/>
    <x v="5"/>
    <x v="1"/>
  </r>
  <r>
    <s v="Singapore"/>
    <x v="0"/>
    <s v="SG3"/>
    <m/>
    <x v="0"/>
    <x v="2"/>
    <x v="1"/>
    <x v="4"/>
    <x v="0"/>
    <x v="0"/>
    <x v="0"/>
    <m/>
    <x v="0"/>
    <x v="0"/>
    <n v="-1.6638372000000001"/>
    <m/>
    <x v="3"/>
    <x v="2"/>
    <x v="0"/>
    <x v="0"/>
    <x v="0"/>
  </r>
  <r>
    <s v="Singapore"/>
    <x v="2"/>
    <s v="SG1"/>
    <m/>
    <x v="3"/>
    <x v="2"/>
    <x v="4"/>
    <x v="0"/>
    <x v="0"/>
    <x v="0"/>
    <x v="0"/>
    <m/>
    <x v="0"/>
    <x v="0"/>
    <n v="0.15579000000000001"/>
    <m/>
    <x v="1"/>
    <x v="1"/>
    <x v="0"/>
    <x v="3"/>
    <x v="0"/>
  </r>
  <r>
    <s v="Singapore"/>
    <x v="4"/>
    <s v="SG1"/>
    <m/>
    <x v="3"/>
    <x v="4"/>
    <x v="4"/>
    <x v="3"/>
    <x v="0"/>
    <x v="0"/>
    <x v="0"/>
    <m/>
    <x v="0"/>
    <x v="0"/>
    <n v="-35.051238837"/>
    <m/>
    <x v="4"/>
    <x v="1"/>
    <x v="0"/>
    <x v="1"/>
    <x v="2"/>
  </r>
  <r>
    <s v="Singapore"/>
    <x v="2"/>
    <s v="SG4"/>
    <m/>
    <x v="3"/>
    <x v="1"/>
    <x v="3"/>
    <x v="0"/>
    <x v="0"/>
    <x v="0"/>
    <x v="0"/>
    <m/>
    <x v="0"/>
    <x v="0"/>
    <n v="-0.15579000000000001"/>
    <m/>
    <x v="0"/>
    <x v="0"/>
    <x v="0"/>
    <x v="0"/>
    <x v="0"/>
  </r>
  <r>
    <s v="Singapore"/>
    <x v="0"/>
    <s v="SG4"/>
    <m/>
    <x v="4"/>
    <x v="2"/>
    <x v="1"/>
    <x v="2"/>
    <x v="0"/>
    <x v="0"/>
    <x v="0"/>
    <m/>
    <x v="0"/>
    <x v="0"/>
    <n v="0.15579000000000001"/>
    <m/>
    <x v="1"/>
    <x v="1"/>
    <x v="0"/>
    <x v="4"/>
    <x v="0"/>
  </r>
  <r>
    <s v="Singapore"/>
    <x v="4"/>
    <s v="SG2"/>
    <m/>
    <x v="2"/>
    <x v="4"/>
    <x v="0"/>
    <x v="2"/>
    <x v="0"/>
    <x v="0"/>
    <x v="0"/>
    <m/>
    <x v="0"/>
    <x v="0"/>
    <n v="-0.15579000000000001"/>
    <m/>
    <x v="0"/>
    <x v="0"/>
    <x v="0"/>
    <x v="3"/>
    <x v="2"/>
  </r>
  <r>
    <s v="Singapore"/>
    <x v="3"/>
    <s v="SG4"/>
    <m/>
    <x v="5"/>
    <x v="1"/>
    <x v="1"/>
    <x v="1"/>
    <x v="0"/>
    <x v="0"/>
    <x v="0"/>
    <m/>
    <x v="0"/>
    <x v="0"/>
    <n v="-2.1322509930000004"/>
    <m/>
    <x v="4"/>
    <x v="0"/>
    <x v="0"/>
    <x v="5"/>
    <x v="2"/>
  </r>
  <r>
    <s v="Singapore"/>
    <x v="0"/>
    <s v="SG4"/>
    <m/>
    <x v="3"/>
    <x v="4"/>
    <x v="1"/>
    <x v="5"/>
    <x v="0"/>
    <x v="0"/>
    <x v="0"/>
    <m/>
    <x v="0"/>
    <x v="0"/>
    <n v="-4.6737000000000001E-2"/>
    <m/>
    <x v="0"/>
    <x v="2"/>
    <x v="0"/>
    <x v="5"/>
    <x v="2"/>
  </r>
  <r>
    <s v="Singapore"/>
    <x v="2"/>
    <s v="SG2"/>
    <m/>
    <x v="2"/>
    <x v="1"/>
    <x v="3"/>
    <x v="0"/>
    <x v="0"/>
    <x v="0"/>
    <x v="0"/>
    <m/>
    <x v="0"/>
    <x v="0"/>
    <n v="-5.657934483"/>
    <m/>
    <x v="7"/>
    <x v="1"/>
    <x v="0"/>
    <x v="2"/>
    <x v="2"/>
  </r>
  <r>
    <s v="Singapore"/>
    <x v="1"/>
    <s v="SG3"/>
    <m/>
    <x v="4"/>
    <x v="0"/>
    <x v="3"/>
    <x v="5"/>
    <x v="0"/>
    <x v="0"/>
    <x v="0"/>
    <m/>
    <x v="0"/>
    <x v="0"/>
    <n v="-7.0105500000000001E-2"/>
    <m/>
    <x v="4"/>
    <x v="2"/>
    <x v="0"/>
    <x v="5"/>
    <x v="1"/>
  </r>
  <r>
    <s v="Singapore"/>
    <x v="1"/>
    <s v="SG2"/>
    <m/>
    <x v="1"/>
    <x v="0"/>
    <x v="0"/>
    <x v="5"/>
    <x v="0"/>
    <x v="0"/>
    <x v="0"/>
    <m/>
    <x v="0"/>
    <x v="0"/>
    <n v="0.74467620000000001"/>
    <m/>
    <x v="1"/>
    <x v="0"/>
    <x v="0"/>
    <x v="1"/>
    <x v="1"/>
  </r>
  <r>
    <s v="Singapore"/>
    <x v="0"/>
    <s v="SG4"/>
    <m/>
    <x v="2"/>
    <x v="0"/>
    <x v="3"/>
    <x v="0"/>
    <x v="0"/>
    <x v="0"/>
    <x v="0"/>
    <m/>
    <x v="0"/>
    <x v="0"/>
    <n v="10.865635866"/>
    <m/>
    <x v="4"/>
    <x v="1"/>
    <x v="0"/>
    <x v="5"/>
    <x v="1"/>
  </r>
  <r>
    <s v="Singapore"/>
    <x v="2"/>
    <s v="SG1"/>
    <m/>
    <x v="2"/>
    <x v="0"/>
    <x v="0"/>
    <x v="3"/>
    <x v="0"/>
    <x v="0"/>
    <x v="0"/>
    <m/>
    <x v="0"/>
    <x v="0"/>
    <n v="-0.280422"/>
    <m/>
    <x v="0"/>
    <x v="1"/>
    <x v="0"/>
    <x v="2"/>
    <x v="2"/>
  </r>
  <r>
    <s v="Singapore"/>
    <x v="0"/>
    <s v="SG4"/>
    <m/>
    <x v="1"/>
    <x v="1"/>
    <x v="2"/>
    <x v="1"/>
    <x v="0"/>
    <x v="0"/>
    <x v="0"/>
    <m/>
    <x v="0"/>
    <x v="0"/>
    <n v="-20.930760396"/>
    <m/>
    <x v="4"/>
    <x v="3"/>
    <x v="0"/>
    <x v="0"/>
    <x v="2"/>
  </r>
  <r>
    <s v="Singapore"/>
    <x v="0"/>
    <s v="SG1"/>
    <m/>
    <x v="5"/>
    <x v="3"/>
    <x v="1"/>
    <x v="3"/>
    <x v="0"/>
    <x v="0"/>
    <x v="0"/>
    <m/>
    <x v="0"/>
    <x v="0"/>
    <n v="-1.1863408500000001"/>
    <m/>
    <x v="3"/>
    <x v="0"/>
    <x v="0"/>
    <x v="4"/>
    <x v="0"/>
  </r>
  <r>
    <s v="Singapore"/>
    <x v="2"/>
    <s v="SG4"/>
    <m/>
    <x v="2"/>
    <x v="0"/>
    <x v="2"/>
    <x v="0"/>
    <x v="0"/>
    <x v="0"/>
    <x v="0"/>
    <m/>
    <x v="0"/>
    <x v="0"/>
    <n v="-54.615783248999996"/>
    <m/>
    <x v="3"/>
    <x v="3"/>
    <x v="0"/>
    <x v="0"/>
    <x v="2"/>
  </r>
  <r>
    <s v="Singapore"/>
    <x v="5"/>
    <s v="SG4"/>
    <m/>
    <x v="2"/>
    <x v="0"/>
    <x v="1"/>
    <x v="4"/>
    <x v="0"/>
    <x v="0"/>
    <x v="0"/>
    <m/>
    <x v="0"/>
    <x v="0"/>
    <n v="-1.822010787"/>
    <m/>
    <x v="4"/>
    <x v="3"/>
    <x v="0"/>
    <x v="5"/>
    <x v="1"/>
  </r>
  <r>
    <s v="Singapore"/>
    <x v="1"/>
    <s v="SG3"/>
    <m/>
    <x v="0"/>
    <x v="3"/>
    <x v="4"/>
    <x v="2"/>
    <x v="0"/>
    <x v="0"/>
    <x v="0"/>
    <m/>
    <x v="0"/>
    <x v="0"/>
    <n v="0.21031650000000002"/>
    <m/>
    <x v="1"/>
    <x v="2"/>
    <x v="0"/>
    <x v="4"/>
    <x v="1"/>
  </r>
  <r>
    <s v="Singapore"/>
    <x v="5"/>
    <s v="SG4"/>
    <m/>
    <x v="2"/>
    <x v="4"/>
    <x v="2"/>
    <x v="0"/>
    <x v="0"/>
    <x v="0"/>
    <x v="0"/>
    <m/>
    <x v="0"/>
    <x v="0"/>
    <n v="1.0095191999999999"/>
    <m/>
    <x v="5"/>
    <x v="0"/>
    <x v="0"/>
    <x v="3"/>
    <x v="1"/>
  </r>
  <r>
    <s v="Singapore"/>
    <x v="5"/>
    <s v="SG2"/>
    <m/>
    <x v="3"/>
    <x v="1"/>
    <x v="2"/>
    <x v="1"/>
    <x v="0"/>
    <x v="0"/>
    <x v="0"/>
    <m/>
    <x v="0"/>
    <x v="0"/>
    <n v="-0.18970548300000001"/>
    <m/>
    <x v="3"/>
    <x v="2"/>
    <x v="0"/>
    <x v="4"/>
    <x v="0"/>
  </r>
  <r>
    <s v="Singapore"/>
    <x v="3"/>
    <s v="SG2"/>
    <m/>
    <x v="0"/>
    <x v="4"/>
    <x v="2"/>
    <x v="4"/>
    <x v="0"/>
    <x v="0"/>
    <x v="0"/>
    <m/>
    <x v="0"/>
    <x v="0"/>
    <n v="-4.6737000000000001E-2"/>
    <m/>
    <x v="0"/>
    <x v="2"/>
    <x v="0"/>
    <x v="4"/>
    <x v="2"/>
  </r>
  <r>
    <s v="Singapore"/>
    <x v="1"/>
    <s v="SG2"/>
    <m/>
    <x v="5"/>
    <x v="1"/>
    <x v="2"/>
    <x v="3"/>
    <x v="0"/>
    <x v="0"/>
    <x v="0"/>
    <m/>
    <x v="0"/>
    <x v="0"/>
    <n v="0.15579000000000001"/>
    <m/>
    <x v="1"/>
    <x v="2"/>
    <x v="0"/>
    <x v="4"/>
    <x v="2"/>
  </r>
  <r>
    <s v="Singapore"/>
    <x v="0"/>
    <s v="SG1"/>
    <m/>
    <x v="2"/>
    <x v="4"/>
    <x v="2"/>
    <x v="1"/>
    <x v="0"/>
    <x v="0"/>
    <x v="0"/>
    <m/>
    <x v="0"/>
    <x v="0"/>
    <n v="-7.7895000000000006E-2"/>
    <m/>
    <x v="0"/>
    <x v="3"/>
    <x v="0"/>
    <x v="5"/>
    <x v="2"/>
  </r>
  <r>
    <s v="Singapore"/>
    <x v="2"/>
    <s v="SG3"/>
    <m/>
    <x v="0"/>
    <x v="3"/>
    <x v="3"/>
    <x v="2"/>
    <x v="0"/>
    <x v="0"/>
    <x v="0"/>
    <m/>
    <x v="0"/>
    <x v="0"/>
    <n v="-0.56084400000000001"/>
    <m/>
    <x v="0"/>
    <x v="0"/>
    <x v="0"/>
    <x v="1"/>
    <x v="1"/>
  </r>
  <r>
    <s v="Singapore"/>
    <x v="2"/>
    <s v="SG1"/>
    <m/>
    <x v="3"/>
    <x v="3"/>
    <x v="3"/>
    <x v="5"/>
    <x v="0"/>
    <x v="0"/>
    <x v="0"/>
    <m/>
    <x v="0"/>
    <x v="0"/>
    <n v="-3.8947500000000003E-2"/>
    <m/>
    <x v="0"/>
    <x v="3"/>
    <x v="0"/>
    <x v="5"/>
    <x v="2"/>
  </r>
  <r>
    <s v="Singapore"/>
    <x v="3"/>
    <s v="SG1"/>
    <m/>
    <x v="5"/>
    <x v="2"/>
    <x v="1"/>
    <x v="2"/>
    <x v="0"/>
    <x v="0"/>
    <x v="0"/>
    <m/>
    <x v="0"/>
    <x v="0"/>
    <n v="-4.6737000000000001E-2"/>
    <m/>
    <x v="0"/>
    <x v="2"/>
    <x v="0"/>
    <x v="1"/>
    <x v="0"/>
  </r>
  <r>
    <s v="Singapore"/>
    <x v="5"/>
    <s v="SG3"/>
    <m/>
    <x v="5"/>
    <x v="0"/>
    <x v="4"/>
    <x v="2"/>
    <x v="0"/>
    <x v="0"/>
    <x v="0"/>
    <m/>
    <x v="0"/>
    <x v="0"/>
    <n v="-7.0105500000000001E-2"/>
    <m/>
    <x v="4"/>
    <x v="1"/>
    <x v="0"/>
    <x v="0"/>
    <x v="1"/>
  </r>
  <r>
    <s v="Singapore"/>
    <x v="5"/>
    <s v="SG4"/>
    <m/>
    <x v="5"/>
    <x v="0"/>
    <x v="4"/>
    <x v="0"/>
    <x v="0"/>
    <x v="0"/>
    <x v="0"/>
    <m/>
    <x v="0"/>
    <x v="0"/>
    <n v="-0.42063300000000003"/>
    <m/>
    <x v="4"/>
    <x v="3"/>
    <x v="0"/>
    <x v="1"/>
    <x v="0"/>
  </r>
  <r>
    <s v="Singapore"/>
    <x v="5"/>
    <s v="SG1"/>
    <m/>
    <x v="0"/>
    <x v="0"/>
    <x v="4"/>
    <x v="1"/>
    <x v="0"/>
    <x v="0"/>
    <x v="0"/>
    <m/>
    <x v="0"/>
    <x v="0"/>
    <n v="3.2207089860000004"/>
    <m/>
    <x v="5"/>
    <x v="3"/>
    <x v="0"/>
    <x v="2"/>
    <x v="0"/>
  </r>
  <r>
    <s v="Singapore"/>
    <x v="4"/>
    <s v="SG4"/>
    <m/>
    <x v="5"/>
    <x v="1"/>
    <x v="1"/>
    <x v="3"/>
    <x v="0"/>
    <x v="0"/>
    <x v="0"/>
    <m/>
    <x v="0"/>
    <x v="0"/>
    <n v="-0.66833910000000007"/>
    <m/>
    <x v="2"/>
    <x v="0"/>
    <x v="0"/>
    <x v="4"/>
    <x v="1"/>
  </r>
  <r>
    <s v="Singapore"/>
    <x v="4"/>
    <s v="SG1"/>
    <m/>
    <x v="5"/>
    <x v="2"/>
    <x v="4"/>
    <x v="2"/>
    <x v="0"/>
    <x v="0"/>
    <x v="0"/>
    <m/>
    <x v="0"/>
    <x v="0"/>
    <n v="-0.46737000000000001"/>
    <m/>
    <x v="4"/>
    <x v="2"/>
    <x v="0"/>
    <x v="1"/>
    <x v="2"/>
  </r>
  <r>
    <s v="Singapore"/>
    <x v="2"/>
    <s v="SG2"/>
    <m/>
    <x v="5"/>
    <x v="3"/>
    <x v="2"/>
    <x v="4"/>
    <x v="0"/>
    <x v="0"/>
    <x v="0"/>
    <m/>
    <x v="0"/>
    <x v="0"/>
    <n v="-7.7895000000000006E-2"/>
    <m/>
    <x v="0"/>
    <x v="1"/>
    <x v="0"/>
    <x v="1"/>
    <x v="0"/>
  </r>
  <r>
    <s v="Singapore"/>
    <x v="0"/>
    <s v="SG2"/>
    <m/>
    <x v="0"/>
    <x v="2"/>
    <x v="2"/>
    <x v="1"/>
    <x v="0"/>
    <x v="0"/>
    <x v="0"/>
    <m/>
    <x v="0"/>
    <x v="0"/>
    <n v="0.42063300000000003"/>
    <m/>
    <x v="4"/>
    <x v="3"/>
    <x v="0"/>
    <x v="2"/>
    <x v="2"/>
  </r>
  <r>
    <s v="Singapore"/>
    <x v="0"/>
    <s v="SG2"/>
    <m/>
    <x v="4"/>
    <x v="2"/>
    <x v="1"/>
    <x v="5"/>
    <x v="0"/>
    <x v="0"/>
    <x v="0"/>
    <m/>
    <x v="0"/>
    <x v="0"/>
    <n v="-0.77895000000000003"/>
    <m/>
    <x v="4"/>
    <x v="1"/>
    <x v="0"/>
    <x v="1"/>
    <x v="0"/>
  </r>
  <r>
    <s v="Singapore"/>
    <x v="2"/>
    <s v="SG1"/>
    <m/>
    <x v="0"/>
    <x v="4"/>
    <x v="0"/>
    <x v="2"/>
    <x v="0"/>
    <x v="0"/>
    <x v="0"/>
    <m/>
    <x v="0"/>
    <x v="0"/>
    <n v="-0.77895000000000003"/>
    <m/>
    <x v="4"/>
    <x v="0"/>
    <x v="0"/>
    <x v="4"/>
    <x v="1"/>
  </r>
  <r>
    <s v="Singapore"/>
    <x v="2"/>
    <s v="SG3"/>
    <m/>
    <x v="0"/>
    <x v="4"/>
    <x v="2"/>
    <x v="4"/>
    <x v="0"/>
    <x v="0"/>
    <x v="0"/>
    <m/>
    <x v="0"/>
    <x v="0"/>
    <n v="-24.396714000000003"/>
    <m/>
    <x v="2"/>
    <x v="0"/>
    <x v="0"/>
    <x v="5"/>
    <x v="2"/>
  </r>
  <r>
    <s v="Singapore"/>
    <x v="2"/>
    <s v="SG1"/>
    <m/>
    <x v="5"/>
    <x v="0"/>
    <x v="2"/>
    <x v="5"/>
    <x v="0"/>
    <x v="0"/>
    <x v="0"/>
    <m/>
    <x v="0"/>
    <x v="0"/>
    <n v="-0.28012599900000001"/>
    <m/>
    <x v="0"/>
    <x v="3"/>
    <x v="0"/>
    <x v="0"/>
    <x v="1"/>
  </r>
  <r>
    <s v="Singapore"/>
    <x v="4"/>
    <s v="SG2"/>
    <m/>
    <x v="5"/>
    <x v="0"/>
    <x v="2"/>
    <x v="1"/>
    <x v="0"/>
    <x v="0"/>
    <x v="0"/>
    <m/>
    <x v="0"/>
    <x v="0"/>
    <n v="1.7993745000000001"/>
    <m/>
    <x v="1"/>
    <x v="1"/>
    <x v="0"/>
    <x v="1"/>
    <x v="2"/>
  </r>
  <r>
    <s v="Singapore"/>
    <x v="2"/>
    <s v="SG2"/>
    <m/>
    <x v="3"/>
    <x v="3"/>
    <x v="3"/>
    <x v="4"/>
    <x v="0"/>
    <x v="0"/>
    <x v="0"/>
    <m/>
    <x v="0"/>
    <x v="0"/>
    <n v="-0.15579000000000001"/>
    <m/>
    <x v="0"/>
    <x v="1"/>
    <x v="0"/>
    <x v="5"/>
    <x v="2"/>
  </r>
  <r>
    <s v="Singapore"/>
    <x v="4"/>
    <s v="SG1"/>
    <m/>
    <x v="5"/>
    <x v="2"/>
    <x v="1"/>
    <x v="0"/>
    <x v="0"/>
    <x v="0"/>
    <x v="0"/>
    <m/>
    <x v="0"/>
    <x v="0"/>
    <n v="1.1521449450000001"/>
    <m/>
    <x v="1"/>
    <x v="3"/>
    <x v="0"/>
    <x v="4"/>
    <x v="1"/>
  </r>
  <r>
    <s v="Singapore"/>
    <x v="2"/>
    <s v="SG1"/>
    <m/>
    <x v="1"/>
    <x v="4"/>
    <x v="1"/>
    <x v="4"/>
    <x v="0"/>
    <x v="0"/>
    <x v="0"/>
    <m/>
    <x v="0"/>
    <x v="0"/>
    <n v="-0.13930741800000002"/>
    <m/>
    <x v="4"/>
    <x v="3"/>
    <x v="0"/>
    <x v="5"/>
    <x v="0"/>
  </r>
  <r>
    <s v="Singapore"/>
    <x v="3"/>
    <s v="SG2"/>
    <m/>
    <x v="0"/>
    <x v="4"/>
    <x v="1"/>
    <x v="2"/>
    <x v="0"/>
    <x v="0"/>
    <x v="0"/>
    <m/>
    <x v="0"/>
    <x v="0"/>
    <n v="-12.00439845"/>
    <m/>
    <x v="2"/>
    <x v="1"/>
    <x v="0"/>
    <x v="2"/>
    <x v="1"/>
  </r>
  <r>
    <s v="Singapore"/>
    <x v="1"/>
    <s v="SG4"/>
    <m/>
    <x v="5"/>
    <x v="3"/>
    <x v="3"/>
    <x v="0"/>
    <x v="0"/>
    <x v="0"/>
    <x v="0"/>
    <m/>
    <x v="0"/>
    <x v="0"/>
    <n v="0.15579000000000001"/>
    <m/>
    <x v="1"/>
    <x v="3"/>
    <x v="0"/>
    <x v="0"/>
    <x v="0"/>
  </r>
  <r>
    <s v="Singapore"/>
    <x v="5"/>
    <s v="SG3"/>
    <m/>
    <x v="5"/>
    <x v="0"/>
    <x v="3"/>
    <x v="2"/>
    <x v="0"/>
    <x v="0"/>
    <x v="0"/>
    <m/>
    <x v="0"/>
    <x v="0"/>
    <n v="-0.62316000000000005"/>
    <m/>
    <x v="4"/>
    <x v="1"/>
    <x v="0"/>
    <x v="0"/>
    <x v="0"/>
  </r>
  <r>
    <s v="Singapore"/>
    <x v="5"/>
    <s v="SG4"/>
    <m/>
    <x v="5"/>
    <x v="1"/>
    <x v="1"/>
    <x v="4"/>
    <x v="0"/>
    <x v="0"/>
    <x v="0"/>
    <m/>
    <x v="0"/>
    <x v="0"/>
    <n v="-2.33685E-2"/>
    <m/>
    <x v="0"/>
    <x v="3"/>
    <x v="0"/>
    <x v="3"/>
    <x v="0"/>
  </r>
  <r>
    <s v="Singapore"/>
    <x v="0"/>
    <s v="SG2"/>
    <m/>
    <x v="0"/>
    <x v="0"/>
    <x v="3"/>
    <x v="2"/>
    <x v="0"/>
    <x v="0"/>
    <x v="0"/>
    <m/>
    <x v="0"/>
    <x v="0"/>
    <n v="0.99705600000000005"/>
    <m/>
    <x v="1"/>
    <x v="0"/>
    <x v="0"/>
    <x v="3"/>
    <x v="0"/>
  </r>
  <r>
    <s v="Singapore"/>
    <x v="0"/>
    <s v="SG2"/>
    <m/>
    <x v="1"/>
    <x v="3"/>
    <x v="2"/>
    <x v="4"/>
    <x v="0"/>
    <x v="0"/>
    <x v="0"/>
    <m/>
    <x v="0"/>
    <x v="0"/>
    <n v="-0.12463200000000001"/>
    <m/>
    <x v="4"/>
    <x v="1"/>
    <x v="0"/>
    <x v="4"/>
    <x v="1"/>
  </r>
  <r>
    <s v="Singapore"/>
    <x v="0"/>
    <s v="SG4"/>
    <m/>
    <x v="3"/>
    <x v="2"/>
    <x v="2"/>
    <x v="1"/>
    <x v="0"/>
    <x v="0"/>
    <x v="0"/>
    <m/>
    <x v="0"/>
    <x v="0"/>
    <n v="-1.2151620000000001"/>
    <m/>
    <x v="4"/>
    <x v="1"/>
    <x v="0"/>
    <x v="4"/>
    <x v="2"/>
  </r>
  <r>
    <s v="Singapore"/>
    <x v="2"/>
    <s v="SG3"/>
    <m/>
    <x v="0"/>
    <x v="4"/>
    <x v="0"/>
    <x v="0"/>
    <x v="0"/>
    <x v="0"/>
    <x v="0"/>
    <m/>
    <x v="0"/>
    <x v="0"/>
    <n v="0.15579000000000001"/>
    <m/>
    <x v="1"/>
    <x v="0"/>
    <x v="0"/>
    <x v="5"/>
    <x v="1"/>
  </r>
  <r>
    <s v="Singapore"/>
    <x v="5"/>
    <s v="SG1"/>
    <m/>
    <x v="0"/>
    <x v="3"/>
    <x v="1"/>
    <x v="3"/>
    <x v="0"/>
    <x v="0"/>
    <x v="0"/>
    <m/>
    <x v="0"/>
    <x v="0"/>
    <n v="0.1838322"/>
    <m/>
    <x v="4"/>
    <x v="0"/>
    <x v="0"/>
    <x v="5"/>
    <x v="0"/>
  </r>
  <r>
    <s v="Singapore"/>
    <x v="4"/>
    <s v="SG2"/>
    <m/>
    <x v="5"/>
    <x v="1"/>
    <x v="4"/>
    <x v="2"/>
    <x v="0"/>
    <x v="0"/>
    <x v="0"/>
    <m/>
    <x v="0"/>
    <x v="0"/>
    <n v="-5.6084400000000006E-2"/>
    <m/>
    <x v="3"/>
    <x v="1"/>
    <x v="0"/>
    <x v="0"/>
    <x v="0"/>
  </r>
  <r>
    <s v="Singapore"/>
    <x v="5"/>
    <s v="SG4"/>
    <m/>
    <x v="1"/>
    <x v="3"/>
    <x v="1"/>
    <x v="5"/>
    <x v="0"/>
    <x v="0"/>
    <x v="0"/>
    <m/>
    <x v="0"/>
    <x v="0"/>
    <n v="0.15579000000000001"/>
    <m/>
    <x v="1"/>
    <x v="0"/>
    <x v="0"/>
    <x v="0"/>
    <x v="2"/>
  </r>
  <r>
    <s v="Singapore"/>
    <x v="0"/>
    <s v="SG1"/>
    <m/>
    <x v="5"/>
    <x v="3"/>
    <x v="3"/>
    <x v="5"/>
    <x v="0"/>
    <x v="0"/>
    <x v="0"/>
    <m/>
    <x v="0"/>
    <x v="0"/>
    <n v="-4.6737000000000001E-2"/>
    <m/>
    <x v="0"/>
    <x v="2"/>
    <x v="0"/>
    <x v="4"/>
    <x v="0"/>
  </r>
  <r>
    <s v="Singapore"/>
    <x v="2"/>
    <s v="SG2"/>
    <m/>
    <x v="3"/>
    <x v="2"/>
    <x v="4"/>
    <x v="0"/>
    <x v="0"/>
    <x v="0"/>
    <x v="0"/>
    <m/>
    <x v="0"/>
    <x v="0"/>
    <n v="-0.93474000000000002"/>
    <m/>
    <x v="0"/>
    <x v="2"/>
    <x v="0"/>
    <x v="1"/>
    <x v="0"/>
  </r>
  <r>
    <s v="Singapore"/>
    <x v="5"/>
    <s v="SG1"/>
    <m/>
    <x v="3"/>
    <x v="4"/>
    <x v="0"/>
    <x v="0"/>
    <x v="0"/>
    <x v="0"/>
    <x v="0"/>
    <m/>
    <x v="0"/>
    <x v="0"/>
    <n v="0.15579000000000001"/>
    <m/>
    <x v="1"/>
    <x v="1"/>
    <x v="0"/>
    <x v="3"/>
    <x v="2"/>
  </r>
  <r>
    <s v="Singapore"/>
    <x v="0"/>
    <s v="SG2"/>
    <m/>
    <x v="4"/>
    <x v="0"/>
    <x v="4"/>
    <x v="0"/>
    <x v="0"/>
    <x v="0"/>
    <x v="0"/>
    <m/>
    <x v="0"/>
    <x v="0"/>
    <n v="-0.77895000000000003"/>
    <m/>
    <x v="4"/>
    <x v="3"/>
    <x v="0"/>
    <x v="5"/>
    <x v="1"/>
  </r>
  <r>
    <s v="Singapore"/>
    <x v="1"/>
    <s v="SG3"/>
    <m/>
    <x v="5"/>
    <x v="1"/>
    <x v="4"/>
    <x v="2"/>
    <x v="0"/>
    <x v="0"/>
    <x v="0"/>
    <m/>
    <x v="0"/>
    <x v="0"/>
    <n v="0.140211"/>
    <m/>
    <x v="0"/>
    <x v="2"/>
    <x v="0"/>
    <x v="1"/>
    <x v="1"/>
  </r>
  <r>
    <s v="Singapore"/>
    <x v="4"/>
    <s v="SG2"/>
    <m/>
    <x v="0"/>
    <x v="4"/>
    <x v="4"/>
    <x v="2"/>
    <x v="0"/>
    <x v="0"/>
    <x v="0"/>
    <m/>
    <x v="0"/>
    <x v="0"/>
    <n v="2.3020465140000002"/>
    <m/>
    <x v="1"/>
    <x v="2"/>
    <x v="0"/>
    <x v="2"/>
    <x v="0"/>
  </r>
  <r>
    <s v="Singapore"/>
    <x v="0"/>
    <s v="SG1"/>
    <m/>
    <x v="4"/>
    <x v="2"/>
    <x v="1"/>
    <x v="3"/>
    <x v="0"/>
    <x v="0"/>
    <x v="0"/>
    <m/>
    <x v="0"/>
    <x v="0"/>
    <n v="4.0505400000000002E-4"/>
    <m/>
    <x v="8"/>
    <x v="2"/>
    <x v="0"/>
    <x v="1"/>
    <x v="2"/>
  </r>
  <r>
    <s v="Singapore"/>
    <x v="3"/>
    <s v="SG3"/>
    <m/>
    <x v="0"/>
    <x v="1"/>
    <x v="3"/>
    <x v="5"/>
    <x v="0"/>
    <x v="0"/>
    <x v="0"/>
    <m/>
    <x v="0"/>
    <x v="0"/>
    <n v="-0.15579000000000001"/>
    <m/>
    <x v="0"/>
    <x v="0"/>
    <x v="0"/>
    <x v="2"/>
    <x v="2"/>
  </r>
  <r>
    <s v="Singapore"/>
    <x v="4"/>
    <s v="SG1"/>
    <m/>
    <x v="2"/>
    <x v="4"/>
    <x v="2"/>
    <x v="4"/>
    <x v="0"/>
    <x v="0"/>
    <x v="0"/>
    <m/>
    <x v="0"/>
    <x v="0"/>
    <n v="-0.1838322"/>
    <m/>
    <x v="4"/>
    <x v="3"/>
    <x v="0"/>
    <x v="2"/>
    <x v="0"/>
  </r>
  <r>
    <s v="Singapore"/>
    <x v="3"/>
    <s v="SG4"/>
    <m/>
    <x v="1"/>
    <x v="0"/>
    <x v="1"/>
    <x v="0"/>
    <x v="0"/>
    <x v="0"/>
    <x v="0"/>
    <m/>
    <x v="0"/>
    <x v="0"/>
    <n v="-0.12463200000000001"/>
    <m/>
    <x v="0"/>
    <x v="1"/>
    <x v="0"/>
    <x v="2"/>
    <x v="0"/>
  </r>
  <r>
    <s v="Singapore"/>
    <x v="5"/>
    <s v="SG2"/>
    <m/>
    <x v="0"/>
    <x v="1"/>
    <x v="2"/>
    <x v="0"/>
    <x v="0"/>
    <x v="0"/>
    <x v="0"/>
    <m/>
    <x v="0"/>
    <x v="0"/>
    <n v="8.3347650000000009"/>
    <m/>
    <x v="1"/>
    <x v="1"/>
    <x v="0"/>
    <x v="4"/>
    <x v="1"/>
  </r>
  <r>
    <s v="Singapore"/>
    <x v="2"/>
    <s v="SG2"/>
    <m/>
    <x v="4"/>
    <x v="0"/>
    <x v="2"/>
    <x v="0"/>
    <x v="0"/>
    <x v="0"/>
    <x v="0"/>
    <m/>
    <x v="0"/>
    <x v="0"/>
    <n v="-0.12826190700000001"/>
    <m/>
    <x v="4"/>
    <x v="0"/>
    <x v="0"/>
    <x v="0"/>
    <x v="0"/>
  </r>
  <r>
    <s v="Singapore"/>
    <x v="5"/>
    <s v="SG4"/>
    <m/>
    <x v="3"/>
    <x v="4"/>
    <x v="2"/>
    <x v="2"/>
    <x v="0"/>
    <x v="0"/>
    <x v="0"/>
    <m/>
    <x v="0"/>
    <x v="0"/>
    <n v="-2.508219"/>
    <m/>
    <x v="4"/>
    <x v="0"/>
    <x v="0"/>
    <x v="5"/>
    <x v="0"/>
  </r>
  <r>
    <s v="Singapore"/>
    <x v="3"/>
    <s v="SG3"/>
    <m/>
    <x v="1"/>
    <x v="2"/>
    <x v="1"/>
    <x v="0"/>
    <x v="0"/>
    <x v="0"/>
    <x v="0"/>
    <m/>
    <x v="0"/>
    <x v="0"/>
    <n v="0.10260329400000001"/>
    <m/>
    <x v="8"/>
    <x v="1"/>
    <x v="0"/>
    <x v="0"/>
    <x v="2"/>
  </r>
  <r>
    <s v="Singapore"/>
    <x v="2"/>
    <s v="SG4"/>
    <m/>
    <x v="3"/>
    <x v="0"/>
    <x v="3"/>
    <x v="2"/>
    <x v="0"/>
    <x v="0"/>
    <x v="0"/>
    <m/>
    <x v="0"/>
    <x v="0"/>
    <n v="-0.12463200000000001"/>
    <m/>
    <x v="1"/>
    <x v="3"/>
    <x v="0"/>
    <x v="5"/>
    <x v="1"/>
  </r>
  <r>
    <s v="Singapore"/>
    <x v="3"/>
    <s v="SG3"/>
    <m/>
    <x v="4"/>
    <x v="0"/>
    <x v="2"/>
    <x v="1"/>
    <x v="0"/>
    <x v="0"/>
    <x v="0"/>
    <m/>
    <x v="0"/>
    <x v="0"/>
    <n v="-1.6357950000000001"/>
    <m/>
    <x v="4"/>
    <x v="1"/>
    <x v="0"/>
    <x v="3"/>
    <x v="1"/>
  </r>
  <r>
    <s v="Singapore"/>
    <x v="0"/>
    <s v="SG3"/>
    <m/>
    <x v="3"/>
    <x v="2"/>
    <x v="0"/>
    <x v="0"/>
    <x v="0"/>
    <x v="0"/>
    <x v="0"/>
    <m/>
    <x v="0"/>
    <x v="0"/>
    <n v="-0.280422"/>
    <m/>
    <x v="0"/>
    <x v="2"/>
    <x v="0"/>
    <x v="0"/>
    <x v="2"/>
  </r>
  <r>
    <s v="Singapore"/>
    <x v="2"/>
    <s v="SG2"/>
    <m/>
    <x v="1"/>
    <x v="2"/>
    <x v="3"/>
    <x v="4"/>
    <x v="0"/>
    <x v="0"/>
    <x v="0"/>
    <m/>
    <x v="0"/>
    <x v="0"/>
    <n v="3.349485"/>
    <m/>
    <x v="4"/>
    <x v="1"/>
    <x v="0"/>
    <x v="1"/>
    <x v="2"/>
  </r>
  <r>
    <s v="Singapore"/>
    <x v="1"/>
    <s v="SG3"/>
    <m/>
    <x v="0"/>
    <x v="0"/>
    <x v="0"/>
    <x v="5"/>
    <x v="0"/>
    <x v="0"/>
    <x v="0"/>
    <m/>
    <x v="0"/>
    <x v="0"/>
    <n v="-0.15579000000000001"/>
    <m/>
    <x v="0"/>
    <x v="1"/>
    <x v="0"/>
    <x v="3"/>
    <x v="2"/>
  </r>
  <r>
    <s v="Singapore"/>
    <x v="3"/>
    <s v="SG2"/>
    <m/>
    <x v="0"/>
    <x v="0"/>
    <x v="3"/>
    <x v="5"/>
    <x v="0"/>
    <x v="0"/>
    <x v="0"/>
    <m/>
    <x v="0"/>
    <x v="0"/>
    <n v="-0.26328509999999999"/>
    <m/>
    <x v="2"/>
    <x v="3"/>
    <x v="0"/>
    <x v="4"/>
    <x v="2"/>
  </r>
  <r>
    <s v="Singapore"/>
    <x v="4"/>
    <s v="SG1"/>
    <m/>
    <x v="0"/>
    <x v="3"/>
    <x v="4"/>
    <x v="0"/>
    <x v="0"/>
    <x v="0"/>
    <x v="0"/>
    <m/>
    <x v="0"/>
    <x v="0"/>
    <n v="1.0801232280000002"/>
    <m/>
    <x v="1"/>
    <x v="2"/>
    <x v="0"/>
    <x v="1"/>
    <x v="2"/>
  </r>
  <r>
    <s v="Singapore"/>
    <x v="2"/>
    <s v="SG3"/>
    <m/>
    <x v="2"/>
    <x v="4"/>
    <x v="4"/>
    <x v="3"/>
    <x v="0"/>
    <x v="0"/>
    <x v="0"/>
    <m/>
    <x v="0"/>
    <x v="0"/>
    <n v="-10.3569192"/>
    <m/>
    <x v="7"/>
    <x v="3"/>
    <x v="0"/>
    <x v="4"/>
    <x v="2"/>
  </r>
  <r>
    <s v="Singapore"/>
    <x v="2"/>
    <s v="SG2"/>
    <m/>
    <x v="0"/>
    <x v="1"/>
    <x v="3"/>
    <x v="2"/>
    <x v="0"/>
    <x v="0"/>
    <x v="0"/>
    <m/>
    <x v="0"/>
    <x v="0"/>
    <n v="8.256870000000001"/>
    <m/>
    <x v="2"/>
    <x v="0"/>
    <x v="0"/>
    <x v="0"/>
    <x v="1"/>
  </r>
  <r>
    <s v="Singapore"/>
    <x v="4"/>
    <s v="SG3"/>
    <m/>
    <x v="2"/>
    <x v="4"/>
    <x v="2"/>
    <x v="2"/>
    <x v="0"/>
    <x v="0"/>
    <x v="0"/>
    <m/>
    <x v="0"/>
    <x v="0"/>
    <n v="-0.15579000000000001"/>
    <m/>
    <x v="0"/>
    <x v="1"/>
    <x v="0"/>
    <x v="1"/>
    <x v="1"/>
  </r>
  <r>
    <s v="Singapore"/>
    <x v="3"/>
    <s v="SG4"/>
    <m/>
    <x v="4"/>
    <x v="1"/>
    <x v="0"/>
    <x v="4"/>
    <x v="0"/>
    <x v="0"/>
    <x v="0"/>
    <m/>
    <x v="0"/>
    <x v="0"/>
    <n v="-0.17136900000000002"/>
    <m/>
    <x v="8"/>
    <x v="3"/>
    <x v="0"/>
    <x v="3"/>
    <x v="2"/>
  </r>
  <r>
    <s v="Singapore"/>
    <x v="1"/>
    <s v="SG4"/>
    <m/>
    <x v="5"/>
    <x v="1"/>
    <x v="0"/>
    <x v="3"/>
    <x v="0"/>
    <x v="0"/>
    <x v="0"/>
    <m/>
    <x v="0"/>
    <x v="0"/>
    <n v="-0.70884449999999999"/>
    <m/>
    <x v="0"/>
    <x v="3"/>
    <x v="0"/>
    <x v="0"/>
    <x v="2"/>
  </r>
  <r>
    <s v="Singapore"/>
    <x v="3"/>
    <s v="SG2"/>
    <m/>
    <x v="3"/>
    <x v="3"/>
    <x v="0"/>
    <x v="5"/>
    <x v="0"/>
    <x v="0"/>
    <x v="0"/>
    <m/>
    <x v="0"/>
    <x v="0"/>
    <n v="-0.12463200000000001"/>
    <m/>
    <x v="0"/>
    <x v="0"/>
    <x v="0"/>
    <x v="3"/>
    <x v="2"/>
  </r>
  <r>
    <s v="Singapore"/>
    <x v="5"/>
    <s v="SG1"/>
    <m/>
    <x v="1"/>
    <x v="0"/>
    <x v="1"/>
    <x v="1"/>
    <x v="0"/>
    <x v="0"/>
    <x v="0"/>
    <m/>
    <x v="0"/>
    <x v="0"/>
    <n v="-4.226909859"/>
    <m/>
    <x v="2"/>
    <x v="3"/>
    <x v="0"/>
    <x v="2"/>
    <x v="1"/>
  </r>
  <r>
    <s v="Singapore"/>
    <x v="1"/>
    <s v="SG2"/>
    <m/>
    <x v="2"/>
    <x v="1"/>
    <x v="3"/>
    <x v="0"/>
    <x v="0"/>
    <x v="0"/>
    <x v="0"/>
    <m/>
    <x v="0"/>
    <x v="0"/>
    <n v="0.95810850000000003"/>
    <m/>
    <x v="7"/>
    <x v="3"/>
    <x v="0"/>
    <x v="4"/>
    <x v="1"/>
  </r>
  <r>
    <s v="Singapore"/>
    <x v="0"/>
    <s v="SG2"/>
    <m/>
    <x v="4"/>
    <x v="4"/>
    <x v="3"/>
    <x v="1"/>
    <x v="0"/>
    <x v="0"/>
    <x v="0"/>
    <m/>
    <x v="0"/>
    <x v="0"/>
    <n v="-4.6737000000000001E-2"/>
    <m/>
    <x v="0"/>
    <x v="2"/>
    <x v="0"/>
    <x v="5"/>
    <x v="1"/>
  </r>
  <r>
    <s v="Singapore"/>
    <x v="4"/>
    <s v="SG4"/>
    <m/>
    <x v="2"/>
    <x v="2"/>
    <x v="2"/>
    <x v="5"/>
    <x v="0"/>
    <x v="0"/>
    <x v="0"/>
    <m/>
    <x v="0"/>
    <x v="0"/>
    <n v="-0.358317"/>
    <m/>
    <x v="1"/>
    <x v="0"/>
    <x v="0"/>
    <x v="1"/>
    <x v="1"/>
  </r>
  <r>
    <s v="Singapore"/>
    <x v="0"/>
    <s v="SG4"/>
    <m/>
    <x v="4"/>
    <x v="0"/>
    <x v="1"/>
    <x v="0"/>
    <x v="0"/>
    <x v="0"/>
    <x v="0"/>
    <m/>
    <x v="0"/>
    <x v="0"/>
    <n v="-0.12463200000000001"/>
    <m/>
    <x v="4"/>
    <x v="1"/>
    <x v="0"/>
    <x v="1"/>
    <x v="1"/>
  </r>
  <r>
    <s v="Singapore"/>
    <x v="3"/>
    <s v="SG2"/>
    <m/>
    <x v="0"/>
    <x v="2"/>
    <x v="0"/>
    <x v="4"/>
    <x v="0"/>
    <x v="0"/>
    <x v="0"/>
    <m/>
    <x v="0"/>
    <x v="0"/>
    <n v="-4.6051524000000006"/>
    <m/>
    <x v="4"/>
    <x v="1"/>
    <x v="0"/>
    <x v="4"/>
    <x v="1"/>
  </r>
  <r>
    <s v="Singapore"/>
    <x v="2"/>
    <s v="SG4"/>
    <m/>
    <x v="1"/>
    <x v="2"/>
    <x v="3"/>
    <x v="3"/>
    <x v="0"/>
    <x v="0"/>
    <x v="0"/>
    <m/>
    <x v="0"/>
    <x v="0"/>
    <n v="-7.7895000000000006E-2"/>
    <m/>
    <x v="4"/>
    <x v="3"/>
    <x v="0"/>
    <x v="3"/>
    <x v="0"/>
  </r>
  <r>
    <s v="Singapore"/>
    <x v="0"/>
    <s v="SG4"/>
    <m/>
    <x v="5"/>
    <x v="4"/>
    <x v="3"/>
    <x v="5"/>
    <x v="0"/>
    <x v="0"/>
    <x v="0"/>
    <m/>
    <x v="0"/>
    <x v="0"/>
    <n v="0.15579000000000001"/>
    <m/>
    <x v="1"/>
    <x v="3"/>
    <x v="0"/>
    <x v="5"/>
    <x v="2"/>
  </r>
  <r>
    <s v="Singapore"/>
    <x v="4"/>
    <s v="SG1"/>
    <m/>
    <x v="3"/>
    <x v="0"/>
    <x v="4"/>
    <x v="0"/>
    <x v="0"/>
    <x v="0"/>
    <x v="0"/>
    <m/>
    <x v="0"/>
    <x v="0"/>
    <n v="1.168425"/>
    <m/>
    <x v="1"/>
    <x v="3"/>
    <x v="0"/>
    <x v="4"/>
    <x v="1"/>
  </r>
  <r>
    <s v="Singapore"/>
    <x v="3"/>
    <s v="SG3"/>
    <m/>
    <x v="4"/>
    <x v="3"/>
    <x v="0"/>
    <x v="1"/>
    <x v="0"/>
    <x v="0"/>
    <x v="0"/>
    <m/>
    <x v="0"/>
    <x v="0"/>
    <n v="1.0801232280000002"/>
    <m/>
    <x v="1"/>
    <x v="3"/>
    <x v="0"/>
    <x v="0"/>
    <x v="0"/>
  </r>
  <r>
    <s v="Singapore"/>
    <x v="0"/>
    <s v="SG1"/>
    <m/>
    <x v="2"/>
    <x v="0"/>
    <x v="3"/>
    <x v="3"/>
    <x v="0"/>
    <x v="0"/>
    <x v="0"/>
    <m/>
    <x v="0"/>
    <x v="0"/>
    <n v="-0.21810600000000002"/>
    <m/>
    <x v="1"/>
    <x v="0"/>
    <x v="0"/>
    <x v="3"/>
    <x v="2"/>
  </r>
  <r>
    <s v="Singapore"/>
    <x v="3"/>
    <s v="SG3"/>
    <m/>
    <x v="5"/>
    <x v="3"/>
    <x v="4"/>
    <x v="2"/>
    <x v="0"/>
    <x v="0"/>
    <x v="0"/>
    <m/>
    <x v="0"/>
    <x v="0"/>
    <n v="0.27842788800000001"/>
    <m/>
    <x v="8"/>
    <x v="2"/>
    <x v="0"/>
    <x v="0"/>
    <x v="2"/>
  </r>
  <r>
    <s v="Singapore"/>
    <x v="4"/>
    <s v="SG4"/>
    <m/>
    <x v="0"/>
    <x v="2"/>
    <x v="3"/>
    <x v="4"/>
    <x v="0"/>
    <x v="0"/>
    <x v="0"/>
    <m/>
    <x v="0"/>
    <x v="0"/>
    <n v="1.40211"/>
    <m/>
    <x v="1"/>
    <x v="1"/>
    <x v="0"/>
    <x v="2"/>
    <x v="1"/>
  </r>
  <r>
    <s v="Singapore"/>
    <x v="4"/>
    <s v="SG4"/>
    <m/>
    <x v="3"/>
    <x v="4"/>
    <x v="3"/>
    <x v="5"/>
    <x v="0"/>
    <x v="0"/>
    <x v="0"/>
    <m/>
    <x v="0"/>
    <x v="0"/>
    <n v="-75.857266800000005"/>
    <m/>
    <x v="4"/>
    <x v="1"/>
    <x v="0"/>
    <x v="5"/>
    <x v="1"/>
  </r>
  <r>
    <s v="Singapore"/>
    <x v="2"/>
    <s v="SG2"/>
    <m/>
    <x v="3"/>
    <x v="0"/>
    <x v="4"/>
    <x v="4"/>
    <x v="0"/>
    <x v="0"/>
    <x v="0"/>
    <m/>
    <x v="0"/>
    <x v="0"/>
    <n v="-0.233685"/>
    <m/>
    <x v="0"/>
    <x v="0"/>
    <x v="0"/>
    <x v="1"/>
    <x v="1"/>
  </r>
  <r>
    <s v="Singapore"/>
    <x v="1"/>
    <s v="SG1"/>
    <m/>
    <x v="4"/>
    <x v="3"/>
    <x v="1"/>
    <x v="0"/>
    <x v="0"/>
    <x v="0"/>
    <x v="0"/>
    <m/>
    <x v="0"/>
    <x v="0"/>
    <n v="0.92685702600000008"/>
    <m/>
    <x v="8"/>
    <x v="1"/>
    <x v="0"/>
    <x v="1"/>
    <x v="0"/>
  </r>
  <r>
    <s v="Singapore"/>
    <x v="0"/>
    <s v="SG1"/>
    <m/>
    <x v="1"/>
    <x v="4"/>
    <x v="1"/>
    <x v="1"/>
    <x v="0"/>
    <x v="0"/>
    <x v="0"/>
    <m/>
    <x v="0"/>
    <x v="0"/>
    <n v="-36.924909588000006"/>
    <m/>
    <x v="2"/>
    <x v="3"/>
    <x v="0"/>
    <x v="1"/>
    <x v="0"/>
  </r>
  <r>
    <s v="Singapore"/>
    <x v="4"/>
    <s v="SG4"/>
    <m/>
    <x v="4"/>
    <x v="4"/>
    <x v="3"/>
    <x v="2"/>
    <x v="0"/>
    <x v="0"/>
    <x v="0"/>
    <m/>
    <x v="0"/>
    <x v="0"/>
    <n v="-7.7895000000000004E-3"/>
    <m/>
    <x v="0"/>
    <x v="2"/>
    <x v="0"/>
    <x v="4"/>
    <x v="2"/>
  </r>
  <r>
    <s v="Singapore"/>
    <x v="1"/>
    <s v="SG4"/>
    <m/>
    <x v="0"/>
    <x v="4"/>
    <x v="3"/>
    <x v="0"/>
    <x v="0"/>
    <x v="0"/>
    <x v="0"/>
    <m/>
    <x v="0"/>
    <x v="0"/>
    <n v="1.3709520000000002"/>
    <m/>
    <x v="0"/>
    <x v="2"/>
    <x v="0"/>
    <x v="3"/>
    <x v="0"/>
  </r>
  <r>
    <s v="Singapore"/>
    <x v="3"/>
    <s v="SG4"/>
    <m/>
    <x v="1"/>
    <x v="1"/>
    <x v="1"/>
    <x v="3"/>
    <x v="0"/>
    <x v="0"/>
    <x v="0"/>
    <m/>
    <x v="0"/>
    <x v="0"/>
    <n v="45.189771614999998"/>
    <m/>
    <x v="5"/>
    <x v="1"/>
    <x v="0"/>
    <x v="3"/>
    <x v="1"/>
  </r>
  <r>
    <s v="Singapore"/>
    <x v="3"/>
    <s v="SG4"/>
    <m/>
    <x v="5"/>
    <x v="1"/>
    <x v="2"/>
    <x v="3"/>
    <x v="0"/>
    <x v="0"/>
    <x v="0"/>
    <m/>
    <x v="0"/>
    <x v="0"/>
    <n v="-0.233685"/>
    <m/>
    <x v="0"/>
    <x v="3"/>
    <x v="0"/>
    <x v="3"/>
    <x v="1"/>
  </r>
  <r>
    <s v="Singapore"/>
    <x v="0"/>
    <s v="SG3"/>
    <m/>
    <x v="0"/>
    <x v="0"/>
    <x v="1"/>
    <x v="5"/>
    <x v="0"/>
    <x v="0"/>
    <x v="0"/>
    <m/>
    <x v="0"/>
    <x v="0"/>
    <n v="-4.6737000000000001E-2"/>
    <m/>
    <x v="0"/>
    <x v="1"/>
    <x v="0"/>
    <x v="1"/>
    <x v="1"/>
  </r>
  <r>
    <s v="Singapore"/>
    <x v="3"/>
    <s v="SG4"/>
    <m/>
    <x v="4"/>
    <x v="3"/>
    <x v="1"/>
    <x v="1"/>
    <x v="0"/>
    <x v="0"/>
    <x v="0"/>
    <m/>
    <x v="0"/>
    <x v="0"/>
    <n v="-0.12463200000000001"/>
    <m/>
    <x v="0"/>
    <x v="1"/>
    <x v="0"/>
    <x v="5"/>
    <x v="2"/>
  </r>
  <r>
    <s v="Singapore"/>
    <x v="4"/>
    <s v="SG4"/>
    <m/>
    <x v="2"/>
    <x v="1"/>
    <x v="4"/>
    <x v="2"/>
    <x v="0"/>
    <x v="0"/>
    <x v="0"/>
    <m/>
    <x v="0"/>
    <x v="0"/>
    <n v="-64.963168101000008"/>
    <m/>
    <x v="7"/>
    <x v="0"/>
    <x v="0"/>
    <x v="5"/>
    <x v="0"/>
  </r>
  <r>
    <s v="Singapore"/>
    <x v="0"/>
    <s v="SG3"/>
    <m/>
    <x v="3"/>
    <x v="3"/>
    <x v="4"/>
    <x v="0"/>
    <x v="0"/>
    <x v="0"/>
    <x v="0"/>
    <m/>
    <x v="0"/>
    <x v="0"/>
    <n v="9.2081860560000006"/>
    <m/>
    <x v="1"/>
    <x v="0"/>
    <x v="0"/>
    <x v="2"/>
    <x v="0"/>
  </r>
  <r>
    <s v="Singapore"/>
    <x v="2"/>
    <s v="SG4"/>
    <m/>
    <x v="4"/>
    <x v="1"/>
    <x v="2"/>
    <x v="3"/>
    <x v="0"/>
    <x v="0"/>
    <x v="0"/>
    <m/>
    <x v="0"/>
    <x v="0"/>
    <n v="-9.3474000000000002E-2"/>
    <m/>
    <x v="0"/>
    <x v="3"/>
    <x v="0"/>
    <x v="0"/>
    <x v="0"/>
  </r>
  <r>
    <s v="Singapore"/>
    <x v="5"/>
    <s v="SG3"/>
    <m/>
    <x v="5"/>
    <x v="0"/>
    <x v="1"/>
    <x v="2"/>
    <x v="0"/>
    <x v="0"/>
    <x v="0"/>
    <m/>
    <x v="0"/>
    <x v="0"/>
    <n v="-3.5173487250000002"/>
    <m/>
    <x v="4"/>
    <x v="2"/>
    <x v="0"/>
    <x v="1"/>
    <x v="1"/>
  </r>
  <r>
    <s v="Singapore"/>
    <x v="5"/>
    <s v="SG4"/>
    <m/>
    <x v="1"/>
    <x v="3"/>
    <x v="4"/>
    <x v="1"/>
    <x v="0"/>
    <x v="0"/>
    <x v="0"/>
    <m/>
    <x v="0"/>
    <x v="0"/>
    <n v="0.20905460100000001"/>
    <m/>
    <x v="0"/>
    <x v="3"/>
    <x v="0"/>
    <x v="4"/>
    <x v="0"/>
  </r>
  <r>
    <s v="Singapore"/>
    <x v="4"/>
    <s v="SG4"/>
    <m/>
    <x v="3"/>
    <x v="2"/>
    <x v="0"/>
    <x v="5"/>
    <x v="0"/>
    <x v="0"/>
    <x v="0"/>
    <m/>
    <x v="0"/>
    <x v="0"/>
    <n v="-3.1158000000000002E-2"/>
    <m/>
    <x v="0"/>
    <x v="2"/>
    <x v="0"/>
    <x v="5"/>
    <x v="2"/>
  </r>
  <r>
    <s v="Singapore"/>
    <x v="1"/>
    <s v="SG1"/>
    <m/>
    <x v="2"/>
    <x v="0"/>
    <x v="0"/>
    <x v="3"/>
    <x v="0"/>
    <x v="0"/>
    <x v="0"/>
    <m/>
    <x v="0"/>
    <x v="0"/>
    <n v="-62.316000000000003"/>
    <m/>
    <x v="7"/>
    <x v="2"/>
    <x v="0"/>
    <x v="3"/>
    <x v="2"/>
  </r>
  <r>
    <s v="Singapore"/>
    <x v="3"/>
    <s v="SG2"/>
    <m/>
    <x v="1"/>
    <x v="4"/>
    <x v="0"/>
    <x v="3"/>
    <x v="0"/>
    <x v="0"/>
    <x v="0"/>
    <m/>
    <x v="0"/>
    <x v="0"/>
    <n v="-33.0041115"/>
    <m/>
    <x v="0"/>
    <x v="0"/>
    <x v="0"/>
    <x v="2"/>
    <x v="0"/>
  </r>
  <r>
    <s v="Singapore"/>
    <x v="2"/>
    <s v="SG1"/>
    <m/>
    <x v="1"/>
    <x v="0"/>
    <x v="4"/>
    <x v="3"/>
    <x v="0"/>
    <x v="0"/>
    <x v="0"/>
    <m/>
    <x v="0"/>
    <x v="0"/>
    <n v="-0.20096910000000001"/>
    <m/>
    <x v="3"/>
    <x v="1"/>
    <x v="0"/>
    <x v="3"/>
    <x v="1"/>
  </r>
  <r>
    <s v="Singapore"/>
    <x v="2"/>
    <s v="SG2"/>
    <m/>
    <x v="5"/>
    <x v="1"/>
    <x v="0"/>
    <x v="5"/>
    <x v="0"/>
    <x v="0"/>
    <x v="0"/>
    <m/>
    <x v="0"/>
    <x v="0"/>
    <n v="-4.6737000000000002"/>
    <m/>
    <x v="4"/>
    <x v="3"/>
    <x v="0"/>
    <x v="3"/>
    <x v="0"/>
  </r>
  <r>
    <s v="Singapore"/>
    <x v="1"/>
    <s v="SG1"/>
    <m/>
    <x v="0"/>
    <x v="0"/>
    <x v="4"/>
    <x v="4"/>
    <x v="0"/>
    <x v="0"/>
    <x v="0"/>
    <m/>
    <x v="0"/>
    <x v="0"/>
    <n v="-2.1031650000000002"/>
    <m/>
    <x v="4"/>
    <x v="3"/>
    <x v="0"/>
    <x v="3"/>
    <x v="2"/>
  </r>
  <r>
    <s v="Singapore"/>
    <x v="0"/>
    <s v="SG2"/>
    <m/>
    <x v="2"/>
    <x v="1"/>
    <x v="3"/>
    <x v="4"/>
    <x v="0"/>
    <x v="0"/>
    <x v="0"/>
    <m/>
    <x v="0"/>
    <x v="0"/>
    <n v="-7.4000250000000002E-3"/>
    <m/>
    <x v="6"/>
    <x v="0"/>
    <x v="0"/>
    <x v="5"/>
    <x v="0"/>
  </r>
  <r>
    <s v="Singapore"/>
    <x v="4"/>
    <s v="SG2"/>
    <m/>
    <x v="0"/>
    <x v="4"/>
    <x v="0"/>
    <x v="1"/>
    <x v="0"/>
    <x v="0"/>
    <x v="0"/>
    <m/>
    <x v="0"/>
    <x v="0"/>
    <n v="1.6685109"/>
    <m/>
    <x v="3"/>
    <x v="0"/>
    <x v="0"/>
    <x v="2"/>
    <x v="0"/>
  </r>
  <r>
    <s v="Singapore"/>
    <x v="3"/>
    <s v="SG4"/>
    <m/>
    <x v="2"/>
    <x v="4"/>
    <x v="1"/>
    <x v="2"/>
    <x v="0"/>
    <x v="0"/>
    <x v="0"/>
    <m/>
    <x v="0"/>
    <x v="0"/>
    <n v="-1.2463355790000001"/>
    <m/>
    <x v="0"/>
    <x v="0"/>
    <x v="0"/>
    <x v="0"/>
    <x v="1"/>
  </r>
  <r>
    <s v="Singapore"/>
    <x v="0"/>
    <s v="SG2"/>
    <m/>
    <x v="3"/>
    <x v="3"/>
    <x v="4"/>
    <x v="1"/>
    <x v="0"/>
    <x v="0"/>
    <x v="0"/>
    <m/>
    <x v="0"/>
    <x v="0"/>
    <n v="-0.42063300000000003"/>
    <m/>
    <x v="4"/>
    <x v="3"/>
    <x v="0"/>
    <x v="4"/>
    <x v="1"/>
  </r>
  <r>
    <s v="Singapore"/>
    <x v="4"/>
    <s v="SG2"/>
    <m/>
    <x v="3"/>
    <x v="4"/>
    <x v="4"/>
    <x v="3"/>
    <x v="0"/>
    <x v="0"/>
    <x v="0"/>
    <m/>
    <x v="0"/>
    <x v="0"/>
    <n v="-1.3680075690000002"/>
    <m/>
    <x v="4"/>
    <x v="3"/>
    <x v="0"/>
    <x v="1"/>
    <x v="0"/>
  </r>
  <r>
    <s v="Singapore"/>
    <x v="4"/>
    <s v="SG1"/>
    <m/>
    <x v="0"/>
    <x v="0"/>
    <x v="2"/>
    <x v="3"/>
    <x v="0"/>
    <x v="0"/>
    <x v="0"/>
    <m/>
    <x v="0"/>
    <x v="0"/>
    <n v="1.5423210000000001"/>
    <m/>
    <x v="1"/>
    <x v="0"/>
    <x v="0"/>
    <x v="4"/>
    <x v="1"/>
  </r>
  <r>
    <s v="Singapore"/>
    <x v="2"/>
    <s v="SG1"/>
    <m/>
    <x v="0"/>
    <x v="1"/>
    <x v="1"/>
    <x v="3"/>
    <x v="0"/>
    <x v="0"/>
    <x v="0"/>
    <m/>
    <x v="0"/>
    <x v="0"/>
    <n v="-203.19820563600001"/>
    <m/>
    <x v="3"/>
    <x v="3"/>
    <x v="0"/>
    <x v="2"/>
    <x v="2"/>
  </r>
  <r>
    <s v="Singapore"/>
    <x v="4"/>
    <s v="SG1"/>
    <m/>
    <x v="4"/>
    <x v="3"/>
    <x v="3"/>
    <x v="3"/>
    <x v="0"/>
    <x v="0"/>
    <x v="0"/>
    <m/>
    <x v="0"/>
    <x v="0"/>
    <n v="0.903582"/>
    <m/>
    <x v="1"/>
    <x v="2"/>
    <x v="0"/>
    <x v="0"/>
    <x v="0"/>
  </r>
  <r>
    <s v="Singapore"/>
    <x v="0"/>
    <s v="SG1"/>
    <m/>
    <x v="1"/>
    <x v="0"/>
    <x v="3"/>
    <x v="1"/>
    <x v="0"/>
    <x v="0"/>
    <x v="0"/>
    <m/>
    <x v="0"/>
    <x v="0"/>
    <n v="-2.775180744"/>
    <m/>
    <x v="4"/>
    <x v="0"/>
    <x v="0"/>
    <x v="3"/>
    <x v="0"/>
  </r>
  <r>
    <s v="Singapore"/>
    <x v="0"/>
    <s v="SG4"/>
    <m/>
    <x v="3"/>
    <x v="1"/>
    <x v="4"/>
    <x v="3"/>
    <x v="0"/>
    <x v="0"/>
    <x v="0"/>
    <m/>
    <x v="0"/>
    <x v="0"/>
    <n v="105.9372"/>
    <m/>
    <x v="1"/>
    <x v="3"/>
    <x v="0"/>
    <x v="5"/>
    <x v="0"/>
  </r>
  <r>
    <s v="Singapore"/>
    <x v="5"/>
    <s v="SG1"/>
    <m/>
    <x v="1"/>
    <x v="1"/>
    <x v="3"/>
    <x v="4"/>
    <x v="0"/>
    <x v="0"/>
    <x v="0"/>
    <m/>
    <x v="0"/>
    <x v="0"/>
    <n v="4.0505399999999998"/>
    <m/>
    <x v="11"/>
    <x v="2"/>
    <x v="0"/>
    <x v="3"/>
    <x v="2"/>
  </r>
  <r>
    <s v="Singapore"/>
    <x v="2"/>
    <s v="SG3"/>
    <m/>
    <x v="2"/>
    <x v="3"/>
    <x v="1"/>
    <x v="3"/>
    <x v="0"/>
    <x v="0"/>
    <x v="0"/>
    <m/>
    <x v="0"/>
    <x v="0"/>
    <n v="0.15579000000000001"/>
    <m/>
    <x v="1"/>
    <x v="0"/>
    <x v="0"/>
    <x v="2"/>
    <x v="2"/>
  </r>
  <r>
    <s v="Singapore"/>
    <x v="2"/>
    <s v="SG4"/>
    <m/>
    <x v="0"/>
    <x v="4"/>
    <x v="4"/>
    <x v="0"/>
    <x v="0"/>
    <x v="0"/>
    <x v="0"/>
    <m/>
    <x v="0"/>
    <x v="0"/>
    <n v="0.51410699999999998"/>
    <m/>
    <x v="8"/>
    <x v="1"/>
    <x v="0"/>
    <x v="0"/>
    <x v="1"/>
  </r>
  <r>
    <s v="Singapore"/>
    <x v="0"/>
    <s v="SG1"/>
    <m/>
    <x v="5"/>
    <x v="0"/>
    <x v="1"/>
    <x v="3"/>
    <x v="0"/>
    <x v="0"/>
    <x v="0"/>
    <m/>
    <x v="0"/>
    <x v="0"/>
    <n v="-0.98147700000000004"/>
    <m/>
    <x v="0"/>
    <x v="3"/>
    <x v="0"/>
    <x v="3"/>
    <x v="1"/>
  </r>
  <r>
    <s v="Singapore"/>
    <x v="2"/>
    <s v="SG2"/>
    <m/>
    <x v="0"/>
    <x v="1"/>
    <x v="1"/>
    <x v="2"/>
    <x v="0"/>
    <x v="0"/>
    <x v="0"/>
    <m/>
    <x v="0"/>
    <x v="0"/>
    <n v="-0.1417689"/>
    <m/>
    <x v="3"/>
    <x v="3"/>
    <x v="0"/>
    <x v="2"/>
    <x v="0"/>
  </r>
  <r>
    <s v="Singapore"/>
    <x v="5"/>
    <s v="SG1"/>
    <m/>
    <x v="1"/>
    <x v="2"/>
    <x v="2"/>
    <x v="1"/>
    <x v="0"/>
    <x v="0"/>
    <x v="0"/>
    <m/>
    <x v="0"/>
    <x v="0"/>
    <n v="-0.12463200000000001"/>
    <m/>
    <x v="0"/>
    <x v="1"/>
    <x v="0"/>
    <x v="3"/>
    <x v="1"/>
  </r>
  <r>
    <s v="Singapore"/>
    <x v="3"/>
    <s v="SG1"/>
    <m/>
    <x v="1"/>
    <x v="4"/>
    <x v="0"/>
    <x v="4"/>
    <x v="0"/>
    <x v="0"/>
    <x v="0"/>
    <m/>
    <x v="0"/>
    <x v="0"/>
    <n v="-19.294591500000003"/>
    <m/>
    <x v="4"/>
    <x v="2"/>
    <x v="0"/>
    <x v="0"/>
    <x v="0"/>
  </r>
  <r>
    <s v="Singapore"/>
    <x v="1"/>
    <s v="SG3"/>
    <m/>
    <x v="5"/>
    <x v="2"/>
    <x v="1"/>
    <x v="5"/>
    <x v="0"/>
    <x v="0"/>
    <x v="0"/>
    <m/>
    <x v="0"/>
    <x v="0"/>
    <n v="-4.6737000000000001E-2"/>
    <m/>
    <x v="0"/>
    <x v="3"/>
    <x v="0"/>
    <x v="1"/>
    <x v="2"/>
  </r>
  <r>
    <s v="Singapore"/>
    <x v="3"/>
    <s v="SG2"/>
    <m/>
    <x v="4"/>
    <x v="0"/>
    <x v="4"/>
    <x v="3"/>
    <x v="0"/>
    <x v="0"/>
    <x v="0"/>
    <m/>
    <x v="0"/>
    <x v="0"/>
    <n v="-0.46737000000000001"/>
    <m/>
    <x v="4"/>
    <x v="0"/>
    <x v="0"/>
    <x v="4"/>
    <x v="2"/>
  </r>
  <r>
    <s v="Singapore"/>
    <x v="4"/>
    <s v="SG3"/>
    <m/>
    <x v="0"/>
    <x v="1"/>
    <x v="4"/>
    <x v="3"/>
    <x v="0"/>
    <x v="0"/>
    <x v="0"/>
    <m/>
    <x v="0"/>
    <x v="0"/>
    <n v="-19.013530761000002"/>
    <m/>
    <x v="5"/>
    <x v="1"/>
    <x v="0"/>
    <x v="5"/>
    <x v="2"/>
  </r>
  <r>
    <s v="Singapore"/>
    <x v="3"/>
    <s v="SG1"/>
    <m/>
    <x v="2"/>
    <x v="4"/>
    <x v="1"/>
    <x v="0"/>
    <x v="0"/>
    <x v="0"/>
    <x v="0"/>
    <m/>
    <x v="0"/>
    <x v="0"/>
    <n v="1.900638"/>
    <m/>
    <x v="1"/>
    <x v="3"/>
    <x v="0"/>
    <x v="2"/>
    <x v="2"/>
  </r>
  <r>
    <s v="Singapore"/>
    <x v="4"/>
    <s v="SG2"/>
    <m/>
    <x v="5"/>
    <x v="1"/>
    <x v="0"/>
    <x v="2"/>
    <x v="0"/>
    <x v="0"/>
    <x v="0"/>
    <m/>
    <x v="0"/>
    <x v="0"/>
    <n v="0.17136900000000002"/>
    <m/>
    <x v="8"/>
    <x v="1"/>
    <x v="0"/>
    <x v="5"/>
    <x v="0"/>
  </r>
  <r>
    <s v="Singapore"/>
    <x v="2"/>
    <s v="SG2"/>
    <m/>
    <x v="1"/>
    <x v="1"/>
    <x v="1"/>
    <x v="1"/>
    <x v="0"/>
    <x v="0"/>
    <x v="0"/>
    <m/>
    <x v="0"/>
    <x v="0"/>
    <n v="-0.31158000000000002"/>
    <m/>
    <x v="4"/>
    <x v="2"/>
    <x v="0"/>
    <x v="3"/>
    <x v="2"/>
  </r>
  <r>
    <s v="Singapore"/>
    <x v="0"/>
    <s v="SG2"/>
    <m/>
    <x v="2"/>
    <x v="0"/>
    <x v="1"/>
    <x v="2"/>
    <x v="0"/>
    <x v="0"/>
    <x v="0"/>
    <m/>
    <x v="0"/>
    <x v="0"/>
    <n v="0.21810600000000002"/>
    <m/>
    <x v="4"/>
    <x v="2"/>
    <x v="0"/>
    <x v="1"/>
    <x v="1"/>
  </r>
  <r>
    <s v="Singapore"/>
    <x v="5"/>
    <s v="SG4"/>
    <m/>
    <x v="5"/>
    <x v="4"/>
    <x v="0"/>
    <x v="2"/>
    <x v="0"/>
    <x v="0"/>
    <x v="0"/>
    <m/>
    <x v="0"/>
    <x v="0"/>
    <n v="-26.936091000000001"/>
    <m/>
    <x v="0"/>
    <x v="1"/>
    <x v="0"/>
    <x v="2"/>
    <x v="0"/>
  </r>
  <r>
    <s v="Singapore"/>
    <x v="3"/>
    <s v="SG2"/>
    <m/>
    <x v="3"/>
    <x v="1"/>
    <x v="4"/>
    <x v="4"/>
    <x v="0"/>
    <x v="0"/>
    <x v="0"/>
    <m/>
    <x v="0"/>
    <x v="0"/>
    <n v="-0.21810600000000002"/>
    <m/>
    <x v="4"/>
    <x v="0"/>
    <x v="0"/>
    <x v="1"/>
    <x v="2"/>
  </r>
  <r>
    <s v="Singapore"/>
    <x v="2"/>
    <s v="SG2"/>
    <m/>
    <x v="3"/>
    <x v="2"/>
    <x v="3"/>
    <x v="1"/>
    <x v="0"/>
    <x v="0"/>
    <x v="0"/>
    <m/>
    <x v="0"/>
    <x v="0"/>
    <n v="-4.6737000000000001E-2"/>
    <m/>
    <x v="0"/>
    <x v="1"/>
    <x v="0"/>
    <x v="3"/>
    <x v="0"/>
  </r>
  <r>
    <s v="Singapore"/>
    <x v="5"/>
    <s v="SG3"/>
    <m/>
    <x v="4"/>
    <x v="2"/>
    <x v="0"/>
    <x v="0"/>
    <x v="0"/>
    <x v="0"/>
    <x v="0"/>
    <m/>
    <x v="0"/>
    <x v="0"/>
    <n v="-0.24926400000000001"/>
    <m/>
    <x v="0"/>
    <x v="1"/>
    <x v="0"/>
    <x v="0"/>
    <x v="1"/>
  </r>
  <r>
    <s v="Singapore"/>
    <x v="4"/>
    <s v="SG1"/>
    <m/>
    <x v="3"/>
    <x v="0"/>
    <x v="2"/>
    <x v="3"/>
    <x v="0"/>
    <x v="0"/>
    <x v="0"/>
    <m/>
    <x v="0"/>
    <x v="0"/>
    <n v="-34.273800000000001"/>
    <m/>
    <x v="6"/>
    <x v="2"/>
    <x v="0"/>
    <x v="2"/>
    <x v="0"/>
  </r>
  <r>
    <s v="Singapore"/>
    <x v="0"/>
    <s v="SG4"/>
    <m/>
    <x v="1"/>
    <x v="0"/>
    <x v="4"/>
    <x v="0"/>
    <x v="0"/>
    <x v="0"/>
    <x v="0"/>
    <m/>
    <x v="0"/>
    <x v="0"/>
    <n v="-47.634303663000004"/>
    <m/>
    <x v="4"/>
    <x v="1"/>
    <x v="0"/>
    <x v="4"/>
    <x v="1"/>
  </r>
  <r>
    <s v="Singapore"/>
    <x v="5"/>
    <s v="SG4"/>
    <m/>
    <x v="2"/>
    <x v="4"/>
    <x v="0"/>
    <x v="2"/>
    <x v="0"/>
    <x v="0"/>
    <x v="0"/>
    <m/>
    <x v="0"/>
    <x v="0"/>
    <n v="-0.43621200000000004"/>
    <m/>
    <x v="0"/>
    <x v="1"/>
    <x v="0"/>
    <x v="4"/>
    <x v="1"/>
  </r>
  <r>
    <s v="Singapore"/>
    <x v="3"/>
    <s v="SG2"/>
    <m/>
    <x v="3"/>
    <x v="4"/>
    <x v="3"/>
    <x v="4"/>
    <x v="0"/>
    <x v="0"/>
    <x v="0"/>
    <m/>
    <x v="0"/>
    <x v="0"/>
    <n v="0.279082206"/>
    <m/>
    <x v="8"/>
    <x v="2"/>
    <x v="0"/>
    <x v="3"/>
    <x v="1"/>
  </r>
  <r>
    <s v="Singapore"/>
    <x v="0"/>
    <s v="SG4"/>
    <m/>
    <x v="0"/>
    <x v="1"/>
    <x v="4"/>
    <x v="3"/>
    <x v="0"/>
    <x v="0"/>
    <x v="0"/>
    <m/>
    <x v="0"/>
    <x v="0"/>
    <n v="-2.8042199999999999"/>
    <m/>
    <x v="4"/>
    <x v="2"/>
    <x v="0"/>
    <x v="1"/>
    <x v="2"/>
  </r>
  <r>
    <s v="Singapore"/>
    <x v="1"/>
    <s v="SG1"/>
    <m/>
    <x v="3"/>
    <x v="4"/>
    <x v="2"/>
    <x v="1"/>
    <x v="0"/>
    <x v="0"/>
    <x v="0"/>
    <m/>
    <x v="0"/>
    <x v="0"/>
    <n v="0.15579000000000001"/>
    <m/>
    <x v="1"/>
    <x v="1"/>
    <x v="0"/>
    <x v="4"/>
    <x v="2"/>
  </r>
  <r>
    <s v="Singapore"/>
    <x v="5"/>
    <s v="SG3"/>
    <m/>
    <x v="3"/>
    <x v="0"/>
    <x v="3"/>
    <x v="0"/>
    <x v="0"/>
    <x v="0"/>
    <x v="0"/>
    <m/>
    <x v="0"/>
    <x v="0"/>
    <n v="-1.5579000000000001E-2"/>
    <m/>
    <x v="0"/>
    <x v="0"/>
    <x v="0"/>
    <x v="5"/>
    <x v="0"/>
  </r>
  <r>
    <s v="Singapore"/>
    <x v="3"/>
    <s v="SG2"/>
    <m/>
    <x v="4"/>
    <x v="2"/>
    <x v="2"/>
    <x v="1"/>
    <x v="0"/>
    <x v="0"/>
    <x v="0"/>
    <m/>
    <x v="0"/>
    <x v="0"/>
    <n v="0.12463200000000001"/>
    <m/>
    <x v="0"/>
    <x v="2"/>
    <x v="0"/>
    <x v="2"/>
    <x v="1"/>
  </r>
  <r>
    <s v="Singapore"/>
    <x v="0"/>
    <s v="SG1"/>
    <m/>
    <x v="3"/>
    <x v="2"/>
    <x v="1"/>
    <x v="3"/>
    <x v="0"/>
    <x v="0"/>
    <x v="0"/>
    <m/>
    <x v="0"/>
    <x v="0"/>
    <n v="-0.15579000000000001"/>
    <m/>
    <x v="0"/>
    <x v="3"/>
    <x v="0"/>
    <x v="4"/>
    <x v="1"/>
  </r>
  <r>
    <s v="Singapore"/>
    <x v="1"/>
    <s v="SG1"/>
    <m/>
    <x v="0"/>
    <x v="3"/>
    <x v="2"/>
    <x v="0"/>
    <x v="0"/>
    <x v="0"/>
    <x v="0"/>
    <m/>
    <x v="0"/>
    <x v="0"/>
    <n v="-7.7895000000000004E-3"/>
    <m/>
    <x v="0"/>
    <x v="2"/>
    <x v="0"/>
    <x v="0"/>
    <x v="1"/>
  </r>
  <r>
    <s v="Singapore"/>
    <x v="5"/>
    <s v="SG2"/>
    <m/>
    <x v="0"/>
    <x v="4"/>
    <x v="1"/>
    <x v="5"/>
    <x v="0"/>
    <x v="0"/>
    <x v="0"/>
    <m/>
    <x v="0"/>
    <x v="0"/>
    <n v="-0.12463200000000001"/>
    <m/>
    <x v="0"/>
    <x v="2"/>
    <x v="0"/>
    <x v="0"/>
    <x v="2"/>
  </r>
  <r>
    <s v="Singapore"/>
    <x v="5"/>
    <s v="SG2"/>
    <m/>
    <x v="2"/>
    <x v="1"/>
    <x v="2"/>
    <x v="0"/>
    <x v="0"/>
    <x v="0"/>
    <x v="0"/>
    <m/>
    <x v="0"/>
    <x v="0"/>
    <n v="0.63873900000000006"/>
    <m/>
    <x v="1"/>
    <x v="2"/>
    <x v="0"/>
    <x v="1"/>
    <x v="0"/>
  </r>
  <r>
    <s v="Singapore"/>
    <x v="4"/>
    <s v="SG3"/>
    <m/>
    <x v="0"/>
    <x v="4"/>
    <x v="1"/>
    <x v="5"/>
    <x v="0"/>
    <x v="0"/>
    <x v="0"/>
    <m/>
    <x v="0"/>
    <x v="0"/>
    <n v="-0.15579000000000001"/>
    <m/>
    <x v="1"/>
    <x v="0"/>
    <x v="0"/>
    <x v="2"/>
    <x v="1"/>
  </r>
  <r>
    <s v="Singapore"/>
    <x v="4"/>
    <s v="SG2"/>
    <m/>
    <x v="5"/>
    <x v="4"/>
    <x v="4"/>
    <x v="0"/>
    <x v="0"/>
    <x v="0"/>
    <x v="0"/>
    <m/>
    <x v="0"/>
    <x v="0"/>
    <n v="4.9852800000000003E-2"/>
    <m/>
    <x v="6"/>
    <x v="3"/>
    <x v="0"/>
    <x v="3"/>
    <x v="2"/>
  </r>
  <r>
    <s v="Singapore"/>
    <x v="4"/>
    <s v="SG4"/>
    <m/>
    <x v="4"/>
    <x v="2"/>
    <x v="1"/>
    <x v="5"/>
    <x v="0"/>
    <x v="0"/>
    <x v="0"/>
    <m/>
    <x v="0"/>
    <x v="0"/>
    <n v="-0.93474000000000002"/>
    <m/>
    <x v="4"/>
    <x v="3"/>
    <x v="0"/>
    <x v="0"/>
    <x v="0"/>
  </r>
  <r>
    <s v="Singapore"/>
    <x v="2"/>
    <s v="SG3"/>
    <m/>
    <x v="5"/>
    <x v="3"/>
    <x v="0"/>
    <x v="3"/>
    <x v="0"/>
    <x v="0"/>
    <x v="0"/>
    <m/>
    <x v="0"/>
    <x v="0"/>
    <n v="3.2170479209999998"/>
    <m/>
    <x v="0"/>
    <x v="0"/>
    <x v="0"/>
    <x v="5"/>
    <x v="0"/>
  </r>
  <r>
    <s v="Singapore"/>
    <x v="1"/>
    <s v="SG1"/>
    <m/>
    <x v="2"/>
    <x v="4"/>
    <x v="4"/>
    <x v="3"/>
    <x v="0"/>
    <x v="0"/>
    <x v="0"/>
    <m/>
    <x v="0"/>
    <x v="0"/>
    <n v="0.17136900000000002"/>
    <m/>
    <x v="8"/>
    <x v="1"/>
    <x v="0"/>
    <x v="5"/>
    <x v="0"/>
  </r>
  <r>
    <s v="Singapore"/>
    <x v="4"/>
    <s v="SG2"/>
    <m/>
    <x v="3"/>
    <x v="3"/>
    <x v="3"/>
    <x v="1"/>
    <x v="0"/>
    <x v="0"/>
    <x v="0"/>
    <m/>
    <x v="0"/>
    <x v="0"/>
    <n v="-0.17136900000000002"/>
    <m/>
    <x v="8"/>
    <x v="2"/>
    <x v="0"/>
    <x v="0"/>
    <x v="0"/>
  </r>
  <r>
    <s v="Singapore"/>
    <x v="0"/>
    <s v="SG4"/>
    <m/>
    <x v="1"/>
    <x v="3"/>
    <x v="3"/>
    <x v="5"/>
    <x v="0"/>
    <x v="0"/>
    <x v="0"/>
    <m/>
    <x v="0"/>
    <x v="0"/>
    <n v="3.1158000000000002E-2"/>
    <m/>
    <x v="6"/>
    <x v="0"/>
    <x v="0"/>
    <x v="3"/>
    <x v="1"/>
  </r>
  <r>
    <s v="Singapore"/>
    <x v="5"/>
    <s v="SG1"/>
    <m/>
    <x v="1"/>
    <x v="1"/>
    <x v="2"/>
    <x v="0"/>
    <x v="0"/>
    <x v="0"/>
    <x v="0"/>
    <m/>
    <x v="0"/>
    <x v="0"/>
    <n v="1.2307410000000001"/>
    <m/>
    <x v="1"/>
    <x v="0"/>
    <x v="0"/>
    <x v="0"/>
    <x v="2"/>
  </r>
  <r>
    <s v="Singapore"/>
    <x v="0"/>
    <s v="SG1"/>
    <m/>
    <x v="3"/>
    <x v="3"/>
    <x v="3"/>
    <x v="3"/>
    <x v="0"/>
    <x v="0"/>
    <x v="0"/>
    <m/>
    <x v="0"/>
    <x v="0"/>
    <n v="-0.20252700000000001"/>
    <m/>
    <x v="2"/>
    <x v="0"/>
    <x v="0"/>
    <x v="1"/>
    <x v="0"/>
  </r>
  <r>
    <s v="Singapore"/>
    <x v="1"/>
    <s v="SG2"/>
    <m/>
    <x v="5"/>
    <x v="1"/>
    <x v="0"/>
    <x v="3"/>
    <x v="0"/>
    <x v="0"/>
    <x v="0"/>
    <m/>
    <x v="0"/>
    <x v="0"/>
    <n v="1.137267"/>
    <m/>
    <x v="1"/>
    <x v="2"/>
    <x v="0"/>
    <x v="1"/>
    <x v="0"/>
  </r>
  <r>
    <s v="Singapore"/>
    <x v="5"/>
    <s v="SG4"/>
    <m/>
    <x v="5"/>
    <x v="1"/>
    <x v="1"/>
    <x v="4"/>
    <x v="0"/>
    <x v="0"/>
    <x v="0"/>
    <m/>
    <x v="0"/>
    <x v="0"/>
    <n v="-0.1838322"/>
    <m/>
    <x v="4"/>
    <x v="1"/>
    <x v="0"/>
    <x v="3"/>
    <x v="1"/>
  </r>
  <r>
    <s v="Singapore"/>
    <x v="0"/>
    <s v="SG2"/>
    <m/>
    <x v="5"/>
    <x v="0"/>
    <x v="4"/>
    <x v="5"/>
    <x v="0"/>
    <x v="0"/>
    <x v="0"/>
    <m/>
    <x v="0"/>
    <x v="0"/>
    <n v="-3.1158000000000002E-2"/>
    <m/>
    <x v="0"/>
    <x v="3"/>
    <x v="0"/>
    <x v="2"/>
    <x v="1"/>
  </r>
  <r>
    <s v="Singapore"/>
    <x v="2"/>
    <s v="SG1"/>
    <m/>
    <x v="2"/>
    <x v="3"/>
    <x v="1"/>
    <x v="5"/>
    <x v="0"/>
    <x v="0"/>
    <x v="0"/>
    <m/>
    <x v="0"/>
    <x v="0"/>
    <n v="-1.5579000000000001E-2"/>
    <m/>
    <x v="0"/>
    <x v="2"/>
    <x v="0"/>
    <x v="3"/>
    <x v="0"/>
  </r>
  <r>
    <s v="Singapore"/>
    <x v="5"/>
    <s v="SG2"/>
    <m/>
    <x v="3"/>
    <x v="0"/>
    <x v="1"/>
    <x v="4"/>
    <x v="0"/>
    <x v="0"/>
    <x v="0"/>
    <m/>
    <x v="0"/>
    <x v="0"/>
    <n v="-4.6737000000000001E-2"/>
    <m/>
    <x v="0"/>
    <x v="2"/>
    <x v="0"/>
    <x v="1"/>
    <x v="2"/>
  </r>
  <r>
    <s v="Singapore"/>
    <x v="0"/>
    <s v="SG2"/>
    <m/>
    <x v="2"/>
    <x v="3"/>
    <x v="3"/>
    <x v="4"/>
    <x v="0"/>
    <x v="0"/>
    <x v="0"/>
    <m/>
    <x v="0"/>
    <x v="0"/>
    <n v="-0.15579000000000001"/>
    <m/>
    <x v="4"/>
    <x v="3"/>
    <x v="0"/>
    <x v="0"/>
    <x v="0"/>
  </r>
  <r>
    <s v="Singapore"/>
    <x v="2"/>
    <s v="SG3"/>
    <m/>
    <x v="3"/>
    <x v="1"/>
    <x v="4"/>
    <x v="0"/>
    <x v="0"/>
    <x v="0"/>
    <x v="0"/>
    <m/>
    <x v="0"/>
    <x v="0"/>
    <n v="-4.5334890000000003"/>
    <m/>
    <x v="3"/>
    <x v="1"/>
    <x v="0"/>
    <x v="1"/>
    <x v="0"/>
  </r>
  <r>
    <s v="Singapore"/>
    <x v="0"/>
    <s v="SG2"/>
    <m/>
    <x v="0"/>
    <x v="3"/>
    <x v="4"/>
    <x v="5"/>
    <x v="0"/>
    <x v="0"/>
    <x v="0"/>
    <m/>
    <x v="0"/>
    <x v="0"/>
    <n v="1.0801232280000002"/>
    <m/>
    <x v="1"/>
    <x v="2"/>
    <x v="0"/>
    <x v="1"/>
    <x v="2"/>
  </r>
  <r>
    <s v="Singapore"/>
    <x v="1"/>
    <s v="SG2"/>
    <m/>
    <x v="3"/>
    <x v="2"/>
    <x v="4"/>
    <x v="5"/>
    <x v="0"/>
    <x v="0"/>
    <x v="0"/>
    <m/>
    <x v="0"/>
    <x v="0"/>
    <n v="-1.1263617000000001"/>
    <m/>
    <x v="3"/>
    <x v="3"/>
    <x v="0"/>
    <x v="2"/>
    <x v="0"/>
  </r>
  <r>
    <s v="Singapore"/>
    <x v="0"/>
    <s v="SG4"/>
    <m/>
    <x v="1"/>
    <x v="1"/>
    <x v="4"/>
    <x v="4"/>
    <x v="0"/>
    <x v="0"/>
    <x v="0"/>
    <m/>
    <x v="0"/>
    <x v="0"/>
    <n v="-0.38947500000000002"/>
    <m/>
    <x v="0"/>
    <x v="2"/>
    <x v="0"/>
    <x v="2"/>
    <x v="1"/>
  </r>
  <r>
    <s v="Singapore"/>
    <x v="0"/>
    <s v="SG1"/>
    <m/>
    <x v="2"/>
    <x v="1"/>
    <x v="1"/>
    <x v="4"/>
    <x v="0"/>
    <x v="0"/>
    <x v="0"/>
    <m/>
    <x v="0"/>
    <x v="0"/>
    <n v="39.025395000000003"/>
    <m/>
    <x v="7"/>
    <x v="3"/>
    <x v="0"/>
    <x v="4"/>
    <x v="0"/>
  </r>
  <r>
    <s v="Singapore"/>
    <x v="0"/>
    <s v="SG1"/>
    <m/>
    <x v="1"/>
    <x v="0"/>
    <x v="1"/>
    <x v="3"/>
    <x v="0"/>
    <x v="0"/>
    <x v="0"/>
    <m/>
    <x v="0"/>
    <x v="0"/>
    <n v="-0.10905300000000001"/>
    <m/>
    <x v="4"/>
    <x v="2"/>
    <x v="0"/>
    <x v="4"/>
    <x v="2"/>
  </r>
  <r>
    <s v="Singapore"/>
    <x v="2"/>
    <s v="SG1"/>
    <m/>
    <x v="2"/>
    <x v="3"/>
    <x v="2"/>
    <x v="1"/>
    <x v="0"/>
    <x v="0"/>
    <x v="0"/>
    <m/>
    <x v="0"/>
    <x v="0"/>
    <n v="-0.15189525000000001"/>
    <m/>
    <x v="0"/>
    <x v="1"/>
    <x v="0"/>
    <x v="5"/>
    <x v="2"/>
  </r>
  <r>
    <s v="Singapore"/>
    <x v="2"/>
    <s v="SG4"/>
    <m/>
    <x v="0"/>
    <x v="2"/>
    <x v="0"/>
    <x v="3"/>
    <x v="0"/>
    <x v="0"/>
    <x v="0"/>
    <m/>
    <x v="0"/>
    <x v="0"/>
    <n v="-2.775180744"/>
    <m/>
    <x v="4"/>
    <x v="2"/>
    <x v="0"/>
    <x v="1"/>
    <x v="2"/>
  </r>
  <r>
    <s v="Singapore"/>
    <x v="1"/>
    <s v="SG2"/>
    <m/>
    <x v="0"/>
    <x v="0"/>
    <x v="2"/>
    <x v="4"/>
    <x v="0"/>
    <x v="0"/>
    <x v="0"/>
    <m/>
    <x v="0"/>
    <x v="0"/>
    <n v="-0.66989700000000008"/>
    <m/>
    <x v="4"/>
    <x v="3"/>
    <x v="0"/>
    <x v="0"/>
    <x v="2"/>
  </r>
  <r>
    <s v="Singapore"/>
    <x v="2"/>
    <s v="SG4"/>
    <m/>
    <x v="5"/>
    <x v="0"/>
    <x v="2"/>
    <x v="0"/>
    <x v="0"/>
    <x v="0"/>
    <x v="0"/>
    <m/>
    <x v="0"/>
    <x v="0"/>
    <n v="-7.0105500000000001E-2"/>
    <m/>
    <x v="4"/>
    <x v="1"/>
    <x v="0"/>
    <x v="5"/>
    <x v="1"/>
  </r>
  <r>
    <s v="Singapore"/>
    <x v="0"/>
    <s v="SG1"/>
    <m/>
    <x v="2"/>
    <x v="3"/>
    <x v="4"/>
    <x v="4"/>
    <x v="0"/>
    <x v="0"/>
    <x v="0"/>
    <m/>
    <x v="0"/>
    <x v="0"/>
    <n v="-0.280422"/>
    <m/>
    <x v="0"/>
    <x v="0"/>
    <x v="0"/>
    <x v="2"/>
    <x v="2"/>
  </r>
  <r>
    <s v="Singapore"/>
    <x v="3"/>
    <s v="SG4"/>
    <m/>
    <x v="3"/>
    <x v="2"/>
    <x v="0"/>
    <x v="1"/>
    <x v="0"/>
    <x v="0"/>
    <x v="0"/>
    <m/>
    <x v="0"/>
    <x v="0"/>
    <n v="-0.21031650000000002"/>
    <m/>
    <x v="1"/>
    <x v="1"/>
    <x v="0"/>
    <x v="2"/>
    <x v="2"/>
  </r>
  <r>
    <s v="Singapore"/>
    <x v="0"/>
    <s v="SG3"/>
    <m/>
    <x v="5"/>
    <x v="1"/>
    <x v="1"/>
    <x v="5"/>
    <x v="0"/>
    <x v="0"/>
    <x v="0"/>
    <m/>
    <x v="0"/>
    <x v="0"/>
    <n v="0.545265"/>
    <m/>
    <x v="7"/>
    <x v="1"/>
    <x v="0"/>
    <x v="5"/>
    <x v="0"/>
  </r>
  <r>
    <s v="Singapore"/>
    <x v="0"/>
    <s v="SG1"/>
    <m/>
    <x v="1"/>
    <x v="1"/>
    <x v="3"/>
    <x v="0"/>
    <x v="0"/>
    <x v="0"/>
    <x v="0"/>
    <m/>
    <x v="0"/>
    <x v="0"/>
    <n v="-5.6084711580000004"/>
    <m/>
    <x v="4"/>
    <x v="3"/>
    <x v="0"/>
    <x v="3"/>
    <x v="1"/>
  </r>
  <r>
    <s v="Singapore"/>
    <x v="1"/>
    <s v="SG4"/>
    <m/>
    <x v="5"/>
    <x v="0"/>
    <x v="0"/>
    <x v="0"/>
    <x v="0"/>
    <x v="0"/>
    <x v="0"/>
    <m/>
    <x v="0"/>
    <x v="0"/>
    <n v="-1.4389854930000001"/>
    <m/>
    <x v="0"/>
    <x v="1"/>
    <x v="0"/>
    <x v="5"/>
    <x v="0"/>
  </r>
  <r>
    <s v="Singapore"/>
    <x v="4"/>
    <s v="SG2"/>
    <m/>
    <x v="4"/>
    <x v="1"/>
    <x v="1"/>
    <x v="1"/>
    <x v="0"/>
    <x v="0"/>
    <x v="0"/>
    <m/>
    <x v="0"/>
    <x v="0"/>
    <n v="-7.0105500000000001E-2"/>
    <m/>
    <x v="0"/>
    <x v="2"/>
    <x v="0"/>
    <x v="3"/>
    <x v="2"/>
  </r>
  <r>
    <s v="Singapore"/>
    <x v="5"/>
    <s v="SG3"/>
    <m/>
    <x v="5"/>
    <x v="3"/>
    <x v="1"/>
    <x v="4"/>
    <x v="0"/>
    <x v="0"/>
    <x v="0"/>
    <m/>
    <x v="0"/>
    <x v="0"/>
    <n v="0.37389600000000001"/>
    <m/>
    <x v="1"/>
    <x v="3"/>
    <x v="0"/>
    <x v="4"/>
    <x v="2"/>
  </r>
  <r>
    <s v="Singapore"/>
    <x v="4"/>
    <s v="SG2"/>
    <m/>
    <x v="5"/>
    <x v="0"/>
    <x v="1"/>
    <x v="0"/>
    <x v="0"/>
    <x v="0"/>
    <x v="0"/>
    <m/>
    <x v="0"/>
    <x v="0"/>
    <n v="3.1158000000000001"/>
    <m/>
    <x v="1"/>
    <x v="1"/>
    <x v="0"/>
    <x v="5"/>
    <x v="1"/>
  </r>
  <r>
    <s v="Singapore"/>
    <x v="0"/>
    <s v="SG3"/>
    <m/>
    <x v="2"/>
    <x v="0"/>
    <x v="4"/>
    <x v="1"/>
    <x v="0"/>
    <x v="0"/>
    <x v="0"/>
    <m/>
    <x v="0"/>
    <x v="0"/>
    <n v="-0.12463200000000001"/>
    <m/>
    <x v="4"/>
    <x v="1"/>
    <x v="0"/>
    <x v="2"/>
    <x v="2"/>
  </r>
  <r>
    <s v="Singapore"/>
    <x v="0"/>
    <s v="SG1"/>
    <m/>
    <x v="4"/>
    <x v="1"/>
    <x v="4"/>
    <x v="3"/>
    <x v="0"/>
    <x v="0"/>
    <x v="0"/>
    <m/>
    <x v="0"/>
    <x v="0"/>
    <n v="-0.21810600000000002"/>
    <m/>
    <x v="1"/>
    <x v="3"/>
    <x v="0"/>
    <x v="1"/>
    <x v="1"/>
  </r>
  <r>
    <s v="Singapore"/>
    <x v="1"/>
    <s v="SG4"/>
    <m/>
    <x v="2"/>
    <x v="1"/>
    <x v="2"/>
    <x v="3"/>
    <x v="0"/>
    <x v="0"/>
    <x v="0"/>
    <m/>
    <x v="0"/>
    <x v="0"/>
    <n v="-0.56081284200000003"/>
    <m/>
    <x v="6"/>
    <x v="3"/>
    <x v="0"/>
    <x v="4"/>
    <x v="0"/>
  </r>
  <r>
    <s v="Singapore"/>
    <x v="4"/>
    <s v="SG4"/>
    <m/>
    <x v="1"/>
    <x v="1"/>
    <x v="2"/>
    <x v="5"/>
    <x v="0"/>
    <x v="0"/>
    <x v="0"/>
    <m/>
    <x v="0"/>
    <x v="0"/>
    <n v="0.15579000000000001"/>
    <m/>
    <x v="1"/>
    <x v="1"/>
    <x v="0"/>
    <x v="5"/>
    <x v="0"/>
  </r>
  <r>
    <s v="Singapore"/>
    <x v="0"/>
    <s v="SG1"/>
    <m/>
    <x v="4"/>
    <x v="2"/>
    <x v="1"/>
    <x v="3"/>
    <x v="0"/>
    <x v="0"/>
    <x v="0"/>
    <m/>
    <x v="0"/>
    <x v="0"/>
    <n v="-0.140211"/>
    <m/>
    <x v="1"/>
    <x v="3"/>
    <x v="0"/>
    <x v="5"/>
    <x v="2"/>
  </r>
  <r>
    <s v="Singapore"/>
    <x v="2"/>
    <s v="SG2"/>
    <m/>
    <x v="3"/>
    <x v="4"/>
    <x v="2"/>
    <x v="0"/>
    <x v="0"/>
    <x v="0"/>
    <x v="0"/>
    <m/>
    <x v="0"/>
    <x v="0"/>
    <n v="0.280422"/>
    <m/>
    <x v="0"/>
    <x v="2"/>
    <x v="0"/>
    <x v="1"/>
    <x v="1"/>
  </r>
  <r>
    <s v="Singapore"/>
    <x v="1"/>
    <s v="SG1"/>
    <m/>
    <x v="2"/>
    <x v="2"/>
    <x v="2"/>
    <x v="2"/>
    <x v="0"/>
    <x v="0"/>
    <x v="0"/>
    <m/>
    <x v="0"/>
    <x v="0"/>
    <n v="0.25105558500000003"/>
    <m/>
    <x v="8"/>
    <x v="0"/>
    <x v="0"/>
    <x v="2"/>
    <x v="1"/>
  </r>
  <r>
    <s v="Singapore"/>
    <x v="4"/>
    <s v="SG4"/>
    <m/>
    <x v="0"/>
    <x v="1"/>
    <x v="0"/>
    <x v="0"/>
    <x v="0"/>
    <x v="0"/>
    <x v="0"/>
    <m/>
    <x v="0"/>
    <x v="0"/>
    <n v="0.86214186000000004"/>
    <m/>
    <x v="1"/>
    <x v="3"/>
    <x v="0"/>
    <x v="0"/>
    <x v="0"/>
  </r>
  <r>
    <s v="Singapore"/>
    <x v="4"/>
    <s v="SG3"/>
    <m/>
    <x v="2"/>
    <x v="2"/>
    <x v="4"/>
    <x v="2"/>
    <x v="0"/>
    <x v="0"/>
    <x v="0"/>
    <m/>
    <x v="0"/>
    <x v="0"/>
    <n v="-0.13930741800000002"/>
    <m/>
    <x v="4"/>
    <x v="1"/>
    <x v="0"/>
    <x v="2"/>
    <x v="0"/>
  </r>
  <r>
    <s v="Singapore"/>
    <x v="3"/>
    <s v="SG4"/>
    <m/>
    <x v="4"/>
    <x v="3"/>
    <x v="1"/>
    <x v="0"/>
    <x v="0"/>
    <x v="0"/>
    <x v="0"/>
    <m/>
    <x v="0"/>
    <x v="0"/>
    <n v="-0.1324215"/>
    <m/>
    <x v="4"/>
    <x v="1"/>
    <x v="0"/>
    <x v="2"/>
    <x v="0"/>
  </r>
  <r>
    <s v="Singapore"/>
    <x v="2"/>
    <s v="SG1"/>
    <m/>
    <x v="4"/>
    <x v="3"/>
    <x v="3"/>
    <x v="5"/>
    <x v="0"/>
    <x v="0"/>
    <x v="0"/>
    <m/>
    <x v="0"/>
    <x v="0"/>
    <n v="-22.41428625"/>
    <m/>
    <x v="7"/>
    <x v="1"/>
    <x v="0"/>
    <x v="3"/>
    <x v="0"/>
  </r>
  <r>
    <s v="Singapore"/>
    <x v="2"/>
    <s v="SG4"/>
    <m/>
    <x v="1"/>
    <x v="1"/>
    <x v="3"/>
    <x v="5"/>
    <x v="0"/>
    <x v="0"/>
    <x v="0"/>
    <m/>
    <x v="0"/>
    <x v="0"/>
    <n v="1.8694800000000001E-2"/>
    <m/>
    <x v="3"/>
    <x v="2"/>
    <x v="0"/>
    <x v="2"/>
    <x v="1"/>
  </r>
  <r>
    <s v="Singapore"/>
    <x v="5"/>
    <s v="SG2"/>
    <m/>
    <x v="5"/>
    <x v="2"/>
    <x v="4"/>
    <x v="2"/>
    <x v="0"/>
    <x v="0"/>
    <x v="0"/>
    <m/>
    <x v="0"/>
    <x v="0"/>
    <n v="-0.12463200000000001"/>
    <m/>
    <x v="0"/>
    <x v="3"/>
    <x v="0"/>
    <x v="4"/>
    <x v="2"/>
  </r>
  <r>
    <s v="Singapore"/>
    <x v="2"/>
    <s v="SG2"/>
    <m/>
    <x v="4"/>
    <x v="1"/>
    <x v="2"/>
    <x v="2"/>
    <x v="0"/>
    <x v="0"/>
    <x v="0"/>
    <m/>
    <x v="0"/>
    <x v="0"/>
    <n v="-7.7895000000000006E-2"/>
    <m/>
    <x v="1"/>
    <x v="3"/>
    <x v="0"/>
    <x v="0"/>
    <x v="0"/>
  </r>
  <r>
    <s v="Singapore"/>
    <x v="2"/>
    <s v="SG4"/>
    <m/>
    <x v="5"/>
    <x v="4"/>
    <x v="0"/>
    <x v="5"/>
    <x v="0"/>
    <x v="0"/>
    <x v="0"/>
    <m/>
    <x v="0"/>
    <x v="0"/>
    <n v="0.31158000000000002"/>
    <m/>
    <x v="1"/>
    <x v="2"/>
    <x v="0"/>
    <x v="5"/>
    <x v="2"/>
  </r>
  <r>
    <s v="Singapore"/>
    <x v="0"/>
    <s v="SG1"/>
    <m/>
    <x v="4"/>
    <x v="2"/>
    <x v="0"/>
    <x v="0"/>
    <x v="0"/>
    <x v="0"/>
    <x v="0"/>
    <m/>
    <x v="0"/>
    <x v="0"/>
    <n v="-0.46737000000000001"/>
    <m/>
    <x v="4"/>
    <x v="1"/>
    <x v="0"/>
    <x v="1"/>
    <x v="2"/>
  </r>
  <r>
    <s v="Singapore"/>
    <x v="0"/>
    <s v="SG4"/>
    <m/>
    <x v="3"/>
    <x v="1"/>
    <x v="3"/>
    <x v="2"/>
    <x v="0"/>
    <x v="0"/>
    <x v="0"/>
    <m/>
    <x v="0"/>
    <x v="0"/>
    <n v="-0.46737000000000001"/>
    <m/>
    <x v="4"/>
    <x v="3"/>
    <x v="0"/>
    <x v="5"/>
    <x v="1"/>
  </r>
  <r>
    <s v="Singapore"/>
    <x v="4"/>
    <s v="SG1"/>
    <m/>
    <x v="5"/>
    <x v="2"/>
    <x v="0"/>
    <x v="3"/>
    <x v="0"/>
    <x v="0"/>
    <x v="0"/>
    <m/>
    <x v="0"/>
    <x v="0"/>
    <n v="-2.1645774180000004"/>
    <m/>
    <x v="0"/>
    <x v="1"/>
    <x v="0"/>
    <x v="1"/>
    <x v="0"/>
  </r>
  <r>
    <s v="Singapore"/>
    <x v="0"/>
    <s v="SG4"/>
    <m/>
    <x v="1"/>
    <x v="2"/>
    <x v="0"/>
    <x v="1"/>
    <x v="0"/>
    <x v="0"/>
    <x v="0"/>
    <m/>
    <x v="0"/>
    <x v="0"/>
    <n v="0.59200200000000003"/>
    <m/>
    <x v="1"/>
    <x v="0"/>
    <x v="0"/>
    <x v="1"/>
    <x v="1"/>
  </r>
  <r>
    <s v="Singapore"/>
    <x v="5"/>
    <s v="SG3"/>
    <m/>
    <x v="2"/>
    <x v="1"/>
    <x v="1"/>
    <x v="0"/>
    <x v="0"/>
    <x v="0"/>
    <x v="0"/>
    <m/>
    <x v="0"/>
    <x v="0"/>
    <n v="-0.233685"/>
    <m/>
    <x v="0"/>
    <x v="3"/>
    <x v="0"/>
    <x v="1"/>
    <x v="0"/>
  </r>
  <r>
    <s v="Singapore"/>
    <x v="3"/>
    <s v="SG4"/>
    <m/>
    <x v="2"/>
    <x v="2"/>
    <x v="3"/>
    <x v="5"/>
    <x v="0"/>
    <x v="0"/>
    <x v="0"/>
    <m/>
    <x v="0"/>
    <x v="0"/>
    <n v="-3.8947500000000002E-4"/>
    <m/>
    <x v="6"/>
    <x v="1"/>
    <x v="0"/>
    <x v="4"/>
    <x v="2"/>
  </r>
  <r>
    <s v="Singapore"/>
    <x v="5"/>
    <s v="SG4"/>
    <m/>
    <x v="4"/>
    <x v="0"/>
    <x v="1"/>
    <x v="3"/>
    <x v="0"/>
    <x v="0"/>
    <x v="0"/>
    <m/>
    <x v="0"/>
    <x v="0"/>
    <n v="-4.6737000000000001E-2"/>
    <m/>
    <x v="0"/>
    <x v="2"/>
    <x v="0"/>
    <x v="4"/>
    <x v="2"/>
  </r>
  <r>
    <s v="Singapore"/>
    <x v="5"/>
    <s v="SG3"/>
    <m/>
    <x v="2"/>
    <x v="1"/>
    <x v="0"/>
    <x v="4"/>
    <x v="0"/>
    <x v="0"/>
    <x v="0"/>
    <m/>
    <x v="0"/>
    <x v="0"/>
    <n v="-0.70105499999999998"/>
    <m/>
    <x v="4"/>
    <x v="0"/>
    <x v="0"/>
    <x v="2"/>
    <x v="0"/>
  </r>
  <r>
    <s v="Singapore"/>
    <x v="4"/>
    <s v="SG2"/>
    <m/>
    <x v="0"/>
    <x v="3"/>
    <x v="4"/>
    <x v="0"/>
    <x v="0"/>
    <x v="0"/>
    <x v="0"/>
    <m/>
    <x v="0"/>
    <x v="0"/>
    <n v="0.94252950000000002"/>
    <m/>
    <x v="1"/>
    <x v="0"/>
    <x v="0"/>
    <x v="5"/>
    <x v="2"/>
  </r>
  <r>
    <s v="Singapore"/>
    <x v="0"/>
    <s v="SG1"/>
    <m/>
    <x v="1"/>
    <x v="4"/>
    <x v="2"/>
    <x v="0"/>
    <x v="0"/>
    <x v="0"/>
    <x v="0"/>
    <m/>
    <x v="0"/>
    <x v="0"/>
    <n v="-2.1031650000000002"/>
    <m/>
    <x v="4"/>
    <x v="0"/>
    <x v="0"/>
    <x v="2"/>
    <x v="2"/>
  </r>
  <r>
    <s v="Singapore"/>
    <x v="5"/>
    <s v="SG4"/>
    <m/>
    <x v="2"/>
    <x v="0"/>
    <x v="0"/>
    <x v="3"/>
    <x v="0"/>
    <x v="0"/>
    <x v="0"/>
    <m/>
    <x v="0"/>
    <x v="0"/>
    <n v="77.89500000000001"/>
    <m/>
    <x v="5"/>
    <x v="2"/>
    <x v="0"/>
    <x v="1"/>
    <x v="1"/>
  </r>
  <r>
    <s v="Singapore"/>
    <x v="4"/>
    <s v="SG4"/>
    <m/>
    <x v="3"/>
    <x v="3"/>
    <x v="0"/>
    <x v="3"/>
    <x v="0"/>
    <x v="0"/>
    <x v="0"/>
    <m/>
    <x v="0"/>
    <x v="0"/>
    <n v="-0.15579000000000001"/>
    <m/>
    <x v="4"/>
    <x v="1"/>
    <x v="0"/>
    <x v="2"/>
    <x v="0"/>
  </r>
  <r>
    <s v="Singapore"/>
    <x v="1"/>
    <s v="SG3"/>
    <m/>
    <x v="2"/>
    <x v="0"/>
    <x v="4"/>
    <x v="5"/>
    <x v="0"/>
    <x v="0"/>
    <x v="0"/>
    <m/>
    <x v="0"/>
    <x v="0"/>
    <n v="-3.7389600000000002E-2"/>
    <m/>
    <x v="3"/>
    <x v="0"/>
    <x v="0"/>
    <x v="5"/>
    <x v="1"/>
  </r>
  <r>
    <s v="Singapore"/>
    <x v="3"/>
    <s v="SG1"/>
    <m/>
    <x v="1"/>
    <x v="1"/>
    <x v="3"/>
    <x v="0"/>
    <x v="0"/>
    <x v="0"/>
    <x v="0"/>
    <m/>
    <x v="0"/>
    <x v="0"/>
    <n v="-0.31158000000000002"/>
    <m/>
    <x v="0"/>
    <x v="3"/>
    <x v="0"/>
    <x v="2"/>
    <x v="1"/>
  </r>
  <r>
    <s v="Singapore"/>
    <x v="0"/>
    <s v="SG2"/>
    <m/>
    <x v="0"/>
    <x v="4"/>
    <x v="2"/>
    <x v="5"/>
    <x v="0"/>
    <x v="0"/>
    <x v="0"/>
    <m/>
    <x v="0"/>
    <x v="0"/>
    <n v="-7.7895000000000006E-2"/>
    <m/>
    <x v="0"/>
    <x v="3"/>
    <x v="0"/>
    <x v="1"/>
    <x v="2"/>
  </r>
  <r>
    <s v="Singapore"/>
    <x v="3"/>
    <s v="SG4"/>
    <m/>
    <x v="4"/>
    <x v="1"/>
    <x v="3"/>
    <x v="0"/>
    <x v="0"/>
    <x v="0"/>
    <x v="0"/>
    <m/>
    <x v="0"/>
    <x v="0"/>
    <n v="-0.77895000000000003"/>
    <m/>
    <x v="4"/>
    <x v="1"/>
    <x v="0"/>
    <x v="1"/>
    <x v="0"/>
  </r>
  <r>
    <s v="Singapore"/>
    <x v="5"/>
    <s v="SG3"/>
    <m/>
    <x v="0"/>
    <x v="2"/>
    <x v="3"/>
    <x v="1"/>
    <x v="0"/>
    <x v="0"/>
    <x v="0"/>
    <m/>
    <x v="0"/>
    <x v="0"/>
    <n v="1.0022282280000001"/>
    <m/>
    <x v="1"/>
    <x v="1"/>
    <x v="0"/>
    <x v="4"/>
    <x v="1"/>
  </r>
  <r>
    <s v="Singapore"/>
    <x v="0"/>
    <s v="SG1"/>
    <m/>
    <x v="2"/>
    <x v="0"/>
    <x v="4"/>
    <x v="0"/>
    <x v="0"/>
    <x v="0"/>
    <x v="0"/>
    <m/>
    <x v="0"/>
    <x v="0"/>
    <n v="5131.2093654240007"/>
    <m/>
    <x v="2"/>
    <x v="3"/>
    <x v="0"/>
    <x v="4"/>
    <x v="2"/>
  </r>
  <r>
    <s v="Singapore"/>
    <x v="2"/>
    <s v="SG3"/>
    <m/>
    <x v="4"/>
    <x v="4"/>
    <x v="4"/>
    <x v="2"/>
    <x v="0"/>
    <x v="0"/>
    <x v="0"/>
    <m/>
    <x v="0"/>
    <x v="0"/>
    <n v="4.6737000000000002"/>
    <m/>
    <x v="1"/>
    <x v="0"/>
    <x v="0"/>
    <x v="0"/>
    <x v="0"/>
  </r>
  <r>
    <s v="Singapore"/>
    <x v="3"/>
    <s v="SG1"/>
    <m/>
    <x v="1"/>
    <x v="2"/>
    <x v="3"/>
    <x v="3"/>
    <x v="0"/>
    <x v="0"/>
    <x v="0"/>
    <m/>
    <x v="0"/>
    <x v="0"/>
    <n v="-0.92313364499999995"/>
    <m/>
    <x v="4"/>
    <x v="1"/>
    <x v="0"/>
    <x v="3"/>
    <x v="0"/>
  </r>
  <r>
    <s v="Singapore"/>
    <x v="3"/>
    <s v="SG1"/>
    <m/>
    <x v="2"/>
    <x v="0"/>
    <x v="1"/>
    <x v="4"/>
    <x v="0"/>
    <x v="0"/>
    <x v="0"/>
    <m/>
    <x v="0"/>
    <x v="0"/>
    <n v="0.37389600000000001"/>
    <m/>
    <x v="4"/>
    <x v="2"/>
    <x v="0"/>
    <x v="4"/>
    <x v="1"/>
  </r>
  <r>
    <s v="Singapore"/>
    <x v="5"/>
    <s v="SG3"/>
    <m/>
    <x v="4"/>
    <x v="4"/>
    <x v="1"/>
    <x v="5"/>
    <x v="0"/>
    <x v="0"/>
    <x v="0"/>
    <m/>
    <x v="0"/>
    <x v="0"/>
    <n v="-15.329736"/>
    <m/>
    <x v="6"/>
    <x v="2"/>
    <x v="0"/>
    <x v="2"/>
    <x v="0"/>
  </r>
  <r>
    <s v="Singapore"/>
    <x v="5"/>
    <s v="SG4"/>
    <m/>
    <x v="3"/>
    <x v="1"/>
    <x v="1"/>
    <x v="4"/>
    <x v="0"/>
    <x v="0"/>
    <x v="0"/>
    <m/>
    <x v="0"/>
    <x v="0"/>
    <n v="2.8556307000000003"/>
    <m/>
    <x v="1"/>
    <x v="0"/>
    <x v="0"/>
    <x v="2"/>
    <x v="1"/>
  </r>
  <r>
    <s v="Singapore"/>
    <x v="2"/>
    <s v="SG3"/>
    <m/>
    <x v="0"/>
    <x v="2"/>
    <x v="3"/>
    <x v="4"/>
    <x v="0"/>
    <x v="0"/>
    <x v="0"/>
    <m/>
    <x v="0"/>
    <x v="0"/>
    <n v="-0.10905300000000001"/>
    <m/>
    <x v="1"/>
    <x v="3"/>
    <x v="0"/>
    <x v="0"/>
    <x v="0"/>
  </r>
  <r>
    <s v="Singapore"/>
    <x v="2"/>
    <s v="SG4"/>
    <m/>
    <x v="5"/>
    <x v="3"/>
    <x v="4"/>
    <x v="1"/>
    <x v="0"/>
    <x v="0"/>
    <x v="0"/>
    <m/>
    <x v="0"/>
    <x v="0"/>
    <n v="2.96001"/>
    <m/>
    <x v="1"/>
    <x v="1"/>
    <x v="0"/>
    <x v="2"/>
    <x v="1"/>
  </r>
  <r>
    <s v="Singapore"/>
    <x v="4"/>
    <s v="SG4"/>
    <m/>
    <x v="5"/>
    <x v="0"/>
    <x v="1"/>
    <x v="0"/>
    <x v="0"/>
    <x v="0"/>
    <x v="0"/>
    <m/>
    <x v="0"/>
    <x v="0"/>
    <n v="-0.18137071800000001"/>
    <m/>
    <x v="0"/>
    <x v="2"/>
    <x v="0"/>
    <x v="1"/>
    <x v="0"/>
  </r>
  <r>
    <s v="Singapore"/>
    <x v="2"/>
    <s v="SG3"/>
    <m/>
    <x v="2"/>
    <x v="4"/>
    <x v="4"/>
    <x v="2"/>
    <x v="0"/>
    <x v="0"/>
    <x v="0"/>
    <m/>
    <x v="0"/>
    <x v="0"/>
    <n v="-4.6737000000000001E-2"/>
    <m/>
    <x v="0"/>
    <x v="0"/>
    <x v="0"/>
    <x v="0"/>
    <x v="1"/>
  </r>
  <r>
    <s v="Singapore"/>
    <x v="1"/>
    <s v="SG4"/>
    <m/>
    <x v="1"/>
    <x v="0"/>
    <x v="1"/>
    <x v="1"/>
    <x v="0"/>
    <x v="0"/>
    <x v="0"/>
    <m/>
    <x v="0"/>
    <x v="0"/>
    <n v="-0.70105499999999998"/>
    <m/>
    <x v="0"/>
    <x v="1"/>
    <x v="0"/>
    <x v="5"/>
    <x v="2"/>
  </r>
  <r>
    <s v="Singapore"/>
    <x v="5"/>
    <s v="SG4"/>
    <m/>
    <x v="2"/>
    <x v="0"/>
    <x v="1"/>
    <x v="3"/>
    <x v="0"/>
    <x v="0"/>
    <x v="0"/>
    <m/>
    <x v="0"/>
    <x v="0"/>
    <n v="0.10925552700000001"/>
    <m/>
    <x v="8"/>
    <x v="3"/>
    <x v="0"/>
    <x v="2"/>
    <x v="1"/>
  </r>
  <r>
    <s v="Singapore"/>
    <x v="3"/>
    <s v="SG1"/>
    <m/>
    <x v="0"/>
    <x v="0"/>
    <x v="2"/>
    <x v="3"/>
    <x v="0"/>
    <x v="0"/>
    <x v="0"/>
    <m/>
    <x v="0"/>
    <x v="0"/>
    <n v="4.1736452580000005"/>
    <m/>
    <x v="1"/>
    <x v="3"/>
    <x v="0"/>
    <x v="3"/>
    <x v="1"/>
  </r>
  <r>
    <s v="Singapore"/>
    <x v="0"/>
    <s v="SG2"/>
    <m/>
    <x v="1"/>
    <x v="1"/>
    <x v="2"/>
    <x v="0"/>
    <x v="0"/>
    <x v="0"/>
    <x v="0"/>
    <m/>
    <x v="0"/>
    <x v="0"/>
    <n v="-0.10905300000000001"/>
    <m/>
    <x v="1"/>
    <x v="3"/>
    <x v="0"/>
    <x v="2"/>
    <x v="1"/>
  </r>
  <r>
    <s v="Singapore"/>
    <x v="2"/>
    <s v="SG1"/>
    <m/>
    <x v="5"/>
    <x v="3"/>
    <x v="2"/>
    <x v="4"/>
    <x v="0"/>
    <x v="0"/>
    <x v="0"/>
    <m/>
    <x v="0"/>
    <x v="0"/>
    <n v="-0.15579000000000001"/>
    <m/>
    <x v="0"/>
    <x v="3"/>
    <x v="0"/>
    <x v="5"/>
    <x v="1"/>
  </r>
  <r>
    <s v="Singapore"/>
    <x v="3"/>
    <s v="SG3"/>
    <m/>
    <x v="3"/>
    <x v="0"/>
    <x v="1"/>
    <x v="3"/>
    <x v="0"/>
    <x v="0"/>
    <x v="0"/>
    <m/>
    <x v="0"/>
    <x v="0"/>
    <n v="-3.1158000000000002E-2"/>
    <m/>
    <x v="0"/>
    <x v="1"/>
    <x v="0"/>
    <x v="1"/>
    <x v="2"/>
  </r>
  <r>
    <s v="Singapore"/>
    <x v="0"/>
    <s v="SG3"/>
    <m/>
    <x v="3"/>
    <x v="2"/>
    <x v="2"/>
    <x v="2"/>
    <x v="0"/>
    <x v="0"/>
    <x v="0"/>
    <m/>
    <x v="0"/>
    <x v="0"/>
    <n v="-0.18137071800000001"/>
    <m/>
    <x v="0"/>
    <x v="0"/>
    <x v="0"/>
    <x v="3"/>
    <x v="2"/>
  </r>
  <r>
    <s v="Singapore"/>
    <x v="0"/>
    <s v="SG4"/>
    <m/>
    <x v="3"/>
    <x v="3"/>
    <x v="2"/>
    <x v="0"/>
    <x v="0"/>
    <x v="0"/>
    <x v="0"/>
    <m/>
    <x v="0"/>
    <x v="0"/>
    <n v="0.74467620000000001"/>
    <m/>
    <x v="1"/>
    <x v="2"/>
    <x v="0"/>
    <x v="0"/>
    <x v="0"/>
  </r>
  <r>
    <s v="Singapore"/>
    <x v="3"/>
    <s v="SG3"/>
    <m/>
    <x v="2"/>
    <x v="1"/>
    <x v="2"/>
    <x v="3"/>
    <x v="0"/>
    <x v="0"/>
    <x v="0"/>
    <m/>
    <x v="0"/>
    <x v="0"/>
    <n v="0.85684500000000008"/>
    <m/>
    <x v="1"/>
    <x v="3"/>
    <x v="0"/>
    <x v="4"/>
    <x v="0"/>
  </r>
  <r>
    <s v="Singapore"/>
    <x v="1"/>
    <s v="SG2"/>
    <m/>
    <x v="5"/>
    <x v="4"/>
    <x v="2"/>
    <x v="0"/>
    <x v="0"/>
    <x v="0"/>
    <x v="0"/>
    <m/>
    <x v="0"/>
    <x v="0"/>
    <n v="-0.140211"/>
    <m/>
    <x v="0"/>
    <x v="3"/>
    <x v="0"/>
    <x v="0"/>
    <x v="0"/>
  </r>
  <r>
    <s v="Singapore"/>
    <x v="4"/>
    <s v="SG3"/>
    <m/>
    <x v="3"/>
    <x v="3"/>
    <x v="3"/>
    <x v="4"/>
    <x v="0"/>
    <x v="0"/>
    <x v="0"/>
    <m/>
    <x v="0"/>
    <x v="0"/>
    <n v="0.80231850000000005"/>
    <m/>
    <x v="7"/>
    <x v="2"/>
    <x v="0"/>
    <x v="1"/>
    <x v="2"/>
  </r>
  <r>
    <s v="Singapore"/>
    <x v="2"/>
    <s v="SG3"/>
    <m/>
    <x v="2"/>
    <x v="0"/>
    <x v="1"/>
    <x v="1"/>
    <x v="0"/>
    <x v="0"/>
    <x v="0"/>
    <m/>
    <x v="0"/>
    <x v="0"/>
    <n v="-0.12626779500000002"/>
    <m/>
    <x v="4"/>
    <x v="2"/>
    <x v="0"/>
    <x v="0"/>
    <x v="2"/>
  </r>
  <r>
    <s v="Singapore"/>
    <x v="3"/>
    <s v="SG4"/>
    <m/>
    <x v="4"/>
    <x v="1"/>
    <x v="4"/>
    <x v="5"/>
    <x v="0"/>
    <x v="0"/>
    <x v="0"/>
    <m/>
    <x v="0"/>
    <x v="0"/>
    <n v="-0.1324215"/>
    <m/>
    <x v="4"/>
    <x v="3"/>
    <x v="0"/>
    <x v="5"/>
    <x v="2"/>
  </r>
  <r>
    <s v="Singapore"/>
    <x v="2"/>
    <s v="SG1"/>
    <m/>
    <x v="2"/>
    <x v="1"/>
    <x v="3"/>
    <x v="1"/>
    <x v="0"/>
    <x v="0"/>
    <x v="0"/>
    <m/>
    <x v="0"/>
    <x v="0"/>
    <n v="4.36212"/>
    <m/>
    <x v="1"/>
    <x v="3"/>
    <x v="0"/>
    <x v="4"/>
    <x v="1"/>
  </r>
  <r>
    <s v="Singapore"/>
    <x v="4"/>
    <s v="SG1"/>
    <m/>
    <x v="4"/>
    <x v="0"/>
    <x v="1"/>
    <x v="3"/>
    <x v="0"/>
    <x v="0"/>
    <x v="0"/>
    <m/>
    <x v="0"/>
    <x v="0"/>
    <n v="-4.6737000000000001E-2"/>
    <m/>
    <x v="0"/>
    <x v="0"/>
    <x v="0"/>
    <x v="2"/>
    <x v="1"/>
  </r>
  <r>
    <s v="Singapore"/>
    <x v="0"/>
    <s v="SG4"/>
    <m/>
    <x v="1"/>
    <x v="1"/>
    <x v="2"/>
    <x v="1"/>
    <x v="0"/>
    <x v="0"/>
    <x v="0"/>
    <m/>
    <x v="0"/>
    <x v="0"/>
    <n v="-19.847708316000002"/>
    <m/>
    <x v="2"/>
    <x v="2"/>
    <x v="0"/>
    <x v="0"/>
    <x v="0"/>
  </r>
  <r>
    <s v="Singapore"/>
    <x v="0"/>
    <s v="SG4"/>
    <m/>
    <x v="2"/>
    <x v="2"/>
    <x v="0"/>
    <x v="4"/>
    <x v="0"/>
    <x v="0"/>
    <x v="0"/>
    <m/>
    <x v="0"/>
    <x v="0"/>
    <n v="-0.12463200000000001"/>
    <m/>
    <x v="4"/>
    <x v="2"/>
    <x v="0"/>
    <x v="2"/>
    <x v="2"/>
  </r>
  <r>
    <s v="Singapore"/>
    <x v="1"/>
    <s v="SG3"/>
    <m/>
    <x v="2"/>
    <x v="2"/>
    <x v="0"/>
    <x v="5"/>
    <x v="0"/>
    <x v="0"/>
    <x v="0"/>
    <m/>
    <x v="0"/>
    <x v="0"/>
    <n v="-4.6737000000000001E-2"/>
    <m/>
    <x v="0"/>
    <x v="0"/>
    <x v="0"/>
    <x v="1"/>
    <x v="2"/>
  </r>
  <r>
    <s v="Singapore"/>
    <x v="2"/>
    <s v="SG1"/>
    <m/>
    <x v="0"/>
    <x v="1"/>
    <x v="4"/>
    <x v="5"/>
    <x v="0"/>
    <x v="0"/>
    <x v="0"/>
    <m/>
    <x v="0"/>
    <x v="0"/>
    <n v="24.520333365000003"/>
    <m/>
    <x v="8"/>
    <x v="1"/>
    <x v="0"/>
    <x v="3"/>
    <x v="1"/>
  </r>
  <r>
    <s v="Singapore"/>
    <x v="4"/>
    <s v="SG2"/>
    <m/>
    <x v="3"/>
    <x v="2"/>
    <x v="1"/>
    <x v="1"/>
    <x v="0"/>
    <x v="0"/>
    <x v="0"/>
    <m/>
    <x v="0"/>
    <x v="0"/>
    <n v="-0.46737000000000001"/>
    <m/>
    <x v="0"/>
    <x v="3"/>
    <x v="0"/>
    <x v="5"/>
    <x v="0"/>
  </r>
  <r>
    <s v="Singapore"/>
    <x v="4"/>
    <s v="SG4"/>
    <m/>
    <x v="0"/>
    <x v="0"/>
    <x v="2"/>
    <x v="4"/>
    <x v="0"/>
    <x v="0"/>
    <x v="0"/>
    <m/>
    <x v="0"/>
    <x v="0"/>
    <n v="1.2208483350000001"/>
    <m/>
    <x v="1"/>
    <x v="0"/>
    <x v="0"/>
    <x v="1"/>
    <x v="2"/>
  </r>
  <r>
    <s v="Singapore"/>
    <x v="2"/>
    <s v="SG2"/>
    <m/>
    <x v="2"/>
    <x v="4"/>
    <x v="1"/>
    <x v="0"/>
    <x v="0"/>
    <x v="0"/>
    <x v="0"/>
    <m/>
    <x v="0"/>
    <x v="0"/>
    <n v="0.37000125"/>
    <m/>
    <x v="8"/>
    <x v="1"/>
    <x v="0"/>
    <x v="4"/>
    <x v="2"/>
  </r>
  <r>
    <s v="Singapore"/>
    <x v="3"/>
    <s v="SG3"/>
    <m/>
    <x v="2"/>
    <x v="0"/>
    <x v="0"/>
    <x v="2"/>
    <x v="0"/>
    <x v="0"/>
    <x v="0"/>
    <m/>
    <x v="0"/>
    <x v="0"/>
    <n v="-31.158000000000001"/>
    <m/>
    <x v="5"/>
    <x v="3"/>
    <x v="0"/>
    <x v="2"/>
    <x v="0"/>
  </r>
  <r>
    <s v="Singapore"/>
    <x v="1"/>
    <s v="SG1"/>
    <m/>
    <x v="5"/>
    <x v="0"/>
    <x v="4"/>
    <x v="4"/>
    <x v="0"/>
    <x v="0"/>
    <x v="0"/>
    <m/>
    <x v="0"/>
    <x v="0"/>
    <n v="-0.12463200000000001"/>
    <m/>
    <x v="4"/>
    <x v="1"/>
    <x v="0"/>
    <x v="0"/>
    <x v="1"/>
  </r>
  <r>
    <s v="Singapore"/>
    <x v="4"/>
    <s v="SG3"/>
    <m/>
    <x v="1"/>
    <x v="3"/>
    <x v="0"/>
    <x v="0"/>
    <x v="0"/>
    <x v="0"/>
    <x v="0"/>
    <m/>
    <x v="0"/>
    <x v="0"/>
    <n v="-85.907326437000009"/>
    <m/>
    <x v="3"/>
    <x v="2"/>
    <x v="0"/>
    <x v="2"/>
    <x v="0"/>
  </r>
  <r>
    <s v="Singapore"/>
    <x v="3"/>
    <s v="SG4"/>
    <m/>
    <x v="1"/>
    <x v="4"/>
    <x v="1"/>
    <x v="5"/>
    <x v="0"/>
    <x v="0"/>
    <x v="0"/>
    <m/>
    <x v="0"/>
    <x v="0"/>
    <n v="1.5670916100000001"/>
    <m/>
    <x v="7"/>
    <x v="1"/>
    <x v="0"/>
    <x v="1"/>
    <x v="1"/>
  </r>
  <r>
    <s v="Singapore"/>
    <x v="2"/>
    <s v="SG3"/>
    <m/>
    <x v="1"/>
    <x v="0"/>
    <x v="1"/>
    <x v="3"/>
    <x v="0"/>
    <x v="0"/>
    <x v="0"/>
    <m/>
    <x v="0"/>
    <x v="0"/>
    <n v="2.8556307000000003"/>
    <m/>
    <x v="1"/>
    <x v="0"/>
    <x v="0"/>
    <x v="0"/>
    <x v="2"/>
  </r>
  <r>
    <s v="Singapore"/>
    <x v="3"/>
    <s v="SG3"/>
    <m/>
    <x v="2"/>
    <x v="3"/>
    <x v="3"/>
    <x v="0"/>
    <x v="0"/>
    <x v="0"/>
    <x v="0"/>
    <m/>
    <x v="0"/>
    <x v="0"/>
    <n v="0.40505400000000003"/>
    <m/>
    <x v="1"/>
    <x v="2"/>
    <x v="0"/>
    <x v="4"/>
    <x v="1"/>
  </r>
  <r>
    <s v="Singapore"/>
    <x v="5"/>
    <s v="SG3"/>
    <m/>
    <x v="5"/>
    <x v="1"/>
    <x v="0"/>
    <x v="3"/>
    <x v="0"/>
    <x v="0"/>
    <x v="0"/>
    <m/>
    <x v="0"/>
    <x v="0"/>
    <n v="-0.15579000000000001"/>
    <m/>
    <x v="4"/>
    <x v="1"/>
    <x v="0"/>
    <x v="4"/>
    <x v="0"/>
  </r>
  <r>
    <s v="Singapore"/>
    <x v="5"/>
    <s v="SG1"/>
    <m/>
    <x v="3"/>
    <x v="1"/>
    <x v="0"/>
    <x v="0"/>
    <x v="0"/>
    <x v="0"/>
    <x v="0"/>
    <m/>
    <x v="0"/>
    <x v="0"/>
    <n v="2.6484300000000003"/>
    <m/>
    <x v="1"/>
    <x v="0"/>
    <x v="0"/>
    <x v="3"/>
    <x v="1"/>
  </r>
  <r>
    <s v="Singapore"/>
    <x v="5"/>
    <s v="SG2"/>
    <m/>
    <x v="5"/>
    <x v="0"/>
    <x v="1"/>
    <x v="0"/>
    <x v="0"/>
    <x v="0"/>
    <x v="0"/>
    <m/>
    <x v="0"/>
    <x v="0"/>
    <n v="16.4888136"/>
    <m/>
    <x v="5"/>
    <x v="1"/>
    <x v="0"/>
    <x v="0"/>
    <x v="0"/>
  </r>
  <r>
    <s v="Singapore"/>
    <x v="5"/>
    <s v="SG3"/>
    <m/>
    <x v="3"/>
    <x v="1"/>
    <x v="3"/>
    <x v="1"/>
    <x v="0"/>
    <x v="0"/>
    <x v="0"/>
    <m/>
    <x v="0"/>
    <x v="0"/>
    <n v="-0.10905300000000001"/>
    <m/>
    <x v="4"/>
    <x v="0"/>
    <x v="0"/>
    <x v="3"/>
    <x v="1"/>
  </r>
  <r>
    <s v="Singapore"/>
    <x v="4"/>
    <s v="SG4"/>
    <m/>
    <x v="3"/>
    <x v="2"/>
    <x v="1"/>
    <x v="1"/>
    <x v="0"/>
    <x v="0"/>
    <x v="0"/>
    <m/>
    <x v="0"/>
    <x v="0"/>
    <n v="9.523442700000001E-2"/>
    <m/>
    <x v="8"/>
    <x v="2"/>
    <x v="0"/>
    <x v="0"/>
    <x v="0"/>
  </r>
  <r>
    <s v="Singapore"/>
    <x v="1"/>
    <s v="SG3"/>
    <m/>
    <x v="2"/>
    <x v="1"/>
    <x v="1"/>
    <x v="5"/>
    <x v="0"/>
    <x v="0"/>
    <x v="0"/>
    <m/>
    <x v="0"/>
    <x v="0"/>
    <n v="11.147584608000001"/>
    <m/>
    <x v="7"/>
    <x v="2"/>
    <x v="0"/>
    <x v="5"/>
    <x v="1"/>
  </r>
  <r>
    <s v="Singapore"/>
    <x v="5"/>
    <s v="SG4"/>
    <m/>
    <x v="0"/>
    <x v="2"/>
    <x v="0"/>
    <x v="5"/>
    <x v="0"/>
    <x v="0"/>
    <x v="0"/>
    <m/>
    <x v="0"/>
    <x v="0"/>
    <n v="-8.0106283259999991"/>
    <m/>
    <x v="0"/>
    <x v="0"/>
    <x v="0"/>
    <x v="1"/>
    <x v="1"/>
  </r>
  <r>
    <s v="Singapore"/>
    <x v="1"/>
    <s v="SG4"/>
    <m/>
    <x v="2"/>
    <x v="4"/>
    <x v="3"/>
    <x v="0"/>
    <x v="0"/>
    <x v="0"/>
    <x v="0"/>
    <m/>
    <x v="0"/>
    <x v="0"/>
    <n v="1.3678361999999999E-2"/>
    <m/>
    <x v="8"/>
    <x v="0"/>
    <x v="0"/>
    <x v="3"/>
    <x v="2"/>
  </r>
  <r>
    <s v="Singapore"/>
    <x v="2"/>
    <s v="SG4"/>
    <m/>
    <x v="4"/>
    <x v="3"/>
    <x v="2"/>
    <x v="0"/>
    <x v="0"/>
    <x v="0"/>
    <x v="0"/>
    <m/>
    <x v="0"/>
    <x v="0"/>
    <n v="-2.8462833000000001"/>
    <m/>
    <x v="3"/>
    <x v="2"/>
    <x v="0"/>
    <x v="2"/>
    <x v="0"/>
  </r>
  <r>
    <s v="Singapore"/>
    <x v="2"/>
    <s v="SG4"/>
    <m/>
    <x v="1"/>
    <x v="4"/>
    <x v="0"/>
    <x v="1"/>
    <x v="0"/>
    <x v="0"/>
    <x v="0"/>
    <m/>
    <x v="0"/>
    <x v="0"/>
    <n v="-0.81010800000000005"/>
    <m/>
    <x v="8"/>
    <x v="3"/>
    <x v="0"/>
    <x v="0"/>
    <x v="0"/>
  </r>
  <r>
    <s v="Singapore"/>
    <x v="0"/>
    <s v="SG2"/>
    <m/>
    <x v="4"/>
    <x v="4"/>
    <x v="3"/>
    <x v="5"/>
    <x v="0"/>
    <x v="0"/>
    <x v="0"/>
    <m/>
    <x v="0"/>
    <x v="0"/>
    <n v="0.17136900000000002"/>
    <m/>
    <x v="8"/>
    <x v="1"/>
    <x v="0"/>
    <x v="1"/>
    <x v="1"/>
  </r>
  <r>
    <s v="Singapore"/>
    <x v="4"/>
    <s v="SG2"/>
    <m/>
    <x v="5"/>
    <x v="2"/>
    <x v="4"/>
    <x v="4"/>
    <x v="0"/>
    <x v="0"/>
    <x v="0"/>
    <m/>
    <x v="0"/>
    <x v="0"/>
    <n v="-1.5812685000000002"/>
    <m/>
    <x v="4"/>
    <x v="2"/>
    <x v="0"/>
    <x v="2"/>
    <x v="0"/>
  </r>
  <r>
    <s v="Singapore"/>
    <x v="0"/>
    <s v="SG3"/>
    <m/>
    <x v="2"/>
    <x v="0"/>
    <x v="1"/>
    <x v="5"/>
    <x v="0"/>
    <x v="0"/>
    <x v="0"/>
    <m/>
    <x v="0"/>
    <x v="0"/>
    <n v="1.3709520000000002"/>
    <m/>
    <x v="1"/>
    <x v="0"/>
    <x v="0"/>
    <x v="5"/>
    <x v="0"/>
  </r>
  <r>
    <s v="Singapore"/>
    <x v="1"/>
    <s v="SG3"/>
    <m/>
    <x v="4"/>
    <x v="3"/>
    <x v="0"/>
    <x v="0"/>
    <x v="0"/>
    <x v="0"/>
    <x v="0"/>
    <m/>
    <x v="0"/>
    <x v="0"/>
    <n v="77.175546201000003"/>
    <m/>
    <x v="3"/>
    <x v="1"/>
    <x v="0"/>
    <x v="2"/>
    <x v="2"/>
  </r>
  <r>
    <s v="Singapore"/>
    <x v="4"/>
    <s v="SG3"/>
    <m/>
    <x v="2"/>
    <x v="2"/>
    <x v="2"/>
    <x v="5"/>
    <x v="0"/>
    <x v="0"/>
    <x v="0"/>
    <m/>
    <x v="0"/>
    <x v="0"/>
    <n v="-3.1158000000000002E-2"/>
    <m/>
    <x v="0"/>
    <x v="3"/>
    <x v="0"/>
    <x v="5"/>
    <x v="1"/>
  </r>
  <r>
    <s v="Singapore"/>
    <x v="5"/>
    <s v="SG2"/>
    <m/>
    <x v="4"/>
    <x v="0"/>
    <x v="1"/>
    <x v="3"/>
    <x v="0"/>
    <x v="0"/>
    <x v="0"/>
    <m/>
    <x v="0"/>
    <x v="0"/>
    <n v="-0.81010800000000005"/>
    <m/>
    <x v="4"/>
    <x v="1"/>
    <x v="0"/>
    <x v="0"/>
    <x v="1"/>
  </r>
  <r>
    <s v="Singapore"/>
    <x v="2"/>
    <s v="SG3"/>
    <m/>
    <x v="5"/>
    <x v="4"/>
    <x v="3"/>
    <x v="5"/>
    <x v="0"/>
    <x v="0"/>
    <x v="0"/>
    <m/>
    <x v="0"/>
    <x v="0"/>
    <n v="-4.6737000000000001E-2"/>
    <m/>
    <x v="0"/>
    <x v="3"/>
    <x v="0"/>
    <x v="0"/>
    <x v="2"/>
  </r>
  <r>
    <s v="Singapore"/>
    <x v="4"/>
    <s v="SG1"/>
    <m/>
    <x v="5"/>
    <x v="0"/>
    <x v="1"/>
    <x v="4"/>
    <x v="0"/>
    <x v="0"/>
    <x v="0"/>
    <m/>
    <x v="0"/>
    <x v="0"/>
    <n v="-0.47980204200000004"/>
    <m/>
    <x v="3"/>
    <x v="3"/>
    <x v="0"/>
    <x v="4"/>
    <x v="2"/>
  </r>
  <r>
    <s v="Singapore"/>
    <x v="2"/>
    <s v="SG2"/>
    <m/>
    <x v="5"/>
    <x v="0"/>
    <x v="3"/>
    <x v="3"/>
    <x v="0"/>
    <x v="0"/>
    <x v="0"/>
    <m/>
    <x v="0"/>
    <x v="0"/>
    <n v="7.7895000000000004E-4"/>
    <m/>
    <x v="6"/>
    <x v="0"/>
    <x v="0"/>
    <x v="3"/>
    <x v="0"/>
  </r>
  <r>
    <s v="Singapore"/>
    <x v="4"/>
    <s v="SG2"/>
    <m/>
    <x v="3"/>
    <x v="1"/>
    <x v="1"/>
    <x v="0"/>
    <x v="0"/>
    <x v="0"/>
    <x v="0"/>
    <m/>
    <x v="0"/>
    <x v="0"/>
    <n v="0.54908185500000006"/>
    <m/>
    <x v="0"/>
    <x v="2"/>
    <x v="0"/>
    <x v="1"/>
    <x v="2"/>
  </r>
  <r>
    <s v="Singapore"/>
    <x v="4"/>
    <s v="SG2"/>
    <m/>
    <x v="4"/>
    <x v="2"/>
    <x v="3"/>
    <x v="2"/>
    <x v="0"/>
    <x v="0"/>
    <x v="0"/>
    <m/>
    <x v="0"/>
    <x v="0"/>
    <n v="-3.4367274000000003E-2"/>
    <m/>
    <x v="1"/>
    <x v="1"/>
    <x v="0"/>
    <x v="5"/>
    <x v="0"/>
  </r>
  <r>
    <s v="Singapore"/>
    <x v="4"/>
    <s v="SG2"/>
    <m/>
    <x v="2"/>
    <x v="4"/>
    <x v="2"/>
    <x v="3"/>
    <x v="0"/>
    <x v="0"/>
    <x v="0"/>
    <m/>
    <x v="0"/>
    <x v="0"/>
    <n v="-0.10905300000000001"/>
    <m/>
    <x v="4"/>
    <x v="1"/>
    <x v="0"/>
    <x v="5"/>
    <x v="1"/>
  </r>
  <r>
    <s v="Singapore"/>
    <x v="2"/>
    <s v="SG4"/>
    <m/>
    <x v="4"/>
    <x v="0"/>
    <x v="0"/>
    <x v="1"/>
    <x v="0"/>
    <x v="0"/>
    <x v="0"/>
    <m/>
    <x v="0"/>
    <x v="0"/>
    <n v="-0.31158000000000002"/>
    <m/>
    <x v="4"/>
    <x v="1"/>
    <x v="0"/>
    <x v="5"/>
    <x v="1"/>
  </r>
  <r>
    <s v="Singapore"/>
    <x v="3"/>
    <s v="SG1"/>
    <m/>
    <x v="4"/>
    <x v="1"/>
    <x v="4"/>
    <x v="2"/>
    <x v="0"/>
    <x v="0"/>
    <x v="0"/>
    <m/>
    <x v="0"/>
    <x v="0"/>
    <n v="-1.7175847500000001"/>
    <m/>
    <x v="0"/>
    <x v="3"/>
    <x v="0"/>
    <x v="5"/>
    <x v="1"/>
  </r>
  <r>
    <s v="Singapore"/>
    <x v="0"/>
    <s v="SG4"/>
    <m/>
    <x v="5"/>
    <x v="4"/>
    <x v="2"/>
    <x v="5"/>
    <x v="0"/>
    <x v="0"/>
    <x v="0"/>
    <m/>
    <x v="0"/>
    <x v="0"/>
    <n v="1.049790915"/>
    <m/>
    <x v="1"/>
    <x v="1"/>
    <x v="0"/>
    <x v="0"/>
    <x v="2"/>
  </r>
  <r>
    <s v="Singapore"/>
    <x v="3"/>
    <s v="SG1"/>
    <m/>
    <x v="3"/>
    <x v="4"/>
    <x v="1"/>
    <x v="2"/>
    <x v="0"/>
    <x v="0"/>
    <x v="0"/>
    <m/>
    <x v="0"/>
    <x v="0"/>
    <n v="-3.4772328000000003"/>
    <m/>
    <x v="6"/>
    <x v="3"/>
    <x v="0"/>
    <x v="4"/>
    <x v="0"/>
  </r>
  <r>
    <s v="Singapore"/>
    <x v="5"/>
    <s v="SG1"/>
    <m/>
    <x v="5"/>
    <x v="1"/>
    <x v="3"/>
    <x v="1"/>
    <x v="0"/>
    <x v="0"/>
    <x v="0"/>
    <m/>
    <x v="0"/>
    <x v="0"/>
    <n v="-4.7765214"/>
    <m/>
    <x v="3"/>
    <x v="2"/>
    <x v="0"/>
    <x v="5"/>
    <x v="1"/>
  </r>
  <r>
    <s v="Singapore"/>
    <x v="3"/>
    <s v="SG3"/>
    <m/>
    <x v="1"/>
    <x v="3"/>
    <x v="2"/>
    <x v="5"/>
    <x v="0"/>
    <x v="0"/>
    <x v="0"/>
    <m/>
    <x v="0"/>
    <x v="0"/>
    <n v="2.1343230000000002"/>
    <m/>
    <x v="1"/>
    <x v="1"/>
    <x v="0"/>
    <x v="5"/>
    <x v="0"/>
  </r>
  <r>
    <s v="Singapore"/>
    <x v="4"/>
    <s v="SG3"/>
    <m/>
    <x v="2"/>
    <x v="3"/>
    <x v="3"/>
    <x v="5"/>
    <x v="0"/>
    <x v="0"/>
    <x v="0"/>
    <m/>
    <x v="0"/>
    <x v="0"/>
    <n v="21.187440000000002"/>
    <m/>
    <x v="7"/>
    <x v="2"/>
    <x v="0"/>
    <x v="3"/>
    <x v="2"/>
  </r>
  <r>
    <s v="Singapore"/>
    <x v="0"/>
    <s v="SG1"/>
    <m/>
    <x v="3"/>
    <x v="0"/>
    <x v="4"/>
    <x v="1"/>
    <x v="0"/>
    <x v="0"/>
    <x v="0"/>
    <m/>
    <x v="0"/>
    <x v="0"/>
    <n v="1.6591635"/>
    <m/>
    <x v="1"/>
    <x v="3"/>
    <x v="0"/>
    <x v="2"/>
    <x v="0"/>
  </r>
  <r>
    <s v="Singapore"/>
    <x v="3"/>
    <s v="SG4"/>
    <m/>
    <x v="0"/>
    <x v="4"/>
    <x v="1"/>
    <x v="3"/>
    <x v="0"/>
    <x v="0"/>
    <x v="0"/>
    <m/>
    <x v="0"/>
    <x v="0"/>
    <n v="-0.24926400000000001"/>
    <m/>
    <x v="0"/>
    <x v="3"/>
    <x v="0"/>
    <x v="5"/>
    <x v="2"/>
  </r>
  <r>
    <s v="Singapore"/>
    <x v="0"/>
    <s v="SG2"/>
    <m/>
    <x v="3"/>
    <x v="2"/>
    <x v="4"/>
    <x v="3"/>
    <x v="0"/>
    <x v="0"/>
    <x v="0"/>
    <m/>
    <x v="0"/>
    <x v="0"/>
    <n v="0.20252700000000001"/>
    <m/>
    <x v="1"/>
    <x v="2"/>
    <x v="0"/>
    <x v="1"/>
    <x v="2"/>
  </r>
  <r>
    <s v="Singapore"/>
    <x v="1"/>
    <s v="SG3"/>
    <m/>
    <x v="4"/>
    <x v="0"/>
    <x v="0"/>
    <x v="0"/>
    <x v="0"/>
    <x v="0"/>
    <x v="0"/>
    <m/>
    <x v="0"/>
    <x v="0"/>
    <n v="-1.5579000000000001E-2"/>
    <m/>
    <x v="0"/>
    <x v="2"/>
    <x v="0"/>
    <x v="0"/>
    <x v="0"/>
  </r>
  <r>
    <s v="Singapore"/>
    <x v="1"/>
    <s v="SG1"/>
    <m/>
    <x v="3"/>
    <x v="4"/>
    <x v="0"/>
    <x v="5"/>
    <x v="0"/>
    <x v="0"/>
    <x v="0"/>
    <m/>
    <x v="0"/>
    <x v="0"/>
    <n v="-1.495584"/>
    <m/>
    <x v="0"/>
    <x v="0"/>
    <x v="0"/>
    <x v="3"/>
    <x v="1"/>
  </r>
  <r>
    <s v="Singapore"/>
    <x v="0"/>
    <s v="SG3"/>
    <m/>
    <x v="4"/>
    <x v="2"/>
    <x v="4"/>
    <x v="0"/>
    <x v="0"/>
    <x v="0"/>
    <x v="0"/>
    <m/>
    <x v="0"/>
    <x v="0"/>
    <n v="0.77895000000000003"/>
    <m/>
    <x v="4"/>
    <x v="0"/>
    <x v="0"/>
    <x v="2"/>
    <x v="0"/>
  </r>
  <r>
    <s v="Singapore"/>
    <x v="1"/>
    <s v="SG4"/>
    <m/>
    <x v="1"/>
    <x v="0"/>
    <x v="2"/>
    <x v="2"/>
    <x v="0"/>
    <x v="0"/>
    <x v="0"/>
    <m/>
    <x v="0"/>
    <x v="0"/>
    <n v="1.0671615000000001"/>
    <m/>
    <x v="1"/>
    <x v="3"/>
    <x v="0"/>
    <x v="5"/>
    <x v="2"/>
  </r>
  <r>
    <s v="Singapore"/>
    <x v="2"/>
    <s v="SG4"/>
    <m/>
    <x v="1"/>
    <x v="4"/>
    <x v="2"/>
    <x v="4"/>
    <x v="0"/>
    <x v="0"/>
    <x v="0"/>
    <m/>
    <x v="0"/>
    <x v="0"/>
    <n v="1.5579000000000001"/>
    <m/>
    <x v="0"/>
    <x v="0"/>
    <x v="0"/>
    <x v="0"/>
    <x v="1"/>
  </r>
  <r>
    <s v="Singapore"/>
    <x v="2"/>
    <s v="SG4"/>
    <m/>
    <x v="0"/>
    <x v="3"/>
    <x v="0"/>
    <x v="0"/>
    <x v="0"/>
    <x v="0"/>
    <x v="0"/>
    <m/>
    <x v="0"/>
    <x v="0"/>
    <n v="-7.7895000000000006E-2"/>
    <m/>
    <x v="4"/>
    <x v="2"/>
    <x v="0"/>
    <x v="0"/>
    <x v="0"/>
  </r>
  <r>
    <s v="Singapore"/>
    <x v="4"/>
    <s v="SG4"/>
    <m/>
    <x v="0"/>
    <x v="4"/>
    <x v="0"/>
    <x v="2"/>
    <x v="0"/>
    <x v="0"/>
    <x v="0"/>
    <m/>
    <x v="0"/>
    <x v="0"/>
    <n v="-4.6737000000000001E-2"/>
    <m/>
    <x v="0"/>
    <x v="1"/>
    <x v="0"/>
    <x v="0"/>
    <x v="0"/>
  </r>
  <r>
    <s v="Singapore"/>
    <x v="4"/>
    <s v="SG2"/>
    <m/>
    <x v="3"/>
    <x v="2"/>
    <x v="3"/>
    <x v="1"/>
    <x v="0"/>
    <x v="0"/>
    <x v="0"/>
    <m/>
    <x v="0"/>
    <x v="0"/>
    <n v="-1.5579000000000001E-2"/>
    <m/>
    <x v="0"/>
    <x v="1"/>
    <x v="0"/>
    <x v="2"/>
    <x v="0"/>
  </r>
  <r>
    <s v="Singapore"/>
    <x v="3"/>
    <s v="SG4"/>
    <m/>
    <x v="3"/>
    <x v="0"/>
    <x v="1"/>
    <x v="0"/>
    <x v="0"/>
    <x v="0"/>
    <x v="0"/>
    <m/>
    <x v="0"/>
    <x v="0"/>
    <n v="-0.31158000000000002"/>
    <m/>
    <x v="6"/>
    <x v="1"/>
    <x v="0"/>
    <x v="5"/>
    <x v="1"/>
  </r>
  <r>
    <s v="Singapore"/>
    <x v="1"/>
    <s v="SG1"/>
    <m/>
    <x v="4"/>
    <x v="3"/>
    <x v="2"/>
    <x v="1"/>
    <x v="0"/>
    <x v="0"/>
    <x v="0"/>
    <m/>
    <x v="0"/>
    <x v="0"/>
    <n v="1.3550146830000001"/>
    <m/>
    <x v="1"/>
    <x v="2"/>
    <x v="0"/>
    <x v="1"/>
    <x v="2"/>
  </r>
  <r>
    <s v="Singapore"/>
    <x v="3"/>
    <s v="SG2"/>
    <m/>
    <x v="5"/>
    <x v="4"/>
    <x v="1"/>
    <x v="3"/>
    <x v="0"/>
    <x v="0"/>
    <x v="0"/>
    <m/>
    <x v="0"/>
    <x v="0"/>
    <n v="5.1410700000000004E-2"/>
    <m/>
    <x v="3"/>
    <x v="3"/>
    <x v="0"/>
    <x v="1"/>
    <x v="2"/>
  </r>
  <r>
    <s v="Singapore"/>
    <x v="1"/>
    <s v="SG3"/>
    <m/>
    <x v="2"/>
    <x v="2"/>
    <x v="4"/>
    <x v="1"/>
    <x v="0"/>
    <x v="0"/>
    <x v="0"/>
    <m/>
    <x v="0"/>
    <x v="0"/>
    <n v="16.06288374"/>
    <m/>
    <x v="7"/>
    <x v="1"/>
    <x v="0"/>
    <x v="1"/>
    <x v="0"/>
  </r>
  <r>
    <s v="Singapore"/>
    <x v="2"/>
    <s v="SG1"/>
    <m/>
    <x v="5"/>
    <x v="0"/>
    <x v="4"/>
    <x v="3"/>
    <x v="0"/>
    <x v="0"/>
    <x v="0"/>
    <m/>
    <x v="0"/>
    <x v="0"/>
    <n v="-0.21810600000000002"/>
    <m/>
    <x v="4"/>
    <x v="0"/>
    <x v="0"/>
    <x v="5"/>
    <x v="1"/>
  </r>
  <r>
    <s v="Singapore"/>
    <x v="2"/>
    <s v="SG4"/>
    <m/>
    <x v="5"/>
    <x v="4"/>
    <x v="2"/>
    <x v="4"/>
    <x v="0"/>
    <x v="0"/>
    <x v="0"/>
    <m/>
    <x v="0"/>
    <x v="0"/>
    <n v="-0.70105499999999998"/>
    <m/>
    <x v="4"/>
    <x v="2"/>
    <x v="0"/>
    <x v="0"/>
    <x v="0"/>
  </r>
  <r>
    <s v="Singapore"/>
    <x v="2"/>
    <s v="SG1"/>
    <m/>
    <x v="3"/>
    <x v="2"/>
    <x v="4"/>
    <x v="2"/>
    <x v="0"/>
    <x v="0"/>
    <x v="0"/>
    <m/>
    <x v="0"/>
    <x v="0"/>
    <n v="0.17839512900000001"/>
    <m/>
    <x v="1"/>
    <x v="0"/>
    <x v="0"/>
    <x v="3"/>
    <x v="2"/>
  </r>
  <r>
    <s v="Singapore"/>
    <x v="4"/>
    <s v="SG2"/>
    <m/>
    <x v="4"/>
    <x v="3"/>
    <x v="2"/>
    <x v="2"/>
    <x v="0"/>
    <x v="0"/>
    <x v="0"/>
    <m/>
    <x v="0"/>
    <x v="0"/>
    <n v="0.12226399200000002"/>
    <m/>
    <x v="2"/>
    <x v="2"/>
    <x v="0"/>
    <x v="4"/>
    <x v="1"/>
  </r>
  <r>
    <s v="Singapore"/>
    <x v="2"/>
    <s v="SG2"/>
    <m/>
    <x v="4"/>
    <x v="1"/>
    <x v="2"/>
    <x v="3"/>
    <x v="0"/>
    <x v="0"/>
    <x v="0"/>
    <m/>
    <x v="0"/>
    <x v="0"/>
    <n v="-0.233685"/>
    <m/>
    <x v="4"/>
    <x v="2"/>
    <x v="0"/>
    <x v="1"/>
    <x v="1"/>
  </r>
  <r>
    <s v="Singapore"/>
    <x v="2"/>
    <s v="SG1"/>
    <m/>
    <x v="3"/>
    <x v="4"/>
    <x v="1"/>
    <x v="2"/>
    <x v="0"/>
    <x v="0"/>
    <x v="0"/>
    <m/>
    <x v="0"/>
    <x v="0"/>
    <n v="-1.3397940000000002"/>
    <m/>
    <x v="4"/>
    <x v="1"/>
    <x v="0"/>
    <x v="2"/>
    <x v="1"/>
  </r>
  <r>
    <s v="Singapore"/>
    <x v="5"/>
    <s v="SG3"/>
    <m/>
    <x v="4"/>
    <x v="2"/>
    <x v="4"/>
    <x v="1"/>
    <x v="0"/>
    <x v="0"/>
    <x v="0"/>
    <m/>
    <x v="0"/>
    <x v="0"/>
    <n v="-0.12463200000000001"/>
    <m/>
    <x v="0"/>
    <x v="2"/>
    <x v="0"/>
    <x v="5"/>
    <x v="1"/>
  </r>
  <r>
    <s v="Singapore"/>
    <x v="1"/>
    <s v="SG1"/>
    <m/>
    <x v="0"/>
    <x v="4"/>
    <x v="4"/>
    <x v="1"/>
    <x v="0"/>
    <x v="0"/>
    <x v="0"/>
    <m/>
    <x v="0"/>
    <x v="0"/>
    <n v="-6.6210750000000006E-3"/>
    <m/>
    <x v="6"/>
    <x v="0"/>
    <x v="0"/>
    <x v="0"/>
    <x v="0"/>
  </r>
  <r>
    <s v="Singapore"/>
    <x v="3"/>
    <s v="SG4"/>
    <m/>
    <x v="1"/>
    <x v="3"/>
    <x v="2"/>
    <x v="1"/>
    <x v="0"/>
    <x v="0"/>
    <x v="0"/>
    <m/>
    <x v="0"/>
    <x v="0"/>
    <n v="184.61115000000001"/>
    <m/>
    <x v="5"/>
    <x v="2"/>
    <x v="0"/>
    <x v="4"/>
    <x v="1"/>
  </r>
  <r>
    <s v="Singapore"/>
    <x v="5"/>
    <s v="SG3"/>
    <m/>
    <x v="5"/>
    <x v="0"/>
    <x v="3"/>
    <x v="3"/>
    <x v="0"/>
    <x v="0"/>
    <x v="0"/>
    <m/>
    <x v="0"/>
    <x v="0"/>
    <n v="-9.2127818609999999"/>
    <m/>
    <x v="2"/>
    <x v="0"/>
    <x v="0"/>
    <x v="0"/>
    <x v="2"/>
  </r>
  <r>
    <s v="Singapore"/>
    <x v="0"/>
    <s v="SG1"/>
    <m/>
    <x v="1"/>
    <x v="2"/>
    <x v="3"/>
    <x v="5"/>
    <x v="0"/>
    <x v="0"/>
    <x v="0"/>
    <m/>
    <x v="0"/>
    <x v="0"/>
    <n v="-0.15579000000000001"/>
    <m/>
    <x v="4"/>
    <x v="0"/>
    <x v="0"/>
    <x v="0"/>
    <x v="2"/>
  </r>
  <r>
    <s v="Singapore"/>
    <x v="4"/>
    <s v="SG1"/>
    <m/>
    <x v="5"/>
    <x v="3"/>
    <x v="3"/>
    <x v="2"/>
    <x v="0"/>
    <x v="0"/>
    <x v="0"/>
    <m/>
    <x v="0"/>
    <x v="0"/>
    <n v="-0.12463200000000001"/>
    <m/>
    <x v="4"/>
    <x v="0"/>
    <x v="0"/>
    <x v="1"/>
    <x v="2"/>
  </r>
  <r>
    <s v="Singapore"/>
    <x v="0"/>
    <s v="SG4"/>
    <m/>
    <x v="0"/>
    <x v="3"/>
    <x v="3"/>
    <x v="5"/>
    <x v="0"/>
    <x v="0"/>
    <x v="0"/>
    <m/>
    <x v="0"/>
    <x v="0"/>
    <n v="-0.16357950000000002"/>
    <m/>
    <x v="0"/>
    <x v="1"/>
    <x v="0"/>
    <x v="2"/>
    <x v="2"/>
  </r>
  <r>
    <s v="Singapore"/>
    <x v="1"/>
    <s v="SG3"/>
    <m/>
    <x v="4"/>
    <x v="1"/>
    <x v="0"/>
    <x v="0"/>
    <x v="0"/>
    <x v="0"/>
    <x v="0"/>
    <m/>
    <x v="0"/>
    <x v="0"/>
    <n v="-0.31158000000000002"/>
    <m/>
    <x v="4"/>
    <x v="0"/>
    <x v="0"/>
    <x v="3"/>
    <x v="2"/>
  </r>
  <r>
    <s v="Singapore"/>
    <x v="1"/>
    <s v="SG4"/>
    <m/>
    <x v="5"/>
    <x v="2"/>
    <x v="3"/>
    <x v="4"/>
    <x v="0"/>
    <x v="0"/>
    <x v="0"/>
    <m/>
    <x v="0"/>
    <x v="0"/>
    <n v="-4.6737000000000001E-2"/>
    <m/>
    <x v="0"/>
    <x v="1"/>
    <x v="0"/>
    <x v="3"/>
    <x v="2"/>
  </r>
  <r>
    <s v="Singapore"/>
    <x v="2"/>
    <s v="SG3"/>
    <m/>
    <x v="3"/>
    <x v="1"/>
    <x v="2"/>
    <x v="0"/>
    <x v="0"/>
    <x v="0"/>
    <x v="0"/>
    <m/>
    <x v="0"/>
    <x v="0"/>
    <n v="-0.545265"/>
    <m/>
    <x v="1"/>
    <x v="2"/>
    <x v="0"/>
    <x v="1"/>
    <x v="0"/>
  </r>
  <r>
    <s v="Singapore"/>
    <x v="0"/>
    <s v="SG2"/>
    <m/>
    <x v="5"/>
    <x v="0"/>
    <x v="2"/>
    <x v="4"/>
    <x v="0"/>
    <x v="0"/>
    <x v="0"/>
    <m/>
    <x v="0"/>
    <x v="0"/>
    <n v="-0.17136900000000002"/>
    <m/>
    <x v="7"/>
    <x v="3"/>
    <x v="0"/>
    <x v="3"/>
    <x v="2"/>
  </r>
  <r>
    <s v="Singapore"/>
    <x v="4"/>
    <s v="SG4"/>
    <m/>
    <x v="2"/>
    <x v="4"/>
    <x v="3"/>
    <x v="1"/>
    <x v="0"/>
    <x v="0"/>
    <x v="0"/>
    <m/>
    <x v="0"/>
    <x v="0"/>
    <n v="0.74467620000000001"/>
    <m/>
    <x v="1"/>
    <x v="2"/>
    <x v="0"/>
    <x v="1"/>
    <x v="1"/>
  </r>
  <r>
    <s v="Singapore"/>
    <x v="0"/>
    <s v="SG2"/>
    <m/>
    <x v="5"/>
    <x v="2"/>
    <x v="1"/>
    <x v="3"/>
    <x v="0"/>
    <x v="0"/>
    <x v="0"/>
    <m/>
    <x v="0"/>
    <x v="0"/>
    <n v="-0.62316000000000005"/>
    <m/>
    <x v="4"/>
    <x v="0"/>
    <x v="0"/>
    <x v="5"/>
    <x v="1"/>
  </r>
  <r>
    <s v="Singapore"/>
    <x v="0"/>
    <s v="SG3"/>
    <m/>
    <x v="2"/>
    <x v="4"/>
    <x v="2"/>
    <x v="2"/>
    <x v="0"/>
    <x v="0"/>
    <x v="0"/>
    <m/>
    <x v="0"/>
    <x v="0"/>
    <n v="-0.186948"/>
    <m/>
    <x v="0"/>
    <x v="1"/>
    <x v="0"/>
    <x v="4"/>
    <x v="2"/>
  </r>
  <r>
    <s v="Singapore"/>
    <x v="3"/>
    <s v="SG3"/>
    <m/>
    <x v="2"/>
    <x v="0"/>
    <x v="1"/>
    <x v="2"/>
    <x v="0"/>
    <x v="0"/>
    <x v="0"/>
    <m/>
    <x v="0"/>
    <x v="0"/>
    <n v="-0.21810600000000002"/>
    <m/>
    <x v="1"/>
    <x v="2"/>
    <x v="0"/>
    <x v="4"/>
    <x v="0"/>
  </r>
  <r>
    <s v="Singapore"/>
    <x v="5"/>
    <s v="SG2"/>
    <m/>
    <x v="2"/>
    <x v="2"/>
    <x v="2"/>
    <x v="3"/>
    <x v="0"/>
    <x v="0"/>
    <x v="0"/>
    <m/>
    <x v="0"/>
    <x v="0"/>
    <n v="4.0809190500000003"/>
    <m/>
    <x v="7"/>
    <x v="0"/>
    <x v="0"/>
    <x v="3"/>
    <x v="1"/>
  </r>
  <r>
    <s v="Singapore"/>
    <x v="5"/>
    <s v="SG3"/>
    <m/>
    <x v="2"/>
    <x v="0"/>
    <x v="0"/>
    <x v="2"/>
    <x v="0"/>
    <x v="0"/>
    <x v="0"/>
    <m/>
    <x v="0"/>
    <x v="0"/>
    <n v="-0.15579000000000001"/>
    <m/>
    <x v="0"/>
    <x v="2"/>
    <x v="0"/>
    <x v="1"/>
    <x v="0"/>
  </r>
  <r>
    <s v="Singapore"/>
    <x v="0"/>
    <s v="SG2"/>
    <m/>
    <x v="0"/>
    <x v="2"/>
    <x v="3"/>
    <x v="2"/>
    <x v="0"/>
    <x v="0"/>
    <x v="0"/>
    <m/>
    <x v="0"/>
    <x v="0"/>
    <n v="-4.8793427999999999"/>
    <m/>
    <x v="10"/>
    <x v="3"/>
    <x v="0"/>
    <x v="3"/>
    <x v="2"/>
  </r>
  <r>
    <s v="Singapore"/>
    <x v="4"/>
    <s v="SG1"/>
    <m/>
    <x v="5"/>
    <x v="2"/>
    <x v="0"/>
    <x v="2"/>
    <x v="0"/>
    <x v="0"/>
    <x v="0"/>
    <m/>
    <x v="0"/>
    <x v="0"/>
    <n v="-0.31158000000000002"/>
    <m/>
    <x v="0"/>
    <x v="1"/>
    <x v="0"/>
    <x v="1"/>
    <x v="0"/>
  </r>
  <r>
    <s v="Singapore"/>
    <x v="3"/>
    <s v="SG4"/>
    <m/>
    <x v="0"/>
    <x v="3"/>
    <x v="1"/>
    <x v="2"/>
    <x v="0"/>
    <x v="0"/>
    <x v="0"/>
    <m/>
    <x v="0"/>
    <x v="0"/>
    <n v="-0.389490579"/>
    <m/>
    <x v="4"/>
    <x v="0"/>
    <x v="0"/>
    <x v="5"/>
    <x v="2"/>
  </r>
  <r>
    <s v="Singapore"/>
    <x v="3"/>
    <s v="SG4"/>
    <m/>
    <x v="5"/>
    <x v="2"/>
    <x v="3"/>
    <x v="0"/>
    <x v="0"/>
    <x v="0"/>
    <x v="0"/>
    <m/>
    <x v="0"/>
    <x v="0"/>
    <n v="-0.61322059800000006"/>
    <m/>
    <x v="4"/>
    <x v="0"/>
    <x v="0"/>
    <x v="2"/>
    <x v="0"/>
  </r>
  <r>
    <s v="Singapore"/>
    <x v="0"/>
    <s v="SG3"/>
    <m/>
    <x v="0"/>
    <x v="4"/>
    <x v="2"/>
    <x v="3"/>
    <x v="0"/>
    <x v="0"/>
    <x v="0"/>
    <m/>
    <x v="0"/>
    <x v="0"/>
    <n v="9.3474000000000005E-3"/>
    <m/>
    <x v="3"/>
    <x v="2"/>
    <x v="0"/>
    <x v="1"/>
    <x v="1"/>
  </r>
  <r>
    <s v="Singapore"/>
    <x v="3"/>
    <s v="SG4"/>
    <m/>
    <x v="4"/>
    <x v="2"/>
    <x v="2"/>
    <x v="3"/>
    <x v="0"/>
    <x v="0"/>
    <x v="0"/>
    <m/>
    <x v="0"/>
    <x v="0"/>
    <n v="0.20252700000000001"/>
    <m/>
    <x v="1"/>
    <x v="2"/>
    <x v="0"/>
    <x v="5"/>
    <x v="0"/>
  </r>
  <r>
    <s v="Singapore"/>
    <x v="2"/>
    <s v="SG4"/>
    <m/>
    <x v="3"/>
    <x v="1"/>
    <x v="1"/>
    <x v="5"/>
    <x v="0"/>
    <x v="0"/>
    <x v="0"/>
    <m/>
    <x v="0"/>
    <x v="0"/>
    <n v="-0.12463200000000001"/>
    <m/>
    <x v="4"/>
    <x v="0"/>
    <x v="0"/>
    <x v="5"/>
    <x v="0"/>
  </r>
  <r>
    <s v="Singapore"/>
    <x v="0"/>
    <s v="SG4"/>
    <m/>
    <x v="5"/>
    <x v="0"/>
    <x v="1"/>
    <x v="5"/>
    <x v="0"/>
    <x v="0"/>
    <x v="0"/>
    <m/>
    <x v="0"/>
    <x v="0"/>
    <n v="-0.20252700000000001"/>
    <m/>
    <x v="0"/>
    <x v="3"/>
    <x v="0"/>
    <x v="3"/>
    <x v="0"/>
  </r>
  <r>
    <s v="Singapore"/>
    <x v="2"/>
    <s v="SG3"/>
    <m/>
    <x v="2"/>
    <x v="3"/>
    <x v="3"/>
    <x v="4"/>
    <x v="0"/>
    <x v="0"/>
    <x v="0"/>
    <m/>
    <x v="0"/>
    <x v="0"/>
    <n v="1.2774780000000001"/>
    <m/>
    <x v="1"/>
    <x v="0"/>
    <x v="0"/>
    <x v="5"/>
    <x v="1"/>
  </r>
  <r>
    <s v="Singapore"/>
    <x v="0"/>
    <s v="SG1"/>
    <m/>
    <x v="4"/>
    <x v="4"/>
    <x v="1"/>
    <x v="5"/>
    <x v="0"/>
    <x v="0"/>
    <x v="0"/>
    <m/>
    <x v="0"/>
    <x v="0"/>
    <n v="1.9162170000000001"/>
    <m/>
    <x v="1"/>
    <x v="2"/>
    <x v="0"/>
    <x v="2"/>
    <x v="1"/>
  </r>
  <r>
    <s v="Singapore"/>
    <x v="1"/>
    <s v="SG4"/>
    <m/>
    <x v="5"/>
    <x v="0"/>
    <x v="1"/>
    <x v="1"/>
    <x v="0"/>
    <x v="0"/>
    <x v="0"/>
    <m/>
    <x v="0"/>
    <x v="0"/>
    <n v="2.9195046000000002"/>
    <m/>
    <x v="1"/>
    <x v="3"/>
    <x v="0"/>
    <x v="2"/>
    <x v="2"/>
  </r>
  <r>
    <s v="Singapore"/>
    <x v="5"/>
    <s v="SG2"/>
    <m/>
    <x v="2"/>
    <x v="0"/>
    <x v="0"/>
    <x v="0"/>
    <x v="0"/>
    <x v="0"/>
    <x v="0"/>
    <m/>
    <x v="0"/>
    <x v="0"/>
    <n v="4.2172353000000003E-2"/>
    <m/>
    <x v="3"/>
    <x v="1"/>
    <x v="0"/>
    <x v="5"/>
    <x v="1"/>
  </r>
  <r>
    <s v="Singapore"/>
    <x v="5"/>
    <s v="SG3"/>
    <m/>
    <x v="5"/>
    <x v="2"/>
    <x v="3"/>
    <x v="2"/>
    <x v="0"/>
    <x v="0"/>
    <x v="0"/>
    <m/>
    <x v="0"/>
    <x v="0"/>
    <n v="1.137267"/>
    <m/>
    <x v="1"/>
    <x v="2"/>
    <x v="0"/>
    <x v="0"/>
    <x v="2"/>
  </r>
  <r>
    <s v="Singapore"/>
    <x v="0"/>
    <s v="SG2"/>
    <m/>
    <x v="0"/>
    <x v="2"/>
    <x v="4"/>
    <x v="4"/>
    <x v="0"/>
    <x v="0"/>
    <x v="0"/>
    <m/>
    <x v="0"/>
    <x v="0"/>
    <n v="-1.5579000000000001E-2"/>
    <m/>
    <x v="0"/>
    <x v="1"/>
    <x v="0"/>
    <x v="5"/>
    <x v="1"/>
  </r>
  <r>
    <s v="Singapore"/>
    <x v="2"/>
    <s v="SG2"/>
    <m/>
    <x v="0"/>
    <x v="4"/>
    <x v="2"/>
    <x v="0"/>
    <x v="0"/>
    <x v="0"/>
    <x v="0"/>
    <m/>
    <x v="0"/>
    <x v="0"/>
    <n v="-0.12463200000000001"/>
    <m/>
    <x v="0"/>
    <x v="0"/>
    <x v="0"/>
    <x v="4"/>
    <x v="1"/>
  </r>
  <r>
    <s v="Singapore"/>
    <x v="0"/>
    <s v="SG1"/>
    <m/>
    <x v="1"/>
    <x v="2"/>
    <x v="4"/>
    <x v="2"/>
    <x v="0"/>
    <x v="0"/>
    <x v="0"/>
    <m/>
    <x v="0"/>
    <x v="0"/>
    <n v="-0.12463200000000001"/>
    <m/>
    <x v="4"/>
    <x v="3"/>
    <x v="0"/>
    <x v="4"/>
    <x v="1"/>
  </r>
  <r>
    <s v="Singapore"/>
    <x v="5"/>
    <s v="SG2"/>
    <m/>
    <x v="0"/>
    <x v="4"/>
    <x v="2"/>
    <x v="2"/>
    <x v="0"/>
    <x v="0"/>
    <x v="0"/>
    <m/>
    <x v="0"/>
    <x v="0"/>
    <n v="0.15579000000000001"/>
    <m/>
    <x v="1"/>
    <x v="2"/>
    <x v="0"/>
    <x v="4"/>
    <x v="1"/>
  </r>
  <r>
    <s v="Singapore"/>
    <x v="5"/>
    <s v="SG4"/>
    <m/>
    <x v="2"/>
    <x v="0"/>
    <x v="3"/>
    <x v="4"/>
    <x v="0"/>
    <x v="0"/>
    <x v="0"/>
    <m/>
    <x v="0"/>
    <x v="0"/>
    <n v="0.28012599900000001"/>
    <m/>
    <x v="0"/>
    <x v="0"/>
    <x v="0"/>
    <x v="5"/>
    <x v="0"/>
  </r>
  <r>
    <s v="Singapore"/>
    <x v="5"/>
    <s v="SG2"/>
    <m/>
    <x v="2"/>
    <x v="3"/>
    <x v="1"/>
    <x v="5"/>
    <x v="0"/>
    <x v="0"/>
    <x v="0"/>
    <m/>
    <x v="0"/>
    <x v="0"/>
    <n v="-10.2759084"/>
    <m/>
    <x v="4"/>
    <x v="3"/>
    <x v="0"/>
    <x v="2"/>
    <x v="2"/>
  </r>
  <r>
    <s v="Singapore"/>
    <x v="2"/>
    <s v="SG1"/>
    <m/>
    <x v="0"/>
    <x v="4"/>
    <x v="0"/>
    <x v="3"/>
    <x v="0"/>
    <x v="0"/>
    <x v="0"/>
    <m/>
    <x v="0"/>
    <x v="0"/>
    <n v="-0.15579000000000001"/>
    <m/>
    <x v="1"/>
    <x v="0"/>
    <x v="0"/>
    <x v="5"/>
    <x v="0"/>
  </r>
  <r>
    <s v="Singapore"/>
    <x v="0"/>
    <s v="SG2"/>
    <m/>
    <x v="3"/>
    <x v="1"/>
    <x v="4"/>
    <x v="2"/>
    <x v="0"/>
    <x v="0"/>
    <x v="0"/>
    <m/>
    <x v="0"/>
    <x v="0"/>
    <n v="-8.8800299999999999E-2"/>
    <m/>
    <x v="3"/>
    <x v="1"/>
    <x v="0"/>
    <x v="2"/>
    <x v="0"/>
  </r>
  <r>
    <s v="Singapore"/>
    <x v="4"/>
    <s v="SG4"/>
    <m/>
    <x v="0"/>
    <x v="2"/>
    <x v="2"/>
    <x v="4"/>
    <x v="0"/>
    <x v="0"/>
    <x v="0"/>
    <m/>
    <x v="0"/>
    <x v="0"/>
    <n v="-6.2316000000000003"/>
    <m/>
    <x v="4"/>
    <x v="1"/>
    <x v="0"/>
    <x v="5"/>
    <x v="0"/>
  </r>
  <r>
    <s v="Singapore"/>
    <x v="4"/>
    <s v="SG1"/>
    <m/>
    <x v="3"/>
    <x v="0"/>
    <x v="3"/>
    <x v="3"/>
    <x v="0"/>
    <x v="0"/>
    <x v="0"/>
    <m/>
    <x v="0"/>
    <x v="0"/>
    <n v="5.6629665000000003E-2"/>
    <m/>
    <x v="8"/>
    <x v="2"/>
    <x v="0"/>
    <x v="2"/>
    <x v="2"/>
  </r>
  <r>
    <s v="Singapore"/>
    <x v="2"/>
    <s v="SG4"/>
    <m/>
    <x v="2"/>
    <x v="0"/>
    <x v="3"/>
    <x v="0"/>
    <x v="0"/>
    <x v="0"/>
    <x v="0"/>
    <m/>
    <x v="0"/>
    <x v="0"/>
    <n v="1.059372"/>
    <m/>
    <x v="1"/>
    <x v="3"/>
    <x v="0"/>
    <x v="2"/>
    <x v="0"/>
  </r>
  <r>
    <s v="Singapore"/>
    <x v="5"/>
    <s v="SG2"/>
    <m/>
    <x v="2"/>
    <x v="3"/>
    <x v="3"/>
    <x v="4"/>
    <x v="0"/>
    <x v="0"/>
    <x v="0"/>
    <m/>
    <x v="0"/>
    <x v="0"/>
    <n v="-0.38947500000000002"/>
    <m/>
    <x v="4"/>
    <x v="3"/>
    <x v="0"/>
    <x v="3"/>
    <x v="0"/>
  </r>
  <r>
    <s v="Singapore"/>
    <x v="4"/>
    <s v="SG1"/>
    <m/>
    <x v="0"/>
    <x v="3"/>
    <x v="0"/>
    <x v="3"/>
    <x v="0"/>
    <x v="0"/>
    <x v="0"/>
    <m/>
    <x v="0"/>
    <x v="0"/>
    <n v="-0.46737000000000001"/>
    <m/>
    <x v="1"/>
    <x v="1"/>
    <x v="0"/>
    <x v="3"/>
    <x v="2"/>
  </r>
  <r>
    <s v="Singapore"/>
    <x v="3"/>
    <s v="SG3"/>
    <m/>
    <x v="5"/>
    <x v="0"/>
    <x v="0"/>
    <x v="3"/>
    <x v="0"/>
    <x v="0"/>
    <x v="0"/>
    <m/>
    <x v="0"/>
    <x v="0"/>
    <n v="-0.24926400000000001"/>
    <m/>
    <x v="0"/>
    <x v="3"/>
    <x v="0"/>
    <x v="4"/>
    <x v="1"/>
  </r>
  <r>
    <s v="Singapore"/>
    <x v="2"/>
    <s v="SG3"/>
    <m/>
    <x v="0"/>
    <x v="3"/>
    <x v="4"/>
    <x v="5"/>
    <x v="0"/>
    <x v="0"/>
    <x v="0"/>
    <m/>
    <x v="0"/>
    <x v="0"/>
    <n v="0.15579000000000001"/>
    <m/>
    <x v="1"/>
    <x v="3"/>
    <x v="0"/>
    <x v="4"/>
    <x v="0"/>
  </r>
  <r>
    <s v="Singapore"/>
    <x v="5"/>
    <s v="SG2"/>
    <m/>
    <x v="0"/>
    <x v="4"/>
    <x v="1"/>
    <x v="3"/>
    <x v="0"/>
    <x v="0"/>
    <x v="0"/>
    <m/>
    <x v="0"/>
    <x v="0"/>
    <n v="0.70105499999999998"/>
    <m/>
    <x v="1"/>
    <x v="1"/>
    <x v="0"/>
    <x v="0"/>
    <x v="1"/>
  </r>
  <r>
    <s v="Singapore"/>
    <x v="3"/>
    <s v="SG1"/>
    <m/>
    <x v="5"/>
    <x v="1"/>
    <x v="2"/>
    <x v="0"/>
    <x v="0"/>
    <x v="0"/>
    <x v="0"/>
    <m/>
    <x v="0"/>
    <x v="0"/>
    <n v="-4.6737000000000001E-2"/>
    <m/>
    <x v="0"/>
    <x v="1"/>
    <x v="0"/>
    <x v="4"/>
    <x v="1"/>
  </r>
  <r>
    <s v="Singapore"/>
    <x v="4"/>
    <s v="SG1"/>
    <m/>
    <x v="5"/>
    <x v="2"/>
    <x v="4"/>
    <x v="3"/>
    <x v="0"/>
    <x v="0"/>
    <x v="0"/>
    <m/>
    <x v="0"/>
    <x v="0"/>
    <n v="1.3008465"/>
    <m/>
    <x v="1"/>
    <x v="1"/>
    <x v="0"/>
    <x v="2"/>
    <x v="2"/>
  </r>
  <r>
    <s v="Singapore"/>
    <x v="3"/>
    <s v="SG4"/>
    <m/>
    <x v="4"/>
    <x v="2"/>
    <x v="1"/>
    <x v="1"/>
    <x v="0"/>
    <x v="0"/>
    <x v="0"/>
    <m/>
    <x v="0"/>
    <x v="0"/>
    <n v="-0.15579000000000001"/>
    <m/>
    <x v="6"/>
    <x v="0"/>
    <x v="0"/>
    <x v="0"/>
    <x v="0"/>
  </r>
  <r>
    <s v="Singapore"/>
    <x v="4"/>
    <s v="SG4"/>
    <m/>
    <x v="2"/>
    <x v="2"/>
    <x v="2"/>
    <x v="3"/>
    <x v="0"/>
    <x v="0"/>
    <x v="0"/>
    <m/>
    <x v="0"/>
    <x v="0"/>
    <n v="-0.95031900000000002"/>
    <m/>
    <x v="1"/>
    <x v="3"/>
    <x v="0"/>
    <x v="4"/>
    <x v="1"/>
  </r>
  <r>
    <s v="Singapore"/>
    <x v="3"/>
    <s v="SG1"/>
    <m/>
    <x v="3"/>
    <x v="3"/>
    <x v="2"/>
    <x v="2"/>
    <x v="0"/>
    <x v="0"/>
    <x v="0"/>
    <m/>
    <x v="0"/>
    <x v="0"/>
    <n v="0.86933935800000006"/>
    <m/>
    <x v="1"/>
    <x v="3"/>
    <x v="0"/>
    <x v="0"/>
    <x v="0"/>
  </r>
  <r>
    <s v="Singapore"/>
    <x v="1"/>
    <s v="SG3"/>
    <m/>
    <x v="2"/>
    <x v="3"/>
    <x v="4"/>
    <x v="3"/>
    <x v="0"/>
    <x v="0"/>
    <x v="0"/>
    <m/>
    <x v="0"/>
    <x v="0"/>
    <n v="0.10749510000000001"/>
    <m/>
    <x v="3"/>
    <x v="0"/>
    <x v="0"/>
    <x v="3"/>
    <x v="2"/>
  </r>
  <r>
    <s v="Singapore"/>
    <x v="3"/>
    <s v="SG1"/>
    <m/>
    <x v="4"/>
    <x v="2"/>
    <x v="4"/>
    <x v="0"/>
    <x v="0"/>
    <x v="0"/>
    <x v="0"/>
    <m/>
    <x v="0"/>
    <x v="0"/>
    <n v="-0.42063300000000003"/>
    <m/>
    <x v="0"/>
    <x v="1"/>
    <x v="0"/>
    <x v="3"/>
    <x v="2"/>
  </r>
  <r>
    <s v="Singapore"/>
    <x v="3"/>
    <s v="SG3"/>
    <m/>
    <x v="2"/>
    <x v="2"/>
    <x v="4"/>
    <x v="1"/>
    <x v="0"/>
    <x v="0"/>
    <x v="0"/>
    <m/>
    <x v="0"/>
    <x v="0"/>
    <n v="-11.68425"/>
    <m/>
    <x v="2"/>
    <x v="0"/>
    <x v="0"/>
    <x v="0"/>
    <x v="2"/>
  </r>
  <r>
    <s v="Singapore"/>
    <x v="4"/>
    <s v="SG3"/>
    <m/>
    <x v="4"/>
    <x v="4"/>
    <x v="0"/>
    <x v="4"/>
    <x v="0"/>
    <x v="0"/>
    <x v="0"/>
    <m/>
    <x v="0"/>
    <x v="0"/>
    <n v="2.7730620000000004"/>
    <m/>
    <x v="1"/>
    <x v="1"/>
    <x v="0"/>
    <x v="5"/>
    <x v="1"/>
  </r>
  <r>
    <s v="Singapore"/>
    <x v="4"/>
    <s v="SG4"/>
    <m/>
    <x v="4"/>
    <x v="3"/>
    <x v="2"/>
    <x v="3"/>
    <x v="0"/>
    <x v="0"/>
    <x v="0"/>
    <m/>
    <x v="0"/>
    <x v="0"/>
    <n v="-0.545265"/>
    <m/>
    <x v="4"/>
    <x v="1"/>
    <x v="0"/>
    <x v="5"/>
    <x v="1"/>
  </r>
  <r>
    <s v="Singapore"/>
    <x v="2"/>
    <s v="SG1"/>
    <m/>
    <x v="3"/>
    <x v="2"/>
    <x v="1"/>
    <x v="2"/>
    <x v="0"/>
    <x v="0"/>
    <x v="0"/>
    <m/>
    <x v="0"/>
    <x v="0"/>
    <n v="-9.3474000000000002E-2"/>
    <m/>
    <x v="0"/>
    <x v="0"/>
    <x v="0"/>
    <x v="1"/>
    <x v="0"/>
  </r>
  <r>
    <s v="Singapore"/>
    <x v="1"/>
    <s v="SG2"/>
    <m/>
    <x v="1"/>
    <x v="0"/>
    <x v="0"/>
    <x v="1"/>
    <x v="0"/>
    <x v="0"/>
    <x v="0"/>
    <m/>
    <x v="0"/>
    <x v="0"/>
    <n v="-0.37389600000000001"/>
    <m/>
    <x v="4"/>
    <x v="2"/>
    <x v="0"/>
    <x v="3"/>
    <x v="0"/>
  </r>
  <r>
    <s v="Singapore"/>
    <x v="5"/>
    <s v="SG3"/>
    <m/>
    <x v="3"/>
    <x v="1"/>
    <x v="3"/>
    <x v="1"/>
    <x v="0"/>
    <x v="0"/>
    <x v="0"/>
    <m/>
    <x v="0"/>
    <x v="0"/>
    <n v="-0.12463200000000001"/>
    <m/>
    <x v="4"/>
    <x v="1"/>
    <x v="0"/>
    <x v="0"/>
    <x v="1"/>
  </r>
  <r>
    <s v="Singapore"/>
    <x v="2"/>
    <s v="SG1"/>
    <m/>
    <x v="2"/>
    <x v="2"/>
    <x v="4"/>
    <x v="3"/>
    <x v="0"/>
    <x v="0"/>
    <x v="0"/>
    <m/>
    <x v="0"/>
    <x v="0"/>
    <n v="-5.3443759499999999"/>
    <m/>
    <x v="3"/>
    <x v="0"/>
    <x v="0"/>
    <x v="5"/>
    <x v="2"/>
  </r>
  <r>
    <s v="Singapore"/>
    <x v="0"/>
    <s v="SG4"/>
    <m/>
    <x v="2"/>
    <x v="1"/>
    <x v="3"/>
    <x v="2"/>
    <x v="0"/>
    <x v="0"/>
    <x v="0"/>
    <m/>
    <x v="0"/>
    <x v="0"/>
    <n v="-7.7895000000000006E-2"/>
    <m/>
    <x v="0"/>
    <x v="1"/>
    <x v="0"/>
    <x v="4"/>
    <x v="1"/>
  </r>
  <r>
    <s v="Singapore"/>
    <x v="3"/>
    <s v="SG4"/>
    <m/>
    <x v="0"/>
    <x v="0"/>
    <x v="3"/>
    <x v="3"/>
    <x v="0"/>
    <x v="0"/>
    <x v="0"/>
    <m/>
    <x v="0"/>
    <x v="0"/>
    <n v="0.37389600000000001"/>
    <m/>
    <x v="4"/>
    <x v="3"/>
    <x v="0"/>
    <x v="1"/>
    <x v="1"/>
  </r>
  <r>
    <s v="Singapore"/>
    <x v="1"/>
    <s v="SG1"/>
    <m/>
    <x v="2"/>
    <x v="2"/>
    <x v="2"/>
    <x v="3"/>
    <x v="0"/>
    <x v="0"/>
    <x v="0"/>
    <m/>
    <x v="0"/>
    <x v="0"/>
    <n v="-0.12463200000000001"/>
    <m/>
    <x v="6"/>
    <x v="0"/>
    <x v="0"/>
    <x v="0"/>
    <x v="1"/>
  </r>
  <r>
    <s v="Singapore"/>
    <x v="3"/>
    <s v="SG1"/>
    <m/>
    <x v="3"/>
    <x v="3"/>
    <x v="1"/>
    <x v="4"/>
    <x v="0"/>
    <x v="0"/>
    <x v="0"/>
    <m/>
    <x v="0"/>
    <x v="0"/>
    <n v="-3.1158000000000002E-2"/>
    <m/>
    <x v="0"/>
    <x v="1"/>
    <x v="0"/>
    <x v="2"/>
    <x v="1"/>
  </r>
  <r>
    <s v="Singapore"/>
    <x v="1"/>
    <s v="SG3"/>
    <m/>
    <x v="5"/>
    <x v="1"/>
    <x v="0"/>
    <x v="2"/>
    <x v="0"/>
    <x v="0"/>
    <x v="0"/>
    <m/>
    <x v="0"/>
    <x v="0"/>
    <n v="-0.10749510000000001"/>
    <m/>
    <x v="3"/>
    <x v="0"/>
    <x v="0"/>
    <x v="0"/>
    <x v="2"/>
  </r>
  <r>
    <s v="Singapore"/>
    <x v="5"/>
    <s v="SG1"/>
    <m/>
    <x v="2"/>
    <x v="3"/>
    <x v="2"/>
    <x v="1"/>
    <x v="0"/>
    <x v="0"/>
    <x v="0"/>
    <m/>
    <x v="0"/>
    <x v="0"/>
    <n v="-51.410700000000006"/>
    <m/>
    <x v="7"/>
    <x v="1"/>
    <x v="0"/>
    <x v="3"/>
    <x v="0"/>
  </r>
  <r>
    <s v="Singapore"/>
    <x v="2"/>
    <s v="SG1"/>
    <m/>
    <x v="1"/>
    <x v="0"/>
    <x v="3"/>
    <x v="3"/>
    <x v="0"/>
    <x v="0"/>
    <x v="0"/>
    <m/>
    <x v="0"/>
    <x v="0"/>
    <n v="-0.70105499999999998"/>
    <m/>
    <x v="0"/>
    <x v="1"/>
    <x v="0"/>
    <x v="2"/>
    <x v="0"/>
  </r>
  <r>
    <s v="Singapore"/>
    <x v="5"/>
    <s v="SG4"/>
    <m/>
    <x v="2"/>
    <x v="1"/>
    <x v="3"/>
    <x v="4"/>
    <x v="0"/>
    <x v="0"/>
    <x v="0"/>
    <m/>
    <x v="0"/>
    <x v="0"/>
    <n v="-0.12463200000000001"/>
    <m/>
    <x v="0"/>
    <x v="1"/>
    <x v="0"/>
    <x v="4"/>
    <x v="1"/>
  </r>
  <r>
    <s v="Singapore"/>
    <x v="5"/>
    <s v="SG3"/>
    <m/>
    <x v="2"/>
    <x v="2"/>
    <x v="0"/>
    <x v="5"/>
    <x v="0"/>
    <x v="0"/>
    <x v="0"/>
    <m/>
    <x v="0"/>
    <x v="0"/>
    <n v="-37.087211610000004"/>
    <m/>
    <x v="3"/>
    <x v="1"/>
    <x v="0"/>
    <x v="1"/>
    <x v="0"/>
  </r>
  <r>
    <s v="Singapore"/>
    <x v="2"/>
    <s v="SG2"/>
    <m/>
    <x v="2"/>
    <x v="3"/>
    <x v="4"/>
    <x v="0"/>
    <x v="0"/>
    <x v="0"/>
    <x v="0"/>
    <m/>
    <x v="0"/>
    <x v="0"/>
    <n v="-1.5579000000000001E-2"/>
    <m/>
    <x v="0"/>
    <x v="3"/>
    <x v="0"/>
    <x v="5"/>
    <x v="0"/>
  </r>
  <r>
    <s v="Singapore"/>
    <x v="3"/>
    <s v="SG1"/>
    <m/>
    <x v="1"/>
    <x v="2"/>
    <x v="3"/>
    <x v="3"/>
    <x v="0"/>
    <x v="0"/>
    <x v="0"/>
    <m/>
    <x v="0"/>
    <x v="0"/>
    <n v="-4.6737000000000001E-2"/>
    <m/>
    <x v="0"/>
    <x v="2"/>
    <x v="0"/>
    <x v="5"/>
    <x v="2"/>
  </r>
  <r>
    <s v="Singapore"/>
    <x v="5"/>
    <s v="SG4"/>
    <m/>
    <x v="3"/>
    <x v="3"/>
    <x v="0"/>
    <x v="2"/>
    <x v="0"/>
    <x v="0"/>
    <x v="0"/>
    <m/>
    <x v="0"/>
    <x v="0"/>
    <n v="64.235332800000009"/>
    <m/>
    <x v="1"/>
    <x v="0"/>
    <x v="0"/>
    <x v="3"/>
    <x v="0"/>
  </r>
  <r>
    <s v="Singapore"/>
    <x v="4"/>
    <s v="SG4"/>
    <m/>
    <x v="1"/>
    <x v="0"/>
    <x v="4"/>
    <x v="2"/>
    <x v="0"/>
    <x v="0"/>
    <x v="0"/>
    <m/>
    <x v="0"/>
    <x v="0"/>
    <n v="-0.15579000000000001"/>
    <m/>
    <x v="4"/>
    <x v="3"/>
    <x v="0"/>
    <x v="5"/>
    <x v="2"/>
  </r>
  <r>
    <s v="Singapore"/>
    <x v="2"/>
    <s v="SG4"/>
    <m/>
    <x v="2"/>
    <x v="2"/>
    <x v="2"/>
    <x v="1"/>
    <x v="0"/>
    <x v="0"/>
    <x v="0"/>
    <m/>
    <x v="0"/>
    <x v="0"/>
    <n v="3.1158000000000001"/>
    <m/>
    <x v="11"/>
    <x v="0"/>
    <x v="0"/>
    <x v="4"/>
    <x v="0"/>
  </r>
  <r>
    <s v="Singapore"/>
    <x v="3"/>
    <s v="SG4"/>
    <m/>
    <x v="3"/>
    <x v="1"/>
    <x v="0"/>
    <x v="5"/>
    <x v="0"/>
    <x v="0"/>
    <x v="0"/>
    <m/>
    <x v="0"/>
    <x v="0"/>
    <n v="-7.7895000000000006E-2"/>
    <m/>
    <x v="0"/>
    <x v="3"/>
    <x v="0"/>
    <x v="3"/>
    <x v="0"/>
  </r>
  <r>
    <s v="Singapore"/>
    <x v="4"/>
    <s v="SG3"/>
    <m/>
    <x v="3"/>
    <x v="4"/>
    <x v="2"/>
    <x v="1"/>
    <x v="0"/>
    <x v="0"/>
    <x v="0"/>
    <m/>
    <x v="0"/>
    <x v="0"/>
    <n v="1.0801232280000002"/>
    <m/>
    <x v="1"/>
    <x v="1"/>
    <x v="0"/>
    <x v="0"/>
    <x v="2"/>
  </r>
  <r>
    <s v="Singapore"/>
    <x v="5"/>
    <s v="SG1"/>
    <m/>
    <x v="1"/>
    <x v="0"/>
    <x v="4"/>
    <x v="1"/>
    <x v="0"/>
    <x v="0"/>
    <x v="0"/>
    <m/>
    <x v="0"/>
    <x v="0"/>
    <n v="6.2741618280000004"/>
    <m/>
    <x v="7"/>
    <x v="2"/>
    <x v="0"/>
    <x v="0"/>
    <x v="2"/>
  </r>
  <r>
    <s v="Singapore"/>
    <x v="0"/>
    <s v="SG3"/>
    <m/>
    <x v="1"/>
    <x v="0"/>
    <x v="1"/>
    <x v="2"/>
    <x v="0"/>
    <x v="0"/>
    <x v="0"/>
    <m/>
    <x v="0"/>
    <x v="0"/>
    <n v="-3.1158000000000002E-2"/>
    <m/>
    <x v="0"/>
    <x v="2"/>
    <x v="0"/>
    <x v="3"/>
    <x v="1"/>
  </r>
  <r>
    <s v="Singapore"/>
    <x v="1"/>
    <s v="SG3"/>
    <m/>
    <x v="0"/>
    <x v="2"/>
    <x v="3"/>
    <x v="1"/>
    <x v="0"/>
    <x v="0"/>
    <x v="0"/>
    <m/>
    <x v="0"/>
    <x v="0"/>
    <n v="-1.5579000000000001E-2"/>
    <m/>
    <x v="0"/>
    <x v="1"/>
    <x v="0"/>
    <x v="2"/>
    <x v="1"/>
  </r>
  <r>
    <s v="Singapore"/>
    <x v="5"/>
    <s v="SG1"/>
    <m/>
    <x v="1"/>
    <x v="2"/>
    <x v="0"/>
    <x v="1"/>
    <x v="0"/>
    <x v="0"/>
    <x v="0"/>
    <m/>
    <x v="0"/>
    <x v="0"/>
    <n v="-0.140211"/>
    <m/>
    <x v="0"/>
    <x v="3"/>
    <x v="0"/>
    <x v="2"/>
    <x v="0"/>
  </r>
  <r>
    <s v="Singapore"/>
    <x v="2"/>
    <s v="SG2"/>
    <m/>
    <x v="5"/>
    <x v="3"/>
    <x v="2"/>
    <x v="1"/>
    <x v="0"/>
    <x v="0"/>
    <x v="0"/>
    <m/>
    <x v="0"/>
    <x v="0"/>
    <n v="1.8083480040000002"/>
    <m/>
    <x v="1"/>
    <x v="2"/>
    <x v="0"/>
    <x v="0"/>
    <x v="2"/>
  </r>
  <r>
    <s v="Singapore"/>
    <x v="2"/>
    <s v="SG1"/>
    <m/>
    <x v="2"/>
    <x v="1"/>
    <x v="1"/>
    <x v="5"/>
    <x v="0"/>
    <x v="0"/>
    <x v="0"/>
    <m/>
    <x v="0"/>
    <x v="0"/>
    <n v="-3.0721788000000001"/>
    <m/>
    <x v="4"/>
    <x v="2"/>
    <x v="0"/>
    <x v="5"/>
    <x v="2"/>
  </r>
  <r>
    <s v="Singapore"/>
    <x v="0"/>
    <s v="SG3"/>
    <m/>
    <x v="5"/>
    <x v="1"/>
    <x v="2"/>
    <x v="4"/>
    <x v="0"/>
    <x v="0"/>
    <x v="0"/>
    <m/>
    <x v="0"/>
    <x v="0"/>
    <n v="2.897694"/>
    <m/>
    <x v="1"/>
    <x v="2"/>
    <x v="0"/>
    <x v="2"/>
    <x v="0"/>
  </r>
  <r>
    <s v="Singapore"/>
    <x v="3"/>
    <s v="SG1"/>
    <m/>
    <x v="0"/>
    <x v="4"/>
    <x v="4"/>
    <x v="4"/>
    <x v="0"/>
    <x v="0"/>
    <x v="0"/>
    <m/>
    <x v="0"/>
    <x v="0"/>
    <n v="-10.9053"/>
    <m/>
    <x v="0"/>
    <x v="0"/>
    <x v="0"/>
    <x v="0"/>
    <x v="1"/>
  </r>
  <r>
    <s v="Singapore"/>
    <x v="5"/>
    <s v="SG4"/>
    <m/>
    <x v="1"/>
    <x v="1"/>
    <x v="3"/>
    <x v="1"/>
    <x v="0"/>
    <x v="0"/>
    <x v="0"/>
    <m/>
    <x v="0"/>
    <x v="0"/>
    <n v="-3.1051128060000002"/>
    <m/>
    <x v="3"/>
    <x v="0"/>
    <x v="0"/>
    <x v="0"/>
    <x v="1"/>
  </r>
  <r>
    <s v="Singapore"/>
    <x v="3"/>
    <s v="SG1"/>
    <m/>
    <x v="0"/>
    <x v="1"/>
    <x v="0"/>
    <x v="1"/>
    <x v="0"/>
    <x v="0"/>
    <x v="0"/>
    <m/>
    <x v="0"/>
    <x v="0"/>
    <n v="29.101322736"/>
    <m/>
    <x v="1"/>
    <x v="0"/>
    <x v="0"/>
    <x v="3"/>
    <x v="1"/>
  </r>
  <r>
    <s v="Singapore"/>
    <x v="4"/>
    <s v="SG3"/>
    <m/>
    <x v="0"/>
    <x v="1"/>
    <x v="0"/>
    <x v="1"/>
    <x v="0"/>
    <x v="0"/>
    <x v="0"/>
    <m/>
    <x v="0"/>
    <x v="0"/>
    <n v="-4.6737000000000001E-2"/>
    <m/>
    <x v="0"/>
    <x v="3"/>
    <x v="0"/>
    <x v="5"/>
    <x v="2"/>
  </r>
  <r>
    <s v="Singapore"/>
    <x v="2"/>
    <s v="SG4"/>
    <m/>
    <x v="1"/>
    <x v="1"/>
    <x v="3"/>
    <x v="3"/>
    <x v="0"/>
    <x v="0"/>
    <x v="0"/>
    <m/>
    <x v="0"/>
    <x v="0"/>
    <n v="-0.70884449999999999"/>
    <m/>
    <x v="0"/>
    <x v="0"/>
    <x v="0"/>
    <x v="2"/>
    <x v="0"/>
  </r>
  <r>
    <s v="Singapore"/>
    <x v="1"/>
    <s v="SG2"/>
    <m/>
    <x v="4"/>
    <x v="1"/>
    <x v="0"/>
    <x v="4"/>
    <x v="0"/>
    <x v="0"/>
    <x v="0"/>
    <m/>
    <x v="0"/>
    <x v="0"/>
    <n v="5.9589675"/>
    <m/>
    <x v="1"/>
    <x v="1"/>
    <x v="0"/>
    <x v="2"/>
    <x v="1"/>
  </r>
  <r>
    <s v="Singapore"/>
    <x v="5"/>
    <s v="SG4"/>
    <m/>
    <x v="3"/>
    <x v="3"/>
    <x v="1"/>
    <x v="3"/>
    <x v="0"/>
    <x v="0"/>
    <x v="0"/>
    <m/>
    <x v="0"/>
    <x v="0"/>
    <n v="-0.30661029900000003"/>
    <m/>
    <x v="4"/>
    <x v="0"/>
    <x v="0"/>
    <x v="1"/>
    <x v="2"/>
  </r>
  <r>
    <s v="Singapore"/>
    <x v="4"/>
    <s v="SG3"/>
    <m/>
    <x v="2"/>
    <x v="1"/>
    <x v="2"/>
    <x v="1"/>
    <x v="0"/>
    <x v="0"/>
    <x v="0"/>
    <m/>
    <x v="0"/>
    <x v="0"/>
    <n v="-0.55698040800000004"/>
    <m/>
    <x v="0"/>
    <x v="0"/>
    <x v="0"/>
    <x v="5"/>
    <x v="2"/>
  </r>
  <r>
    <s v="Singapore"/>
    <x v="5"/>
    <s v="SG1"/>
    <m/>
    <x v="5"/>
    <x v="3"/>
    <x v="4"/>
    <x v="0"/>
    <x v="0"/>
    <x v="0"/>
    <x v="0"/>
    <m/>
    <x v="0"/>
    <x v="0"/>
    <n v="-3.1158000000000002E-2"/>
    <m/>
    <x v="0"/>
    <x v="3"/>
    <x v="0"/>
    <x v="1"/>
    <x v="0"/>
  </r>
  <r>
    <s v="Singapore"/>
    <x v="3"/>
    <s v="SG2"/>
    <m/>
    <x v="5"/>
    <x v="1"/>
    <x v="3"/>
    <x v="1"/>
    <x v="0"/>
    <x v="0"/>
    <x v="0"/>
    <m/>
    <x v="0"/>
    <x v="0"/>
    <n v="0.33354639000000003"/>
    <m/>
    <x v="8"/>
    <x v="3"/>
    <x v="0"/>
    <x v="1"/>
    <x v="1"/>
  </r>
  <r>
    <s v="Singapore"/>
    <x v="1"/>
    <s v="SG1"/>
    <m/>
    <x v="5"/>
    <x v="0"/>
    <x v="1"/>
    <x v="0"/>
    <x v="0"/>
    <x v="0"/>
    <x v="0"/>
    <m/>
    <x v="0"/>
    <x v="0"/>
    <n v="-0.15579000000000001"/>
    <m/>
    <x v="4"/>
    <x v="2"/>
    <x v="0"/>
    <x v="0"/>
    <x v="1"/>
  </r>
  <r>
    <s v="Singapore"/>
    <x v="1"/>
    <s v="SG4"/>
    <m/>
    <x v="2"/>
    <x v="3"/>
    <x v="1"/>
    <x v="1"/>
    <x v="0"/>
    <x v="0"/>
    <x v="0"/>
    <m/>
    <x v="0"/>
    <x v="0"/>
    <n v="0.15579000000000001"/>
    <m/>
    <x v="1"/>
    <x v="1"/>
    <x v="0"/>
    <x v="0"/>
    <x v="0"/>
  </r>
  <r>
    <s v="Singapore"/>
    <x v="4"/>
    <s v="SG3"/>
    <m/>
    <x v="0"/>
    <x v="2"/>
    <x v="4"/>
    <x v="3"/>
    <x v="0"/>
    <x v="0"/>
    <x v="0"/>
    <m/>
    <x v="0"/>
    <x v="0"/>
    <n v="46.737000000000002"/>
    <m/>
    <x v="5"/>
    <x v="0"/>
    <x v="0"/>
    <x v="0"/>
    <x v="1"/>
  </r>
  <r>
    <s v="Singapore"/>
    <x v="2"/>
    <s v="SG4"/>
    <m/>
    <x v="3"/>
    <x v="2"/>
    <x v="1"/>
    <x v="3"/>
    <x v="0"/>
    <x v="0"/>
    <x v="0"/>
    <m/>
    <x v="0"/>
    <x v="0"/>
    <n v="-2.1031650000000002"/>
    <m/>
    <x v="4"/>
    <x v="0"/>
    <x v="0"/>
    <x v="2"/>
    <x v="1"/>
  </r>
  <r>
    <s v="Singapore"/>
    <x v="5"/>
    <s v="SG2"/>
    <m/>
    <x v="5"/>
    <x v="2"/>
    <x v="2"/>
    <x v="3"/>
    <x v="0"/>
    <x v="0"/>
    <x v="0"/>
    <m/>
    <x v="0"/>
    <x v="0"/>
    <n v="0.70105499999999998"/>
    <m/>
    <x v="1"/>
    <x v="0"/>
    <x v="0"/>
    <x v="4"/>
    <x v="1"/>
  </r>
  <r>
    <s v="Singapore"/>
    <x v="4"/>
    <s v="SG3"/>
    <m/>
    <x v="2"/>
    <x v="4"/>
    <x v="1"/>
    <x v="3"/>
    <x v="0"/>
    <x v="0"/>
    <x v="0"/>
    <m/>
    <x v="0"/>
    <x v="0"/>
    <n v="-0.12463200000000001"/>
    <m/>
    <x v="4"/>
    <x v="2"/>
    <x v="0"/>
    <x v="4"/>
    <x v="0"/>
  </r>
  <r>
    <s v="Singapore"/>
    <x v="3"/>
    <s v="SG4"/>
    <m/>
    <x v="1"/>
    <x v="3"/>
    <x v="2"/>
    <x v="1"/>
    <x v="0"/>
    <x v="0"/>
    <x v="0"/>
    <m/>
    <x v="0"/>
    <x v="0"/>
    <n v="-0.7290972"/>
    <m/>
    <x v="2"/>
    <x v="0"/>
    <x v="0"/>
    <x v="5"/>
    <x v="2"/>
  </r>
  <r>
    <s v="Singapore"/>
    <x v="0"/>
    <s v="SG2"/>
    <m/>
    <x v="3"/>
    <x v="1"/>
    <x v="3"/>
    <x v="1"/>
    <x v="0"/>
    <x v="0"/>
    <x v="0"/>
    <m/>
    <x v="0"/>
    <x v="0"/>
    <n v="1.1365659450000001"/>
    <m/>
    <x v="1"/>
    <x v="0"/>
    <x v="0"/>
    <x v="2"/>
    <x v="0"/>
  </r>
  <r>
    <s v="Singapore"/>
    <x v="2"/>
    <s v="SG3"/>
    <m/>
    <x v="5"/>
    <x v="2"/>
    <x v="1"/>
    <x v="0"/>
    <x v="0"/>
    <x v="0"/>
    <x v="0"/>
    <m/>
    <x v="0"/>
    <x v="0"/>
    <n v="0.86214186000000004"/>
    <m/>
    <x v="1"/>
    <x v="3"/>
    <x v="0"/>
    <x v="1"/>
    <x v="0"/>
  </r>
  <r>
    <s v="Singapore"/>
    <x v="0"/>
    <s v="SG4"/>
    <m/>
    <x v="1"/>
    <x v="2"/>
    <x v="3"/>
    <x v="5"/>
    <x v="0"/>
    <x v="0"/>
    <x v="0"/>
    <m/>
    <x v="0"/>
    <x v="0"/>
    <n v="-0.93474000000000002"/>
    <m/>
    <x v="4"/>
    <x v="3"/>
    <x v="0"/>
    <x v="2"/>
    <x v="1"/>
  </r>
  <r>
    <s v="Singapore"/>
    <x v="3"/>
    <s v="SG1"/>
    <m/>
    <x v="2"/>
    <x v="2"/>
    <x v="4"/>
    <x v="5"/>
    <x v="0"/>
    <x v="0"/>
    <x v="0"/>
    <m/>
    <x v="0"/>
    <x v="0"/>
    <n v="0.17839512900000001"/>
    <m/>
    <x v="1"/>
    <x v="0"/>
    <x v="0"/>
    <x v="0"/>
    <x v="1"/>
  </r>
  <r>
    <s v="Singapore"/>
    <x v="0"/>
    <s v="SG2"/>
    <m/>
    <x v="2"/>
    <x v="2"/>
    <x v="3"/>
    <x v="1"/>
    <x v="0"/>
    <x v="0"/>
    <x v="0"/>
    <m/>
    <x v="0"/>
    <x v="0"/>
    <n v="-0.21810600000000002"/>
    <m/>
    <x v="4"/>
    <x v="1"/>
    <x v="0"/>
    <x v="0"/>
    <x v="0"/>
  </r>
  <r>
    <s v="Singapore"/>
    <x v="3"/>
    <s v="SG4"/>
    <m/>
    <x v="5"/>
    <x v="3"/>
    <x v="4"/>
    <x v="1"/>
    <x v="0"/>
    <x v="0"/>
    <x v="0"/>
    <m/>
    <x v="0"/>
    <x v="0"/>
    <n v="-0.21810600000000002"/>
    <m/>
    <x v="4"/>
    <x v="3"/>
    <x v="0"/>
    <x v="3"/>
    <x v="0"/>
  </r>
  <r>
    <s v="Singapore"/>
    <x v="5"/>
    <s v="SG3"/>
    <m/>
    <x v="1"/>
    <x v="4"/>
    <x v="1"/>
    <x v="5"/>
    <x v="0"/>
    <x v="0"/>
    <x v="0"/>
    <m/>
    <x v="0"/>
    <x v="0"/>
    <n v="-0.88569730800000002"/>
    <m/>
    <x v="3"/>
    <x v="0"/>
    <x v="0"/>
    <x v="0"/>
    <x v="1"/>
  </r>
  <r>
    <s v="Singapore"/>
    <x v="3"/>
    <s v="SG4"/>
    <m/>
    <x v="0"/>
    <x v="1"/>
    <x v="1"/>
    <x v="0"/>
    <x v="0"/>
    <x v="0"/>
    <x v="0"/>
    <m/>
    <x v="0"/>
    <x v="0"/>
    <n v="-0.32715900000000003"/>
    <m/>
    <x v="0"/>
    <x v="0"/>
    <x v="0"/>
    <x v="2"/>
    <x v="1"/>
  </r>
  <r>
    <s v="Singapore"/>
    <x v="2"/>
    <s v="SG3"/>
    <m/>
    <x v="1"/>
    <x v="3"/>
    <x v="1"/>
    <x v="1"/>
    <x v="0"/>
    <x v="0"/>
    <x v="0"/>
    <m/>
    <x v="0"/>
    <x v="0"/>
    <n v="-0.77895000000000003"/>
    <m/>
    <x v="4"/>
    <x v="1"/>
    <x v="0"/>
    <x v="1"/>
    <x v="2"/>
  </r>
  <r>
    <s v="Singapore"/>
    <x v="0"/>
    <s v="SG2"/>
    <m/>
    <x v="3"/>
    <x v="4"/>
    <x v="3"/>
    <x v="4"/>
    <x v="0"/>
    <x v="0"/>
    <x v="0"/>
    <m/>
    <x v="0"/>
    <x v="0"/>
    <n v="1.900638"/>
    <m/>
    <x v="1"/>
    <x v="2"/>
    <x v="0"/>
    <x v="3"/>
    <x v="0"/>
  </r>
  <r>
    <s v="Singapore"/>
    <x v="5"/>
    <s v="SG1"/>
    <m/>
    <x v="4"/>
    <x v="2"/>
    <x v="2"/>
    <x v="0"/>
    <x v="0"/>
    <x v="0"/>
    <x v="0"/>
    <m/>
    <x v="0"/>
    <x v="0"/>
    <n v="-0.1838322"/>
    <m/>
    <x v="4"/>
    <x v="1"/>
    <x v="0"/>
    <x v="3"/>
    <x v="0"/>
  </r>
  <r>
    <s v="Singapore"/>
    <x v="5"/>
    <s v="SG1"/>
    <m/>
    <x v="5"/>
    <x v="2"/>
    <x v="4"/>
    <x v="3"/>
    <x v="0"/>
    <x v="0"/>
    <x v="0"/>
    <m/>
    <x v="0"/>
    <x v="0"/>
    <n v="0.35071444800000001"/>
    <m/>
    <x v="1"/>
    <x v="2"/>
    <x v="0"/>
    <x v="2"/>
    <x v="1"/>
  </r>
  <r>
    <s v="Singapore"/>
    <x v="4"/>
    <s v="SG4"/>
    <m/>
    <x v="0"/>
    <x v="3"/>
    <x v="3"/>
    <x v="1"/>
    <x v="0"/>
    <x v="0"/>
    <x v="0"/>
    <m/>
    <x v="0"/>
    <x v="0"/>
    <n v="-0.15579000000000001"/>
    <m/>
    <x v="0"/>
    <x v="2"/>
    <x v="0"/>
    <x v="3"/>
    <x v="0"/>
  </r>
  <r>
    <s v="Singapore"/>
    <x v="3"/>
    <s v="SG2"/>
    <m/>
    <x v="4"/>
    <x v="1"/>
    <x v="3"/>
    <x v="1"/>
    <x v="0"/>
    <x v="0"/>
    <x v="0"/>
    <m/>
    <x v="0"/>
    <x v="0"/>
    <n v="4.5304355159999998"/>
    <m/>
    <x v="8"/>
    <x v="2"/>
    <x v="0"/>
    <x v="3"/>
    <x v="2"/>
  </r>
  <r>
    <s v="Singapore"/>
    <x v="4"/>
    <s v="SG3"/>
    <m/>
    <x v="5"/>
    <x v="3"/>
    <x v="2"/>
    <x v="5"/>
    <x v="0"/>
    <x v="0"/>
    <x v="0"/>
    <m/>
    <x v="0"/>
    <x v="0"/>
    <n v="-0.24926400000000001"/>
    <m/>
    <x v="0"/>
    <x v="2"/>
    <x v="0"/>
    <x v="5"/>
    <x v="2"/>
  </r>
  <r>
    <s v="Singapore"/>
    <x v="5"/>
    <s v="SG4"/>
    <m/>
    <x v="5"/>
    <x v="1"/>
    <x v="1"/>
    <x v="3"/>
    <x v="0"/>
    <x v="0"/>
    <x v="0"/>
    <m/>
    <x v="0"/>
    <x v="0"/>
    <n v="-6.6592123919999997"/>
    <m/>
    <x v="9"/>
    <x v="1"/>
    <x v="0"/>
    <x v="2"/>
    <x v="0"/>
  </r>
  <r>
    <s v="Singapore"/>
    <x v="0"/>
    <s v="SG1"/>
    <m/>
    <x v="5"/>
    <x v="1"/>
    <x v="4"/>
    <x v="1"/>
    <x v="0"/>
    <x v="0"/>
    <x v="0"/>
    <m/>
    <x v="0"/>
    <x v="0"/>
    <n v="0.12463200000000001"/>
    <m/>
    <x v="0"/>
    <x v="1"/>
    <x v="0"/>
    <x v="1"/>
    <x v="2"/>
  </r>
  <r>
    <s v="Singapore"/>
    <x v="3"/>
    <s v="SG4"/>
    <m/>
    <x v="1"/>
    <x v="0"/>
    <x v="1"/>
    <x v="4"/>
    <x v="0"/>
    <x v="0"/>
    <x v="0"/>
    <m/>
    <x v="0"/>
    <x v="0"/>
    <n v="0.46737000000000001"/>
    <m/>
    <x v="8"/>
    <x v="2"/>
    <x v="0"/>
    <x v="0"/>
    <x v="1"/>
  </r>
  <r>
    <s v="Singapore"/>
    <x v="5"/>
    <s v="SG4"/>
    <m/>
    <x v="0"/>
    <x v="1"/>
    <x v="2"/>
    <x v="0"/>
    <x v="0"/>
    <x v="0"/>
    <x v="0"/>
    <m/>
    <x v="0"/>
    <x v="0"/>
    <n v="0.15579000000000001"/>
    <m/>
    <x v="1"/>
    <x v="2"/>
    <x v="0"/>
    <x v="3"/>
    <x v="0"/>
  </r>
  <r>
    <s v="Singapore"/>
    <x v="2"/>
    <s v="SG4"/>
    <m/>
    <x v="4"/>
    <x v="0"/>
    <x v="3"/>
    <x v="2"/>
    <x v="0"/>
    <x v="0"/>
    <x v="0"/>
    <m/>
    <x v="0"/>
    <x v="0"/>
    <n v="-1.5579000000000001E-2"/>
    <m/>
    <x v="0"/>
    <x v="3"/>
    <x v="0"/>
    <x v="3"/>
    <x v="0"/>
  </r>
  <r>
    <s v="Singapore"/>
    <x v="5"/>
    <s v="SG3"/>
    <m/>
    <x v="1"/>
    <x v="3"/>
    <x v="2"/>
    <x v="0"/>
    <x v="0"/>
    <x v="0"/>
    <x v="0"/>
    <m/>
    <x v="0"/>
    <x v="0"/>
    <n v="-3.1158000000000002E-2"/>
    <m/>
    <x v="0"/>
    <x v="2"/>
    <x v="0"/>
    <x v="4"/>
    <x v="1"/>
  </r>
  <r>
    <s v="Singapore"/>
    <x v="0"/>
    <s v="SG4"/>
    <m/>
    <x v="1"/>
    <x v="3"/>
    <x v="1"/>
    <x v="5"/>
    <x v="0"/>
    <x v="0"/>
    <x v="0"/>
    <m/>
    <x v="0"/>
    <x v="0"/>
    <n v="-1.09053"/>
    <m/>
    <x v="4"/>
    <x v="0"/>
    <x v="0"/>
    <x v="4"/>
    <x v="0"/>
  </r>
  <r>
    <s v="Singapore"/>
    <x v="0"/>
    <s v="SG2"/>
    <m/>
    <x v="2"/>
    <x v="1"/>
    <x v="1"/>
    <x v="2"/>
    <x v="0"/>
    <x v="0"/>
    <x v="0"/>
    <m/>
    <x v="0"/>
    <x v="0"/>
    <n v="-1.3485182400000002"/>
    <m/>
    <x v="1"/>
    <x v="0"/>
    <x v="0"/>
    <x v="3"/>
    <x v="1"/>
  </r>
  <r>
    <s v="Singapore"/>
    <x v="0"/>
    <s v="SG1"/>
    <m/>
    <x v="3"/>
    <x v="3"/>
    <x v="1"/>
    <x v="3"/>
    <x v="0"/>
    <x v="0"/>
    <x v="0"/>
    <m/>
    <x v="0"/>
    <x v="0"/>
    <n v="-0.12463200000000001"/>
    <m/>
    <x v="4"/>
    <x v="0"/>
    <x v="0"/>
    <x v="0"/>
    <x v="1"/>
  </r>
  <r>
    <s v="Singapore"/>
    <x v="0"/>
    <s v="SG3"/>
    <m/>
    <x v="3"/>
    <x v="3"/>
    <x v="1"/>
    <x v="4"/>
    <x v="0"/>
    <x v="0"/>
    <x v="0"/>
    <m/>
    <x v="0"/>
    <x v="0"/>
    <n v="0.12615874200000002"/>
    <m/>
    <x v="8"/>
    <x v="0"/>
    <x v="0"/>
    <x v="4"/>
    <x v="0"/>
  </r>
  <r>
    <s v="Singapore"/>
    <x v="3"/>
    <s v="SG4"/>
    <m/>
    <x v="1"/>
    <x v="1"/>
    <x v="3"/>
    <x v="5"/>
    <x v="0"/>
    <x v="0"/>
    <x v="0"/>
    <m/>
    <x v="0"/>
    <x v="0"/>
    <n v="-0.62316000000000005"/>
    <m/>
    <x v="4"/>
    <x v="2"/>
    <x v="0"/>
    <x v="2"/>
    <x v="0"/>
  </r>
  <r>
    <s v="Singapore"/>
    <x v="3"/>
    <s v="SG1"/>
    <m/>
    <x v="2"/>
    <x v="2"/>
    <x v="0"/>
    <x v="3"/>
    <x v="0"/>
    <x v="0"/>
    <x v="0"/>
    <m/>
    <x v="0"/>
    <x v="0"/>
    <n v="-0.12463200000000001"/>
    <m/>
    <x v="0"/>
    <x v="0"/>
    <x v="0"/>
    <x v="0"/>
    <x v="1"/>
  </r>
  <r>
    <s v="Singapore"/>
    <x v="0"/>
    <s v="SG2"/>
    <m/>
    <x v="3"/>
    <x v="3"/>
    <x v="4"/>
    <x v="2"/>
    <x v="0"/>
    <x v="0"/>
    <x v="0"/>
    <m/>
    <x v="0"/>
    <x v="0"/>
    <n v="0.15579000000000001"/>
    <m/>
    <x v="1"/>
    <x v="2"/>
    <x v="0"/>
    <x v="0"/>
    <x v="2"/>
  </r>
  <r>
    <s v="Singapore"/>
    <x v="2"/>
    <s v="SG3"/>
    <m/>
    <x v="0"/>
    <x v="2"/>
    <x v="1"/>
    <x v="3"/>
    <x v="0"/>
    <x v="0"/>
    <x v="0"/>
    <m/>
    <x v="0"/>
    <x v="0"/>
    <n v="-0.33494850000000004"/>
    <m/>
    <x v="4"/>
    <x v="3"/>
    <x v="0"/>
    <x v="0"/>
    <x v="0"/>
  </r>
  <r>
    <s v="Singapore"/>
    <x v="0"/>
    <s v="SG3"/>
    <m/>
    <x v="3"/>
    <x v="4"/>
    <x v="2"/>
    <x v="1"/>
    <x v="0"/>
    <x v="0"/>
    <x v="0"/>
    <m/>
    <x v="0"/>
    <x v="0"/>
    <n v="0.37389600000000001"/>
    <m/>
    <x v="1"/>
    <x v="3"/>
    <x v="0"/>
    <x v="0"/>
    <x v="2"/>
  </r>
  <r>
    <s v="Singapore"/>
    <x v="3"/>
    <s v="SG2"/>
    <m/>
    <x v="4"/>
    <x v="0"/>
    <x v="3"/>
    <x v="2"/>
    <x v="0"/>
    <x v="0"/>
    <x v="0"/>
    <m/>
    <x v="0"/>
    <x v="0"/>
    <n v="-2.775180744"/>
    <m/>
    <x v="4"/>
    <x v="3"/>
    <x v="0"/>
    <x v="0"/>
    <x v="1"/>
  </r>
  <r>
    <s v="Singapore"/>
    <x v="1"/>
    <s v="SG1"/>
    <m/>
    <x v="2"/>
    <x v="1"/>
    <x v="4"/>
    <x v="1"/>
    <x v="0"/>
    <x v="0"/>
    <x v="0"/>
    <m/>
    <x v="0"/>
    <x v="0"/>
    <n v="-0.15579000000000001"/>
    <m/>
    <x v="4"/>
    <x v="3"/>
    <x v="0"/>
    <x v="1"/>
    <x v="1"/>
  </r>
  <r>
    <s v="Singapore"/>
    <x v="0"/>
    <s v="SG3"/>
    <m/>
    <x v="2"/>
    <x v="4"/>
    <x v="4"/>
    <x v="3"/>
    <x v="0"/>
    <x v="0"/>
    <x v="0"/>
    <m/>
    <x v="0"/>
    <x v="0"/>
    <n v="-4.6737000000000001E-2"/>
    <m/>
    <x v="0"/>
    <x v="1"/>
    <x v="0"/>
    <x v="1"/>
    <x v="1"/>
  </r>
  <r>
    <s v="Singapore"/>
    <x v="1"/>
    <s v="SG3"/>
    <m/>
    <x v="2"/>
    <x v="4"/>
    <x v="2"/>
    <x v="5"/>
    <x v="0"/>
    <x v="0"/>
    <x v="0"/>
    <m/>
    <x v="0"/>
    <x v="0"/>
    <n v="111.99384783000001"/>
    <m/>
    <x v="2"/>
    <x v="1"/>
    <x v="0"/>
    <x v="4"/>
    <x v="1"/>
  </r>
  <r>
    <s v="Singapore"/>
    <x v="5"/>
    <s v="SG3"/>
    <m/>
    <x v="2"/>
    <x v="1"/>
    <x v="1"/>
    <x v="2"/>
    <x v="0"/>
    <x v="0"/>
    <x v="0"/>
    <m/>
    <x v="0"/>
    <x v="0"/>
    <n v="0.15579000000000001"/>
    <m/>
    <x v="1"/>
    <x v="3"/>
    <x v="0"/>
    <x v="1"/>
    <x v="2"/>
  </r>
  <r>
    <s v="Singapore"/>
    <x v="0"/>
    <s v="SG1"/>
    <m/>
    <x v="2"/>
    <x v="4"/>
    <x v="2"/>
    <x v="3"/>
    <x v="0"/>
    <x v="0"/>
    <x v="0"/>
    <m/>
    <x v="0"/>
    <x v="0"/>
    <n v="2.3564328030000001"/>
    <m/>
    <x v="9"/>
    <x v="1"/>
    <x v="0"/>
    <x v="2"/>
    <x v="0"/>
  </r>
  <r>
    <s v="Singapore"/>
    <x v="2"/>
    <s v="SG1"/>
    <m/>
    <x v="2"/>
    <x v="1"/>
    <x v="4"/>
    <x v="3"/>
    <x v="0"/>
    <x v="0"/>
    <x v="0"/>
    <m/>
    <x v="0"/>
    <x v="0"/>
    <n v="-4.6737000000000001E-2"/>
    <m/>
    <x v="0"/>
    <x v="2"/>
    <x v="0"/>
    <x v="4"/>
    <x v="0"/>
  </r>
  <r>
    <s v="Singapore"/>
    <x v="3"/>
    <s v="SG1"/>
    <m/>
    <x v="5"/>
    <x v="4"/>
    <x v="4"/>
    <x v="0"/>
    <x v="0"/>
    <x v="0"/>
    <x v="0"/>
    <m/>
    <x v="0"/>
    <x v="0"/>
    <n v="-0.12463200000000001"/>
    <m/>
    <x v="4"/>
    <x v="1"/>
    <x v="0"/>
    <x v="4"/>
    <x v="2"/>
  </r>
  <r>
    <s v="Singapore"/>
    <x v="0"/>
    <s v="SG1"/>
    <m/>
    <x v="5"/>
    <x v="1"/>
    <x v="1"/>
    <x v="1"/>
    <x v="0"/>
    <x v="0"/>
    <x v="0"/>
    <m/>
    <x v="0"/>
    <x v="0"/>
    <n v="-0.233685"/>
    <m/>
    <x v="0"/>
    <x v="0"/>
    <x v="0"/>
    <x v="5"/>
    <x v="1"/>
  </r>
  <r>
    <s v="Singapore"/>
    <x v="1"/>
    <s v="SG4"/>
    <m/>
    <x v="3"/>
    <x v="0"/>
    <x v="1"/>
    <x v="3"/>
    <x v="0"/>
    <x v="0"/>
    <x v="0"/>
    <m/>
    <x v="0"/>
    <x v="0"/>
    <n v="-0.1838322"/>
    <m/>
    <x v="4"/>
    <x v="0"/>
    <x v="0"/>
    <x v="3"/>
    <x v="0"/>
  </r>
  <r>
    <s v="Singapore"/>
    <x v="5"/>
    <s v="SG3"/>
    <m/>
    <x v="3"/>
    <x v="0"/>
    <x v="1"/>
    <x v="4"/>
    <x v="0"/>
    <x v="0"/>
    <x v="0"/>
    <m/>
    <x v="0"/>
    <x v="0"/>
    <n v="0.19863225000000001"/>
    <m/>
    <x v="8"/>
    <x v="0"/>
    <x v="0"/>
    <x v="1"/>
    <x v="1"/>
  </r>
  <r>
    <s v="Singapore"/>
    <x v="4"/>
    <s v="SG1"/>
    <m/>
    <x v="4"/>
    <x v="2"/>
    <x v="0"/>
    <x v="0"/>
    <x v="0"/>
    <x v="0"/>
    <x v="0"/>
    <m/>
    <x v="0"/>
    <x v="0"/>
    <n v="-4.6737000000000001E-2"/>
    <m/>
    <x v="0"/>
    <x v="3"/>
    <x v="0"/>
    <x v="1"/>
    <x v="2"/>
  </r>
  <r>
    <s v="Singapore"/>
    <x v="5"/>
    <s v="SG4"/>
    <m/>
    <x v="4"/>
    <x v="2"/>
    <x v="1"/>
    <x v="2"/>
    <x v="0"/>
    <x v="0"/>
    <x v="0"/>
    <m/>
    <x v="0"/>
    <x v="0"/>
    <n v="-4.36212"/>
    <m/>
    <x v="0"/>
    <x v="0"/>
    <x v="0"/>
    <x v="4"/>
    <x v="0"/>
  </r>
  <r>
    <s v="Singapore"/>
    <x v="4"/>
    <s v="SG3"/>
    <m/>
    <x v="4"/>
    <x v="0"/>
    <x v="2"/>
    <x v="5"/>
    <x v="0"/>
    <x v="0"/>
    <x v="0"/>
    <m/>
    <x v="0"/>
    <x v="0"/>
    <n v="-22.283734230000004"/>
    <m/>
    <x v="3"/>
    <x v="3"/>
    <x v="0"/>
    <x v="2"/>
    <x v="2"/>
  </r>
  <r>
    <s v="Singapore"/>
    <x v="4"/>
    <s v="SG3"/>
    <m/>
    <x v="5"/>
    <x v="4"/>
    <x v="2"/>
    <x v="0"/>
    <x v="0"/>
    <x v="0"/>
    <x v="0"/>
    <m/>
    <x v="0"/>
    <x v="0"/>
    <n v="-12.654821700000001"/>
    <m/>
    <x v="4"/>
    <x v="2"/>
    <x v="0"/>
    <x v="2"/>
    <x v="1"/>
  </r>
  <r>
    <s v="Singapore"/>
    <x v="0"/>
    <s v="SG2"/>
    <m/>
    <x v="0"/>
    <x v="0"/>
    <x v="4"/>
    <x v="2"/>
    <x v="0"/>
    <x v="0"/>
    <x v="0"/>
    <m/>
    <x v="0"/>
    <x v="0"/>
    <n v="-1.9161858420000002"/>
    <m/>
    <x v="4"/>
    <x v="2"/>
    <x v="0"/>
    <x v="5"/>
    <x v="1"/>
  </r>
  <r>
    <s v="Singapore"/>
    <x v="3"/>
    <s v="SG2"/>
    <m/>
    <x v="1"/>
    <x v="0"/>
    <x v="2"/>
    <x v="2"/>
    <x v="0"/>
    <x v="0"/>
    <x v="0"/>
    <m/>
    <x v="0"/>
    <x v="0"/>
    <n v="-0.15579000000000001"/>
    <m/>
    <x v="4"/>
    <x v="1"/>
    <x v="0"/>
    <x v="1"/>
    <x v="2"/>
  </r>
  <r>
    <s v="Singapore"/>
    <x v="5"/>
    <s v="SG4"/>
    <m/>
    <x v="2"/>
    <x v="0"/>
    <x v="2"/>
    <x v="4"/>
    <x v="0"/>
    <x v="0"/>
    <x v="0"/>
    <m/>
    <x v="0"/>
    <x v="0"/>
    <n v="-7.7895000000000006E-2"/>
    <m/>
    <x v="0"/>
    <x v="0"/>
    <x v="0"/>
    <x v="3"/>
    <x v="0"/>
  </r>
  <r>
    <s v="Singapore"/>
    <x v="3"/>
    <s v="SG1"/>
    <m/>
    <x v="3"/>
    <x v="2"/>
    <x v="3"/>
    <x v="3"/>
    <x v="0"/>
    <x v="0"/>
    <x v="0"/>
    <m/>
    <x v="0"/>
    <x v="0"/>
    <n v="-0.186948"/>
    <m/>
    <x v="0"/>
    <x v="0"/>
    <x v="0"/>
    <x v="1"/>
    <x v="0"/>
  </r>
  <r>
    <s v="Singapore"/>
    <x v="3"/>
    <s v="SG4"/>
    <m/>
    <x v="5"/>
    <x v="4"/>
    <x v="4"/>
    <x v="5"/>
    <x v="0"/>
    <x v="0"/>
    <x v="0"/>
    <m/>
    <x v="0"/>
    <x v="0"/>
    <n v="-0.28665360000000001"/>
    <m/>
    <x v="3"/>
    <x v="3"/>
    <x v="0"/>
    <x v="3"/>
    <x v="1"/>
  </r>
  <r>
    <s v="Singapore"/>
    <x v="4"/>
    <s v="SG1"/>
    <m/>
    <x v="4"/>
    <x v="2"/>
    <x v="0"/>
    <x v="1"/>
    <x v="0"/>
    <x v="0"/>
    <x v="0"/>
    <m/>
    <x v="0"/>
    <x v="0"/>
    <n v="-0.26328509999999999"/>
    <m/>
    <x v="2"/>
    <x v="0"/>
    <x v="0"/>
    <x v="1"/>
    <x v="2"/>
  </r>
  <r>
    <s v="Singapore"/>
    <x v="3"/>
    <s v="SG2"/>
    <m/>
    <x v="5"/>
    <x v="3"/>
    <x v="0"/>
    <x v="2"/>
    <x v="0"/>
    <x v="0"/>
    <x v="0"/>
    <m/>
    <x v="0"/>
    <x v="0"/>
    <n v="0.85684500000000008"/>
    <m/>
    <x v="8"/>
    <x v="1"/>
    <x v="0"/>
    <x v="1"/>
    <x v="1"/>
  </r>
  <r>
    <s v="Singapore"/>
    <x v="4"/>
    <s v="SG3"/>
    <m/>
    <x v="3"/>
    <x v="3"/>
    <x v="2"/>
    <x v="5"/>
    <x v="0"/>
    <x v="0"/>
    <x v="0"/>
    <m/>
    <x v="0"/>
    <x v="0"/>
    <n v="-1.168425"/>
    <m/>
    <x v="1"/>
    <x v="1"/>
    <x v="0"/>
    <x v="5"/>
    <x v="2"/>
  </r>
  <r>
    <s v="Singapore"/>
    <x v="0"/>
    <s v="SG4"/>
    <m/>
    <x v="5"/>
    <x v="4"/>
    <x v="3"/>
    <x v="0"/>
    <x v="0"/>
    <x v="0"/>
    <x v="0"/>
    <m/>
    <x v="0"/>
    <x v="0"/>
    <n v="-0.43932780000000005"/>
    <m/>
    <x v="3"/>
    <x v="2"/>
    <x v="0"/>
    <x v="4"/>
    <x v="1"/>
  </r>
  <r>
    <s v="Singapore"/>
    <x v="1"/>
    <s v="SG3"/>
    <m/>
    <x v="2"/>
    <x v="2"/>
    <x v="4"/>
    <x v="1"/>
    <x v="0"/>
    <x v="0"/>
    <x v="0"/>
    <m/>
    <x v="0"/>
    <x v="0"/>
    <n v="1.6591635"/>
    <m/>
    <x v="1"/>
    <x v="3"/>
    <x v="0"/>
    <x v="1"/>
    <x v="2"/>
  </r>
  <r>
    <s v="Singapore"/>
    <x v="4"/>
    <s v="SG4"/>
    <m/>
    <x v="3"/>
    <x v="2"/>
    <x v="3"/>
    <x v="4"/>
    <x v="0"/>
    <x v="0"/>
    <x v="0"/>
    <m/>
    <x v="0"/>
    <x v="0"/>
    <n v="-1.5579000000000001E-2"/>
    <m/>
    <x v="0"/>
    <x v="2"/>
    <x v="0"/>
    <x v="0"/>
    <x v="1"/>
  </r>
  <r>
    <s v="Singapore"/>
    <x v="1"/>
    <s v="SG1"/>
    <m/>
    <x v="5"/>
    <x v="1"/>
    <x v="4"/>
    <x v="0"/>
    <x v="0"/>
    <x v="0"/>
    <x v="0"/>
    <m/>
    <x v="0"/>
    <x v="0"/>
    <n v="0.16748982900000001"/>
    <m/>
    <x v="0"/>
    <x v="1"/>
    <x v="0"/>
    <x v="5"/>
    <x v="2"/>
  </r>
  <r>
    <s v="Singapore"/>
    <x v="3"/>
    <s v="SG2"/>
    <m/>
    <x v="2"/>
    <x v="3"/>
    <x v="3"/>
    <x v="1"/>
    <x v="0"/>
    <x v="0"/>
    <x v="0"/>
    <m/>
    <x v="0"/>
    <x v="0"/>
    <n v="0.15579000000000001"/>
    <m/>
    <x v="1"/>
    <x v="2"/>
    <x v="0"/>
    <x v="5"/>
    <x v="1"/>
  </r>
  <r>
    <s v="Singapore"/>
    <x v="4"/>
    <s v="SG2"/>
    <m/>
    <x v="2"/>
    <x v="0"/>
    <x v="0"/>
    <x v="4"/>
    <x v="0"/>
    <x v="0"/>
    <x v="0"/>
    <m/>
    <x v="0"/>
    <x v="0"/>
    <n v="7.7895000000000004E-4"/>
    <m/>
    <x v="6"/>
    <x v="1"/>
    <x v="0"/>
    <x v="5"/>
    <x v="2"/>
  </r>
  <r>
    <s v="Singapore"/>
    <x v="5"/>
    <s v="SG4"/>
    <m/>
    <x v="4"/>
    <x v="2"/>
    <x v="2"/>
    <x v="3"/>
    <x v="0"/>
    <x v="0"/>
    <x v="0"/>
    <m/>
    <x v="0"/>
    <x v="0"/>
    <n v="4.8450690000000005"/>
    <m/>
    <x v="5"/>
    <x v="1"/>
    <x v="0"/>
    <x v="0"/>
    <x v="2"/>
  </r>
  <r>
    <s v="Singapore"/>
    <x v="3"/>
    <s v="SG4"/>
    <m/>
    <x v="0"/>
    <x v="1"/>
    <x v="3"/>
    <x v="2"/>
    <x v="0"/>
    <x v="0"/>
    <x v="0"/>
    <m/>
    <x v="0"/>
    <x v="0"/>
    <n v="-0.66402371700000007"/>
    <m/>
    <x v="2"/>
    <x v="0"/>
    <x v="0"/>
    <x v="1"/>
    <x v="1"/>
  </r>
  <r>
    <s v="Singapore"/>
    <x v="2"/>
    <s v="SG4"/>
    <m/>
    <x v="2"/>
    <x v="4"/>
    <x v="4"/>
    <x v="5"/>
    <x v="0"/>
    <x v="0"/>
    <x v="0"/>
    <m/>
    <x v="0"/>
    <x v="0"/>
    <n v="-0.79452900000000004"/>
    <m/>
    <x v="0"/>
    <x v="0"/>
    <x v="0"/>
    <x v="1"/>
    <x v="0"/>
  </r>
  <r>
    <s v="Singapore"/>
    <x v="3"/>
    <s v="SG1"/>
    <m/>
    <x v="0"/>
    <x v="4"/>
    <x v="0"/>
    <x v="4"/>
    <x v="0"/>
    <x v="0"/>
    <x v="0"/>
    <m/>
    <x v="0"/>
    <x v="0"/>
    <n v="147.891447"/>
    <m/>
    <x v="8"/>
    <x v="1"/>
    <x v="0"/>
    <x v="5"/>
    <x v="0"/>
  </r>
  <r>
    <s v="Singapore"/>
    <x v="5"/>
    <s v="SG2"/>
    <m/>
    <x v="3"/>
    <x v="2"/>
    <x v="2"/>
    <x v="3"/>
    <x v="0"/>
    <x v="0"/>
    <x v="0"/>
    <m/>
    <x v="0"/>
    <x v="0"/>
    <n v="0.74467620000000001"/>
    <m/>
    <x v="1"/>
    <x v="1"/>
    <x v="0"/>
    <x v="1"/>
    <x v="0"/>
  </r>
  <r>
    <s v="Singapore"/>
    <x v="3"/>
    <s v="SG3"/>
    <m/>
    <x v="1"/>
    <x v="3"/>
    <x v="2"/>
    <x v="2"/>
    <x v="0"/>
    <x v="0"/>
    <x v="0"/>
    <m/>
    <x v="0"/>
    <x v="0"/>
    <n v="-223.66246845600003"/>
    <m/>
    <x v="2"/>
    <x v="1"/>
    <x v="0"/>
    <x v="2"/>
    <x v="2"/>
  </r>
  <r>
    <s v="Singapore"/>
    <x v="0"/>
    <s v="SG4"/>
    <m/>
    <x v="4"/>
    <x v="3"/>
    <x v="1"/>
    <x v="0"/>
    <x v="0"/>
    <x v="0"/>
    <x v="0"/>
    <m/>
    <x v="0"/>
    <x v="0"/>
    <n v="1.1310354"/>
    <m/>
    <x v="3"/>
    <x v="2"/>
    <x v="0"/>
    <x v="1"/>
    <x v="2"/>
  </r>
  <r>
    <s v="Singapore"/>
    <x v="3"/>
    <s v="SG3"/>
    <m/>
    <x v="0"/>
    <x v="2"/>
    <x v="0"/>
    <x v="5"/>
    <x v="0"/>
    <x v="0"/>
    <x v="0"/>
    <m/>
    <x v="0"/>
    <x v="0"/>
    <n v="-4.6737000000000001E-2"/>
    <m/>
    <x v="0"/>
    <x v="2"/>
    <x v="0"/>
    <x v="1"/>
    <x v="0"/>
  </r>
  <r>
    <s v="Singapore"/>
    <x v="4"/>
    <s v="SG2"/>
    <m/>
    <x v="5"/>
    <x v="0"/>
    <x v="0"/>
    <x v="2"/>
    <x v="0"/>
    <x v="0"/>
    <x v="0"/>
    <m/>
    <x v="0"/>
    <x v="0"/>
    <n v="0.51410699999999998"/>
    <m/>
    <x v="7"/>
    <x v="3"/>
    <x v="0"/>
    <x v="2"/>
    <x v="2"/>
  </r>
  <r>
    <s v="Singapore"/>
    <x v="2"/>
    <s v="SG2"/>
    <m/>
    <x v="2"/>
    <x v="0"/>
    <x v="1"/>
    <x v="4"/>
    <x v="0"/>
    <x v="0"/>
    <x v="0"/>
    <m/>
    <x v="0"/>
    <x v="0"/>
    <n v="-0.3661065"/>
    <m/>
    <x v="0"/>
    <x v="2"/>
    <x v="0"/>
    <x v="4"/>
    <x v="1"/>
  </r>
  <r>
    <s v="Singapore"/>
    <x v="5"/>
    <s v="SG1"/>
    <m/>
    <x v="1"/>
    <x v="1"/>
    <x v="0"/>
    <x v="2"/>
    <x v="0"/>
    <x v="0"/>
    <x v="0"/>
    <m/>
    <x v="0"/>
    <x v="0"/>
    <n v="-7.7895000000000006E-2"/>
    <m/>
    <x v="0"/>
    <x v="0"/>
    <x v="0"/>
    <x v="0"/>
    <x v="0"/>
  </r>
  <r>
    <s v="Singapore"/>
    <x v="2"/>
    <s v="SG4"/>
    <m/>
    <x v="2"/>
    <x v="3"/>
    <x v="0"/>
    <x v="2"/>
    <x v="0"/>
    <x v="0"/>
    <x v="0"/>
    <m/>
    <x v="0"/>
    <x v="0"/>
    <n v="-1.09053"/>
    <m/>
    <x v="1"/>
    <x v="1"/>
    <x v="0"/>
    <x v="3"/>
    <x v="0"/>
  </r>
  <r>
    <s v="Singapore"/>
    <x v="3"/>
    <s v="SG1"/>
    <m/>
    <x v="3"/>
    <x v="3"/>
    <x v="2"/>
    <x v="5"/>
    <x v="0"/>
    <x v="0"/>
    <x v="0"/>
    <m/>
    <x v="0"/>
    <x v="0"/>
    <n v="-1.5579000000000001E-2"/>
    <m/>
    <x v="0"/>
    <x v="0"/>
    <x v="0"/>
    <x v="2"/>
    <x v="2"/>
  </r>
  <r>
    <s v="Singapore"/>
    <x v="0"/>
    <s v="SG4"/>
    <m/>
    <x v="2"/>
    <x v="3"/>
    <x v="3"/>
    <x v="0"/>
    <x v="0"/>
    <x v="0"/>
    <x v="0"/>
    <m/>
    <x v="0"/>
    <x v="0"/>
    <n v="-0.5544877680000001"/>
    <m/>
    <x v="0"/>
    <x v="2"/>
    <x v="0"/>
    <x v="0"/>
    <x v="1"/>
  </r>
  <r>
    <s v="Singapore"/>
    <x v="2"/>
    <s v="SG2"/>
    <m/>
    <x v="2"/>
    <x v="2"/>
    <x v="2"/>
    <x v="0"/>
    <x v="0"/>
    <x v="0"/>
    <x v="0"/>
    <m/>
    <x v="0"/>
    <x v="0"/>
    <n v="-4.6737000000000001E-2"/>
    <m/>
    <x v="0"/>
    <x v="0"/>
    <x v="0"/>
    <x v="4"/>
    <x v="1"/>
  </r>
  <r>
    <s v="Singapore"/>
    <x v="5"/>
    <s v="SG2"/>
    <m/>
    <x v="3"/>
    <x v="2"/>
    <x v="1"/>
    <x v="2"/>
    <x v="0"/>
    <x v="0"/>
    <x v="0"/>
    <m/>
    <x v="0"/>
    <x v="0"/>
    <n v="-9.3474000000000004"/>
    <m/>
    <x v="4"/>
    <x v="1"/>
    <x v="0"/>
    <x v="5"/>
    <x v="2"/>
  </r>
  <r>
    <s v="Singapore"/>
    <x v="5"/>
    <s v="SG2"/>
    <m/>
    <x v="3"/>
    <x v="2"/>
    <x v="2"/>
    <x v="0"/>
    <x v="0"/>
    <x v="0"/>
    <x v="0"/>
    <m/>
    <x v="0"/>
    <x v="0"/>
    <n v="0.74467620000000001"/>
    <m/>
    <x v="1"/>
    <x v="2"/>
    <x v="0"/>
    <x v="3"/>
    <x v="0"/>
  </r>
  <r>
    <s v="Singapore"/>
    <x v="5"/>
    <s v="SG4"/>
    <m/>
    <x v="1"/>
    <x v="2"/>
    <x v="4"/>
    <x v="1"/>
    <x v="0"/>
    <x v="0"/>
    <x v="0"/>
    <m/>
    <x v="0"/>
    <x v="0"/>
    <n v="-0.5530545"/>
    <m/>
    <x v="1"/>
    <x v="2"/>
    <x v="0"/>
    <x v="5"/>
    <x v="0"/>
  </r>
  <r>
    <s v="Singapore"/>
    <x v="3"/>
    <s v="SG1"/>
    <m/>
    <x v="1"/>
    <x v="4"/>
    <x v="0"/>
    <x v="5"/>
    <x v="0"/>
    <x v="0"/>
    <x v="0"/>
    <m/>
    <x v="0"/>
    <x v="0"/>
    <n v="1.6357950000000001"/>
    <m/>
    <x v="1"/>
    <x v="3"/>
    <x v="0"/>
    <x v="0"/>
    <x v="2"/>
  </r>
  <r>
    <s v="Singapore"/>
    <x v="2"/>
    <s v="SG3"/>
    <m/>
    <x v="1"/>
    <x v="3"/>
    <x v="3"/>
    <x v="2"/>
    <x v="0"/>
    <x v="0"/>
    <x v="0"/>
    <m/>
    <x v="0"/>
    <x v="0"/>
    <n v="-0.93474000000000002"/>
    <m/>
    <x v="4"/>
    <x v="0"/>
    <x v="0"/>
    <x v="2"/>
    <x v="2"/>
  </r>
  <r>
    <s v="Singapore"/>
    <x v="2"/>
    <s v="SG2"/>
    <m/>
    <x v="1"/>
    <x v="1"/>
    <x v="0"/>
    <x v="4"/>
    <x v="0"/>
    <x v="0"/>
    <x v="0"/>
    <m/>
    <x v="0"/>
    <x v="0"/>
    <n v="0.17984397600000002"/>
    <m/>
    <x v="1"/>
    <x v="3"/>
    <x v="0"/>
    <x v="1"/>
    <x v="1"/>
  </r>
  <r>
    <s v="Singapore"/>
    <x v="3"/>
    <s v="SG1"/>
    <m/>
    <x v="1"/>
    <x v="2"/>
    <x v="3"/>
    <x v="4"/>
    <x v="0"/>
    <x v="0"/>
    <x v="0"/>
    <m/>
    <x v="0"/>
    <x v="0"/>
    <n v="-5.9792202000000003"/>
    <m/>
    <x v="2"/>
    <x v="2"/>
    <x v="0"/>
    <x v="4"/>
    <x v="1"/>
  </r>
  <r>
    <s v="Singapore"/>
    <x v="4"/>
    <s v="SG2"/>
    <m/>
    <x v="1"/>
    <x v="0"/>
    <x v="1"/>
    <x v="1"/>
    <x v="0"/>
    <x v="0"/>
    <x v="0"/>
    <m/>
    <x v="0"/>
    <x v="0"/>
    <n v="-7.7895000000000004E-4"/>
    <m/>
    <x v="6"/>
    <x v="0"/>
    <x v="0"/>
    <x v="1"/>
    <x v="0"/>
  </r>
  <r>
    <s v="Singapore"/>
    <x v="1"/>
    <s v="SG2"/>
    <m/>
    <x v="4"/>
    <x v="4"/>
    <x v="4"/>
    <x v="5"/>
    <x v="0"/>
    <x v="0"/>
    <x v="0"/>
    <m/>
    <x v="0"/>
    <x v="0"/>
    <n v="-1.5579000000000001E-2"/>
    <m/>
    <x v="0"/>
    <x v="1"/>
    <x v="0"/>
    <x v="1"/>
    <x v="2"/>
  </r>
  <r>
    <s v="Singapore"/>
    <x v="0"/>
    <s v="SG4"/>
    <m/>
    <x v="5"/>
    <x v="2"/>
    <x v="3"/>
    <x v="2"/>
    <x v="0"/>
    <x v="0"/>
    <x v="0"/>
    <m/>
    <x v="0"/>
    <x v="0"/>
    <n v="-4.6737000000000001E-2"/>
    <m/>
    <x v="0"/>
    <x v="0"/>
    <x v="0"/>
    <x v="1"/>
    <x v="2"/>
  </r>
  <r>
    <s v="Singapore"/>
    <x v="1"/>
    <s v="SG1"/>
    <m/>
    <x v="3"/>
    <x v="4"/>
    <x v="4"/>
    <x v="4"/>
    <x v="0"/>
    <x v="0"/>
    <x v="0"/>
    <m/>
    <x v="0"/>
    <x v="0"/>
    <n v="-2.6484300000000003"/>
    <m/>
    <x v="1"/>
    <x v="1"/>
    <x v="0"/>
    <x v="2"/>
    <x v="1"/>
  </r>
  <r>
    <s v="Singapore"/>
    <x v="4"/>
    <s v="SG2"/>
    <m/>
    <x v="1"/>
    <x v="4"/>
    <x v="3"/>
    <x v="2"/>
    <x v="0"/>
    <x v="0"/>
    <x v="0"/>
    <m/>
    <x v="0"/>
    <x v="0"/>
    <n v="-9.3474000000000002E-2"/>
    <m/>
    <x v="4"/>
    <x v="1"/>
    <x v="0"/>
    <x v="4"/>
    <x v="1"/>
  </r>
  <r>
    <s v="Singapore"/>
    <x v="5"/>
    <s v="SG3"/>
    <m/>
    <x v="1"/>
    <x v="4"/>
    <x v="3"/>
    <x v="2"/>
    <x v="0"/>
    <x v="0"/>
    <x v="0"/>
    <m/>
    <x v="0"/>
    <x v="0"/>
    <n v="-0.70105499999999998"/>
    <m/>
    <x v="0"/>
    <x v="0"/>
    <x v="0"/>
    <x v="4"/>
    <x v="1"/>
  </r>
  <r>
    <s v="Singapore"/>
    <x v="4"/>
    <s v="SG4"/>
    <m/>
    <x v="1"/>
    <x v="3"/>
    <x v="0"/>
    <x v="4"/>
    <x v="0"/>
    <x v="0"/>
    <x v="0"/>
    <m/>
    <x v="0"/>
    <x v="0"/>
    <n v="-1.86948"/>
    <m/>
    <x v="4"/>
    <x v="3"/>
    <x v="0"/>
    <x v="4"/>
    <x v="0"/>
  </r>
  <r>
    <s v="Singapore"/>
    <x v="4"/>
    <s v="SG3"/>
    <m/>
    <x v="3"/>
    <x v="1"/>
    <x v="1"/>
    <x v="1"/>
    <x v="0"/>
    <x v="0"/>
    <x v="0"/>
    <m/>
    <x v="0"/>
    <x v="0"/>
    <n v="-0.1838322"/>
    <m/>
    <x v="4"/>
    <x v="1"/>
    <x v="0"/>
    <x v="0"/>
    <x v="0"/>
  </r>
  <r>
    <s v="Singapore"/>
    <x v="1"/>
    <s v="SG4"/>
    <m/>
    <x v="5"/>
    <x v="2"/>
    <x v="4"/>
    <x v="5"/>
    <x v="0"/>
    <x v="0"/>
    <x v="0"/>
    <m/>
    <x v="0"/>
    <x v="0"/>
    <n v="0.46737000000000001"/>
    <m/>
    <x v="1"/>
    <x v="0"/>
    <x v="0"/>
    <x v="5"/>
    <x v="2"/>
  </r>
  <r>
    <s v="Singapore"/>
    <x v="5"/>
    <s v="SG1"/>
    <m/>
    <x v="0"/>
    <x v="1"/>
    <x v="0"/>
    <x v="5"/>
    <x v="0"/>
    <x v="0"/>
    <x v="0"/>
    <m/>
    <x v="0"/>
    <x v="0"/>
    <n v="-0.1838322"/>
    <m/>
    <x v="4"/>
    <x v="2"/>
    <x v="0"/>
    <x v="4"/>
    <x v="0"/>
  </r>
  <r>
    <s v="Singapore"/>
    <x v="5"/>
    <s v="SG2"/>
    <m/>
    <x v="3"/>
    <x v="4"/>
    <x v="3"/>
    <x v="0"/>
    <x v="0"/>
    <x v="0"/>
    <x v="0"/>
    <m/>
    <x v="0"/>
    <x v="0"/>
    <n v="-0.46737000000000001"/>
    <m/>
    <x v="2"/>
    <x v="0"/>
    <x v="0"/>
    <x v="5"/>
    <x v="2"/>
  </r>
  <r>
    <s v="Singapore"/>
    <x v="5"/>
    <s v="SG1"/>
    <m/>
    <x v="5"/>
    <x v="4"/>
    <x v="4"/>
    <x v="1"/>
    <x v="0"/>
    <x v="0"/>
    <x v="0"/>
    <m/>
    <x v="0"/>
    <x v="0"/>
    <n v="-0.17136900000000002"/>
    <m/>
    <x v="8"/>
    <x v="0"/>
    <x v="0"/>
    <x v="2"/>
    <x v="0"/>
  </r>
  <r>
    <s v="Singapore"/>
    <x v="3"/>
    <s v="SG3"/>
    <m/>
    <x v="4"/>
    <x v="3"/>
    <x v="4"/>
    <x v="0"/>
    <x v="0"/>
    <x v="0"/>
    <x v="0"/>
    <m/>
    <x v="0"/>
    <x v="0"/>
    <n v="-0.233685"/>
    <m/>
    <x v="0"/>
    <x v="3"/>
    <x v="0"/>
    <x v="4"/>
    <x v="2"/>
  </r>
  <r>
    <s v="Singapore"/>
    <x v="3"/>
    <s v="SG2"/>
    <m/>
    <x v="0"/>
    <x v="3"/>
    <x v="1"/>
    <x v="0"/>
    <x v="0"/>
    <x v="0"/>
    <x v="0"/>
    <m/>
    <x v="0"/>
    <x v="0"/>
    <n v="-7.7895000000000004E-3"/>
    <m/>
    <x v="0"/>
    <x v="2"/>
    <x v="0"/>
    <x v="1"/>
    <x v="0"/>
  </r>
  <r>
    <s v="Singapore"/>
    <x v="0"/>
    <s v="SG4"/>
    <m/>
    <x v="5"/>
    <x v="0"/>
    <x v="0"/>
    <x v="4"/>
    <x v="0"/>
    <x v="0"/>
    <x v="0"/>
    <m/>
    <x v="0"/>
    <x v="0"/>
    <n v="-1.5579000000000001E-2"/>
    <m/>
    <x v="0"/>
    <x v="0"/>
    <x v="0"/>
    <x v="4"/>
    <x v="2"/>
  </r>
  <r>
    <s v="Singapore"/>
    <x v="4"/>
    <s v="SG3"/>
    <m/>
    <x v="0"/>
    <x v="3"/>
    <x v="0"/>
    <x v="5"/>
    <x v="0"/>
    <x v="0"/>
    <x v="0"/>
    <m/>
    <x v="0"/>
    <x v="0"/>
    <n v="-0.38947500000000002"/>
    <m/>
    <x v="2"/>
    <x v="3"/>
    <x v="0"/>
    <x v="4"/>
    <x v="0"/>
  </r>
  <r>
    <s v="Singapore"/>
    <x v="1"/>
    <s v="SG4"/>
    <m/>
    <x v="1"/>
    <x v="1"/>
    <x v="4"/>
    <x v="5"/>
    <x v="0"/>
    <x v="0"/>
    <x v="0"/>
    <m/>
    <x v="0"/>
    <x v="0"/>
    <n v="0.82568700000000006"/>
    <m/>
    <x v="1"/>
    <x v="3"/>
    <x v="0"/>
    <x v="4"/>
    <x v="1"/>
  </r>
  <r>
    <s v="Singapore"/>
    <x v="5"/>
    <s v="SG4"/>
    <m/>
    <x v="0"/>
    <x v="0"/>
    <x v="4"/>
    <x v="3"/>
    <x v="0"/>
    <x v="0"/>
    <x v="0"/>
    <m/>
    <x v="0"/>
    <x v="0"/>
    <n v="0.77116050000000003"/>
    <m/>
    <x v="1"/>
    <x v="3"/>
    <x v="0"/>
    <x v="2"/>
    <x v="1"/>
  </r>
  <r>
    <s v="Singapore"/>
    <x v="1"/>
    <s v="SG4"/>
    <m/>
    <x v="2"/>
    <x v="0"/>
    <x v="3"/>
    <x v="2"/>
    <x v="0"/>
    <x v="0"/>
    <x v="0"/>
    <m/>
    <x v="0"/>
    <x v="0"/>
    <n v="-0.12463200000000001"/>
    <m/>
    <x v="0"/>
    <x v="0"/>
    <x v="0"/>
    <x v="2"/>
    <x v="1"/>
  </r>
  <r>
    <s v="Singapore"/>
    <x v="1"/>
    <s v="SG2"/>
    <m/>
    <x v="0"/>
    <x v="0"/>
    <x v="1"/>
    <x v="1"/>
    <x v="0"/>
    <x v="0"/>
    <x v="0"/>
    <m/>
    <x v="0"/>
    <x v="0"/>
    <n v="0.15579000000000001"/>
    <m/>
    <x v="1"/>
    <x v="1"/>
    <x v="0"/>
    <x v="2"/>
    <x v="2"/>
  </r>
  <r>
    <s v="Singapore"/>
    <x v="0"/>
    <s v="SG1"/>
    <m/>
    <x v="1"/>
    <x v="1"/>
    <x v="0"/>
    <x v="5"/>
    <x v="0"/>
    <x v="0"/>
    <x v="0"/>
    <m/>
    <x v="0"/>
    <x v="0"/>
    <n v="0.186948"/>
    <m/>
    <x v="7"/>
    <x v="2"/>
    <x v="0"/>
    <x v="3"/>
    <x v="0"/>
  </r>
  <r>
    <s v="Singapore"/>
    <x v="4"/>
    <s v="SG2"/>
    <m/>
    <x v="5"/>
    <x v="4"/>
    <x v="4"/>
    <x v="0"/>
    <x v="0"/>
    <x v="0"/>
    <x v="0"/>
    <m/>
    <x v="0"/>
    <x v="0"/>
    <n v="-2.1031650000000002"/>
    <m/>
    <x v="4"/>
    <x v="3"/>
    <x v="0"/>
    <x v="0"/>
    <x v="2"/>
  </r>
  <r>
    <s v="Singapore"/>
    <x v="3"/>
    <s v="SG4"/>
    <m/>
    <x v="5"/>
    <x v="2"/>
    <x v="4"/>
    <x v="3"/>
    <x v="0"/>
    <x v="0"/>
    <x v="0"/>
    <m/>
    <x v="0"/>
    <x v="0"/>
    <n v="0.66989700000000008"/>
    <m/>
    <x v="1"/>
    <x v="0"/>
    <x v="0"/>
    <x v="4"/>
    <x v="0"/>
  </r>
  <r>
    <s v="Singapore"/>
    <x v="1"/>
    <s v="SG3"/>
    <m/>
    <x v="0"/>
    <x v="2"/>
    <x v="0"/>
    <x v="5"/>
    <x v="0"/>
    <x v="0"/>
    <x v="0"/>
    <m/>
    <x v="0"/>
    <x v="0"/>
    <n v="-3.1158000000000002E-2"/>
    <m/>
    <x v="0"/>
    <x v="3"/>
    <x v="0"/>
    <x v="5"/>
    <x v="1"/>
  </r>
  <r>
    <s v="Singapore"/>
    <x v="2"/>
    <s v="SG4"/>
    <m/>
    <x v="2"/>
    <x v="2"/>
    <x v="1"/>
    <x v="4"/>
    <x v="0"/>
    <x v="0"/>
    <x v="0"/>
    <m/>
    <x v="0"/>
    <x v="0"/>
    <n v="-0.1168425"/>
    <m/>
    <x v="0"/>
    <x v="0"/>
    <x v="0"/>
    <x v="5"/>
    <x v="1"/>
  </r>
  <r>
    <s v="Singapore"/>
    <x v="0"/>
    <s v="SG3"/>
    <m/>
    <x v="3"/>
    <x v="4"/>
    <x v="3"/>
    <x v="2"/>
    <x v="0"/>
    <x v="0"/>
    <x v="0"/>
    <m/>
    <x v="0"/>
    <x v="0"/>
    <n v="-0.15579000000000001"/>
    <m/>
    <x v="0"/>
    <x v="3"/>
    <x v="0"/>
    <x v="2"/>
    <x v="0"/>
  </r>
  <r>
    <s v="Singapore"/>
    <x v="3"/>
    <s v="SG4"/>
    <m/>
    <x v="5"/>
    <x v="1"/>
    <x v="2"/>
    <x v="5"/>
    <x v="0"/>
    <x v="0"/>
    <x v="0"/>
    <m/>
    <x v="0"/>
    <x v="0"/>
    <n v="-14.815629000000001"/>
    <m/>
    <x v="4"/>
    <x v="1"/>
    <x v="0"/>
    <x v="0"/>
    <x v="2"/>
  </r>
  <r>
    <s v="Singapore"/>
    <x v="2"/>
    <s v="SG2"/>
    <m/>
    <x v="4"/>
    <x v="1"/>
    <x v="0"/>
    <x v="1"/>
    <x v="0"/>
    <x v="0"/>
    <x v="0"/>
    <m/>
    <x v="0"/>
    <x v="0"/>
    <n v="-0.12463200000000001"/>
    <m/>
    <x v="0"/>
    <x v="1"/>
    <x v="0"/>
    <x v="1"/>
    <x v="2"/>
  </r>
  <r>
    <s v="Singapore"/>
    <x v="3"/>
    <s v="SG2"/>
    <m/>
    <x v="5"/>
    <x v="0"/>
    <x v="1"/>
    <x v="3"/>
    <x v="0"/>
    <x v="0"/>
    <x v="0"/>
    <m/>
    <x v="0"/>
    <x v="0"/>
    <n v="-0.70105499999999998"/>
    <m/>
    <x v="0"/>
    <x v="2"/>
    <x v="0"/>
    <x v="0"/>
    <x v="2"/>
  </r>
  <r>
    <s v="Singapore"/>
    <x v="3"/>
    <s v="SG2"/>
    <m/>
    <x v="1"/>
    <x v="2"/>
    <x v="0"/>
    <x v="4"/>
    <x v="0"/>
    <x v="0"/>
    <x v="0"/>
    <m/>
    <x v="0"/>
    <x v="0"/>
    <n v="-2.8042199999999999"/>
    <m/>
    <x v="4"/>
    <x v="2"/>
    <x v="0"/>
    <x v="2"/>
    <x v="0"/>
  </r>
  <r>
    <s v="Singapore"/>
    <x v="1"/>
    <s v="SG3"/>
    <m/>
    <x v="3"/>
    <x v="2"/>
    <x v="1"/>
    <x v="0"/>
    <x v="0"/>
    <x v="0"/>
    <x v="0"/>
    <m/>
    <x v="0"/>
    <x v="0"/>
    <n v="-4.6737000000000001E-2"/>
    <m/>
    <x v="0"/>
    <x v="3"/>
    <x v="0"/>
    <x v="4"/>
    <x v="2"/>
  </r>
  <r>
    <s v="Singapore"/>
    <x v="2"/>
    <s v="SG4"/>
    <m/>
    <x v="0"/>
    <x v="4"/>
    <x v="4"/>
    <x v="1"/>
    <x v="0"/>
    <x v="0"/>
    <x v="0"/>
    <m/>
    <x v="0"/>
    <x v="0"/>
    <n v="-0.12463200000000001"/>
    <m/>
    <x v="4"/>
    <x v="2"/>
    <x v="0"/>
    <x v="1"/>
    <x v="1"/>
  </r>
  <r>
    <s v="Singapore"/>
    <x v="3"/>
    <s v="SG3"/>
    <m/>
    <x v="1"/>
    <x v="4"/>
    <x v="1"/>
    <x v="1"/>
    <x v="0"/>
    <x v="0"/>
    <x v="0"/>
    <m/>
    <x v="0"/>
    <x v="0"/>
    <n v="-10.936458"/>
    <m/>
    <x v="4"/>
    <x v="1"/>
    <x v="0"/>
    <x v="1"/>
    <x v="0"/>
  </r>
  <r>
    <s v="Singapore"/>
    <x v="3"/>
    <s v="SG3"/>
    <m/>
    <x v="0"/>
    <x v="1"/>
    <x v="0"/>
    <x v="4"/>
    <x v="0"/>
    <x v="0"/>
    <x v="0"/>
    <m/>
    <x v="0"/>
    <x v="0"/>
    <n v="5.5897452000000003"/>
    <m/>
    <x v="1"/>
    <x v="0"/>
    <x v="0"/>
    <x v="1"/>
    <x v="0"/>
  </r>
  <r>
    <s v="Singapore"/>
    <x v="5"/>
    <s v="SG4"/>
    <m/>
    <x v="3"/>
    <x v="1"/>
    <x v="1"/>
    <x v="2"/>
    <x v="0"/>
    <x v="0"/>
    <x v="0"/>
    <m/>
    <x v="0"/>
    <x v="0"/>
    <n v="0.15579000000000001"/>
    <m/>
    <x v="1"/>
    <x v="3"/>
    <x v="0"/>
    <x v="3"/>
    <x v="2"/>
  </r>
  <r>
    <s v="Singapore"/>
    <x v="4"/>
    <s v="SG2"/>
    <m/>
    <x v="4"/>
    <x v="3"/>
    <x v="3"/>
    <x v="5"/>
    <x v="0"/>
    <x v="0"/>
    <x v="0"/>
    <m/>
    <x v="0"/>
    <x v="0"/>
    <n v="2.0252700000000002E-2"/>
    <m/>
    <x v="6"/>
    <x v="1"/>
    <x v="0"/>
    <x v="0"/>
    <x v="0"/>
  </r>
  <r>
    <s v="Singapore"/>
    <x v="0"/>
    <s v="SG3"/>
    <m/>
    <x v="2"/>
    <x v="2"/>
    <x v="0"/>
    <x v="4"/>
    <x v="0"/>
    <x v="0"/>
    <x v="0"/>
    <m/>
    <x v="0"/>
    <x v="0"/>
    <n v="6.3094950000000001"/>
    <m/>
    <x v="1"/>
    <x v="1"/>
    <x v="0"/>
    <x v="0"/>
    <x v="1"/>
  </r>
  <r>
    <s v="Singapore"/>
    <x v="5"/>
    <s v="SG4"/>
    <m/>
    <x v="0"/>
    <x v="2"/>
    <x v="2"/>
    <x v="5"/>
    <x v="0"/>
    <x v="0"/>
    <x v="0"/>
    <m/>
    <x v="0"/>
    <x v="0"/>
    <n v="-7.7895000000000006E-2"/>
    <m/>
    <x v="0"/>
    <x v="1"/>
    <x v="0"/>
    <x v="0"/>
    <x v="0"/>
  </r>
  <r>
    <s v="Singapore"/>
    <x v="3"/>
    <s v="SG2"/>
    <m/>
    <x v="5"/>
    <x v="1"/>
    <x v="2"/>
    <x v="2"/>
    <x v="0"/>
    <x v="0"/>
    <x v="0"/>
    <m/>
    <x v="0"/>
    <x v="0"/>
    <n v="-0.31158000000000002"/>
    <m/>
    <x v="0"/>
    <x v="2"/>
    <x v="0"/>
    <x v="1"/>
    <x v="0"/>
  </r>
  <r>
    <s v="Singapore"/>
    <x v="5"/>
    <s v="SG1"/>
    <m/>
    <x v="3"/>
    <x v="2"/>
    <x v="4"/>
    <x v="2"/>
    <x v="0"/>
    <x v="0"/>
    <x v="0"/>
    <m/>
    <x v="0"/>
    <x v="0"/>
    <n v="0.59419863900000003"/>
    <m/>
    <x v="1"/>
    <x v="2"/>
    <x v="0"/>
    <x v="1"/>
    <x v="0"/>
  </r>
  <r>
    <s v="Singapore"/>
    <x v="4"/>
    <s v="SG2"/>
    <m/>
    <x v="5"/>
    <x v="3"/>
    <x v="1"/>
    <x v="1"/>
    <x v="0"/>
    <x v="0"/>
    <x v="0"/>
    <m/>
    <x v="0"/>
    <x v="0"/>
    <n v="0.15968475000000001"/>
    <m/>
    <x v="7"/>
    <x v="1"/>
    <x v="0"/>
    <x v="2"/>
    <x v="2"/>
  </r>
  <r>
    <s v="Singapore"/>
    <x v="4"/>
    <s v="SG4"/>
    <m/>
    <x v="4"/>
    <x v="3"/>
    <x v="4"/>
    <x v="4"/>
    <x v="0"/>
    <x v="0"/>
    <x v="0"/>
    <m/>
    <x v="0"/>
    <x v="0"/>
    <n v="-0.10905300000000001"/>
    <m/>
    <x v="4"/>
    <x v="3"/>
    <x v="0"/>
    <x v="2"/>
    <x v="1"/>
  </r>
  <r>
    <s v="Singapore"/>
    <x v="0"/>
    <s v="SG4"/>
    <m/>
    <x v="1"/>
    <x v="3"/>
    <x v="0"/>
    <x v="4"/>
    <x v="0"/>
    <x v="0"/>
    <x v="0"/>
    <m/>
    <x v="0"/>
    <x v="0"/>
    <n v="2.7263250000000001"/>
    <m/>
    <x v="1"/>
    <x v="0"/>
    <x v="0"/>
    <x v="5"/>
    <x v="1"/>
  </r>
  <r>
    <s v="Singapore"/>
    <x v="3"/>
    <s v="SG3"/>
    <m/>
    <x v="1"/>
    <x v="0"/>
    <x v="2"/>
    <x v="2"/>
    <x v="0"/>
    <x v="0"/>
    <x v="0"/>
    <m/>
    <x v="0"/>
    <x v="0"/>
    <n v="-42.257165076"/>
    <m/>
    <x v="7"/>
    <x v="1"/>
    <x v="0"/>
    <x v="0"/>
    <x v="1"/>
  </r>
  <r>
    <s v="Singapore"/>
    <x v="4"/>
    <s v="SG1"/>
    <m/>
    <x v="5"/>
    <x v="0"/>
    <x v="3"/>
    <x v="1"/>
    <x v="0"/>
    <x v="0"/>
    <x v="0"/>
    <m/>
    <x v="0"/>
    <x v="0"/>
    <n v="0.15579000000000001"/>
    <m/>
    <x v="1"/>
    <x v="2"/>
    <x v="0"/>
    <x v="4"/>
    <x v="0"/>
  </r>
  <r>
    <s v="Singapore"/>
    <x v="5"/>
    <s v="SG4"/>
    <m/>
    <x v="0"/>
    <x v="0"/>
    <x v="4"/>
    <x v="0"/>
    <x v="0"/>
    <x v="0"/>
    <x v="0"/>
    <m/>
    <x v="0"/>
    <x v="0"/>
    <n v="2.0971826640000004"/>
    <m/>
    <x v="4"/>
    <x v="1"/>
    <x v="0"/>
    <x v="1"/>
    <x v="1"/>
  </r>
  <r>
    <s v="Singapore"/>
    <x v="1"/>
    <s v="SG4"/>
    <m/>
    <x v="3"/>
    <x v="1"/>
    <x v="0"/>
    <x v="3"/>
    <x v="0"/>
    <x v="0"/>
    <x v="0"/>
    <m/>
    <x v="0"/>
    <x v="0"/>
    <n v="-9.3474000000000002E-2"/>
    <m/>
    <x v="0"/>
    <x v="0"/>
    <x v="0"/>
    <x v="2"/>
    <x v="0"/>
  </r>
  <r>
    <s v="Singapore"/>
    <x v="0"/>
    <s v="SG3"/>
    <m/>
    <x v="5"/>
    <x v="4"/>
    <x v="2"/>
    <x v="1"/>
    <x v="0"/>
    <x v="0"/>
    <x v="0"/>
    <m/>
    <x v="0"/>
    <x v="0"/>
    <n v="-9.3474000000000002E-2"/>
    <m/>
    <x v="0"/>
    <x v="3"/>
    <x v="0"/>
    <x v="1"/>
    <x v="0"/>
  </r>
  <r>
    <s v="Singapore"/>
    <x v="1"/>
    <s v="SG4"/>
    <m/>
    <x v="1"/>
    <x v="4"/>
    <x v="1"/>
    <x v="5"/>
    <x v="0"/>
    <x v="0"/>
    <x v="0"/>
    <m/>
    <x v="0"/>
    <x v="0"/>
    <n v="-0.77895000000000003"/>
    <m/>
    <x v="4"/>
    <x v="2"/>
    <x v="0"/>
    <x v="5"/>
    <x v="2"/>
  </r>
  <r>
    <s v="Singapore"/>
    <x v="4"/>
    <s v="SG2"/>
    <m/>
    <x v="4"/>
    <x v="1"/>
    <x v="1"/>
    <x v="3"/>
    <x v="0"/>
    <x v="0"/>
    <x v="0"/>
    <m/>
    <x v="0"/>
    <x v="0"/>
    <n v="1.270015659"/>
    <m/>
    <x v="1"/>
    <x v="3"/>
    <x v="0"/>
    <x v="1"/>
    <x v="0"/>
  </r>
  <r>
    <s v="Singapore"/>
    <x v="3"/>
    <s v="SG2"/>
    <m/>
    <x v="3"/>
    <x v="4"/>
    <x v="3"/>
    <x v="3"/>
    <x v="0"/>
    <x v="0"/>
    <x v="0"/>
    <m/>
    <x v="0"/>
    <x v="0"/>
    <n v="-0.10905300000000001"/>
    <m/>
    <x v="0"/>
    <x v="3"/>
    <x v="0"/>
    <x v="4"/>
    <x v="1"/>
  </r>
  <r>
    <s v="Singapore"/>
    <x v="3"/>
    <s v="SG2"/>
    <m/>
    <x v="1"/>
    <x v="4"/>
    <x v="0"/>
    <x v="4"/>
    <x v="0"/>
    <x v="0"/>
    <x v="0"/>
    <m/>
    <x v="0"/>
    <x v="0"/>
    <n v="-0.12463200000000001"/>
    <m/>
    <x v="0"/>
    <x v="0"/>
    <x v="0"/>
    <x v="2"/>
    <x v="1"/>
  </r>
  <r>
    <s v="Singapore"/>
    <x v="2"/>
    <s v="SG4"/>
    <m/>
    <x v="3"/>
    <x v="2"/>
    <x v="4"/>
    <x v="2"/>
    <x v="0"/>
    <x v="0"/>
    <x v="0"/>
    <m/>
    <x v="0"/>
    <x v="0"/>
    <n v="-0.1838322"/>
    <m/>
    <x v="4"/>
    <x v="3"/>
    <x v="0"/>
    <x v="1"/>
    <x v="2"/>
  </r>
  <r>
    <s v="Singapore"/>
    <x v="5"/>
    <s v="SG2"/>
    <m/>
    <x v="5"/>
    <x v="1"/>
    <x v="4"/>
    <x v="5"/>
    <x v="0"/>
    <x v="0"/>
    <x v="0"/>
    <m/>
    <x v="0"/>
    <x v="0"/>
    <n v="9.3785580000000004E-3"/>
    <m/>
    <x v="2"/>
    <x v="3"/>
    <x v="0"/>
    <x v="4"/>
    <x v="0"/>
  </r>
  <r>
    <s v="Singapore"/>
    <x v="1"/>
    <s v="SG1"/>
    <m/>
    <x v="1"/>
    <x v="1"/>
    <x v="1"/>
    <x v="1"/>
    <x v="0"/>
    <x v="0"/>
    <x v="0"/>
    <m/>
    <x v="0"/>
    <x v="0"/>
    <n v="-0.34273800000000004"/>
    <m/>
    <x v="1"/>
    <x v="2"/>
    <x v="0"/>
    <x v="1"/>
    <x v="2"/>
  </r>
  <r>
    <s v="Singapore"/>
    <x v="0"/>
    <s v="SG2"/>
    <m/>
    <x v="0"/>
    <x v="2"/>
    <x v="1"/>
    <x v="5"/>
    <x v="0"/>
    <x v="0"/>
    <x v="0"/>
    <m/>
    <x v="0"/>
    <x v="0"/>
    <n v="1.1429533350000001"/>
    <m/>
    <x v="1"/>
    <x v="2"/>
    <x v="0"/>
    <x v="1"/>
    <x v="1"/>
  </r>
  <r>
    <s v="Singapore"/>
    <x v="0"/>
    <s v="SG4"/>
    <m/>
    <x v="3"/>
    <x v="3"/>
    <x v="2"/>
    <x v="3"/>
    <x v="0"/>
    <x v="0"/>
    <x v="0"/>
    <m/>
    <x v="0"/>
    <x v="0"/>
    <n v="-0.12463200000000001"/>
    <m/>
    <x v="0"/>
    <x v="3"/>
    <x v="0"/>
    <x v="3"/>
    <x v="2"/>
  </r>
  <r>
    <s v="Singapore"/>
    <x v="1"/>
    <s v="SG1"/>
    <m/>
    <x v="3"/>
    <x v="1"/>
    <x v="3"/>
    <x v="2"/>
    <x v="0"/>
    <x v="0"/>
    <x v="0"/>
    <m/>
    <x v="0"/>
    <x v="0"/>
    <n v="-0.31158000000000002"/>
    <m/>
    <x v="0"/>
    <x v="2"/>
    <x v="0"/>
    <x v="2"/>
    <x v="0"/>
  </r>
  <r>
    <s v="Singapore"/>
    <x v="3"/>
    <s v="SG3"/>
    <m/>
    <x v="0"/>
    <x v="1"/>
    <x v="0"/>
    <x v="1"/>
    <x v="0"/>
    <x v="0"/>
    <x v="0"/>
    <m/>
    <x v="0"/>
    <x v="0"/>
    <n v="0.21810600000000002"/>
    <m/>
    <x v="4"/>
    <x v="2"/>
    <x v="0"/>
    <x v="3"/>
    <x v="0"/>
  </r>
  <r>
    <s v="Singapore"/>
    <x v="4"/>
    <s v="SG3"/>
    <m/>
    <x v="5"/>
    <x v="0"/>
    <x v="1"/>
    <x v="0"/>
    <x v="0"/>
    <x v="0"/>
    <x v="0"/>
    <m/>
    <x v="0"/>
    <x v="0"/>
    <n v="0.15579000000000001"/>
    <m/>
    <x v="0"/>
    <x v="2"/>
    <x v="0"/>
    <x v="0"/>
    <x v="1"/>
  </r>
  <r>
    <s v="Singapore"/>
    <x v="0"/>
    <s v="SG1"/>
    <m/>
    <x v="0"/>
    <x v="2"/>
    <x v="4"/>
    <x v="4"/>
    <x v="0"/>
    <x v="0"/>
    <x v="0"/>
    <m/>
    <x v="0"/>
    <x v="0"/>
    <n v="-0.42063300000000003"/>
    <m/>
    <x v="4"/>
    <x v="2"/>
    <x v="0"/>
    <x v="2"/>
    <x v="0"/>
  </r>
  <r>
    <s v="Singapore"/>
    <x v="1"/>
    <s v="SG2"/>
    <m/>
    <x v="4"/>
    <x v="0"/>
    <x v="1"/>
    <x v="2"/>
    <x v="0"/>
    <x v="0"/>
    <x v="0"/>
    <m/>
    <x v="0"/>
    <x v="0"/>
    <n v="-0.21810600000000002"/>
    <m/>
    <x v="4"/>
    <x v="0"/>
    <x v="0"/>
    <x v="1"/>
    <x v="2"/>
  </r>
  <r>
    <s v="Singapore"/>
    <x v="0"/>
    <s v="SG3"/>
    <m/>
    <x v="0"/>
    <x v="2"/>
    <x v="2"/>
    <x v="0"/>
    <x v="0"/>
    <x v="0"/>
    <x v="0"/>
    <m/>
    <x v="0"/>
    <x v="0"/>
    <n v="62.316000000000003"/>
    <m/>
    <x v="2"/>
    <x v="3"/>
    <x v="0"/>
    <x v="2"/>
    <x v="1"/>
  </r>
  <r>
    <s v="Singapore"/>
    <x v="0"/>
    <s v="SG4"/>
    <m/>
    <x v="5"/>
    <x v="4"/>
    <x v="1"/>
    <x v="5"/>
    <x v="0"/>
    <x v="0"/>
    <x v="0"/>
    <m/>
    <x v="0"/>
    <x v="0"/>
    <n v="0.51410699999999998"/>
    <m/>
    <x v="1"/>
    <x v="0"/>
    <x v="0"/>
    <x v="4"/>
    <x v="1"/>
  </r>
  <r>
    <s v="Singapore"/>
    <x v="3"/>
    <s v="SG3"/>
    <m/>
    <x v="4"/>
    <x v="4"/>
    <x v="2"/>
    <x v="4"/>
    <x v="0"/>
    <x v="0"/>
    <x v="0"/>
    <m/>
    <x v="0"/>
    <x v="0"/>
    <n v="-0.17136900000000002"/>
    <m/>
    <x v="0"/>
    <x v="0"/>
    <x v="0"/>
    <x v="3"/>
    <x v="2"/>
  </r>
  <r>
    <s v="Singapore"/>
    <x v="1"/>
    <s v="SG3"/>
    <m/>
    <x v="2"/>
    <x v="2"/>
    <x v="2"/>
    <x v="4"/>
    <x v="0"/>
    <x v="0"/>
    <x v="0"/>
    <m/>
    <x v="0"/>
    <x v="0"/>
    <n v="0.15579000000000001"/>
    <m/>
    <x v="1"/>
    <x v="0"/>
    <x v="0"/>
    <x v="5"/>
    <x v="2"/>
  </r>
  <r>
    <s v="Singapore"/>
    <x v="0"/>
    <s v="SG1"/>
    <m/>
    <x v="3"/>
    <x v="3"/>
    <x v="3"/>
    <x v="2"/>
    <x v="0"/>
    <x v="0"/>
    <x v="0"/>
    <m/>
    <x v="0"/>
    <x v="0"/>
    <n v="-0.38947500000000002"/>
    <m/>
    <x v="4"/>
    <x v="2"/>
    <x v="0"/>
    <x v="5"/>
    <x v="0"/>
  </r>
  <r>
    <s v="Singapore"/>
    <x v="2"/>
    <s v="SG1"/>
    <m/>
    <x v="0"/>
    <x v="4"/>
    <x v="2"/>
    <x v="0"/>
    <x v="0"/>
    <x v="0"/>
    <x v="0"/>
    <m/>
    <x v="0"/>
    <x v="0"/>
    <n v="-0.77895000000000003"/>
    <m/>
    <x v="4"/>
    <x v="3"/>
    <x v="0"/>
    <x v="5"/>
    <x v="0"/>
  </r>
  <r>
    <s v="Singapore"/>
    <x v="0"/>
    <s v="SG3"/>
    <m/>
    <x v="5"/>
    <x v="4"/>
    <x v="1"/>
    <x v="2"/>
    <x v="0"/>
    <x v="0"/>
    <x v="0"/>
    <m/>
    <x v="0"/>
    <x v="0"/>
    <n v="3.0379050000000003"/>
    <m/>
    <x v="1"/>
    <x v="2"/>
    <x v="0"/>
    <x v="0"/>
    <x v="1"/>
  </r>
  <r>
    <s v="Singapore"/>
    <x v="4"/>
    <s v="SG3"/>
    <m/>
    <x v="0"/>
    <x v="4"/>
    <x v="4"/>
    <x v="5"/>
    <x v="0"/>
    <x v="0"/>
    <x v="0"/>
    <m/>
    <x v="0"/>
    <x v="0"/>
    <n v="4.36212"/>
    <m/>
    <x v="1"/>
    <x v="0"/>
    <x v="0"/>
    <x v="0"/>
    <x v="2"/>
  </r>
  <r>
    <s v="Singapore"/>
    <x v="4"/>
    <s v="SG3"/>
    <m/>
    <x v="3"/>
    <x v="0"/>
    <x v="2"/>
    <x v="3"/>
    <x v="0"/>
    <x v="0"/>
    <x v="0"/>
    <m/>
    <x v="0"/>
    <x v="0"/>
    <n v="-1.5579000000000001E-2"/>
    <m/>
    <x v="0"/>
    <x v="3"/>
    <x v="0"/>
    <x v="5"/>
    <x v="2"/>
  </r>
  <r>
    <s v="Singapore"/>
    <x v="4"/>
    <s v="SG1"/>
    <m/>
    <x v="3"/>
    <x v="0"/>
    <x v="4"/>
    <x v="5"/>
    <x v="0"/>
    <x v="0"/>
    <x v="0"/>
    <m/>
    <x v="0"/>
    <x v="0"/>
    <n v="-0.10827405000000001"/>
    <m/>
    <x v="6"/>
    <x v="2"/>
    <x v="0"/>
    <x v="3"/>
    <x v="0"/>
  </r>
  <r>
    <s v="Singapore"/>
    <x v="4"/>
    <s v="SG3"/>
    <m/>
    <x v="3"/>
    <x v="4"/>
    <x v="3"/>
    <x v="4"/>
    <x v="0"/>
    <x v="0"/>
    <x v="0"/>
    <m/>
    <x v="0"/>
    <x v="0"/>
    <n v="1.3817326679999999"/>
    <m/>
    <x v="0"/>
    <x v="3"/>
    <x v="0"/>
    <x v="4"/>
    <x v="1"/>
  </r>
  <r>
    <s v="Singapore"/>
    <x v="3"/>
    <s v="SG2"/>
    <m/>
    <x v="0"/>
    <x v="2"/>
    <x v="3"/>
    <x v="3"/>
    <x v="0"/>
    <x v="0"/>
    <x v="0"/>
    <m/>
    <x v="0"/>
    <x v="0"/>
    <n v="1.9027255860000001"/>
    <m/>
    <x v="1"/>
    <x v="1"/>
    <x v="0"/>
    <x v="1"/>
    <x v="1"/>
  </r>
  <r>
    <s v="Singapore"/>
    <x v="1"/>
    <s v="SG3"/>
    <m/>
    <x v="2"/>
    <x v="0"/>
    <x v="2"/>
    <x v="3"/>
    <x v="0"/>
    <x v="0"/>
    <x v="0"/>
    <m/>
    <x v="0"/>
    <x v="0"/>
    <n v="3.6680911290000004"/>
    <m/>
    <x v="4"/>
    <x v="0"/>
    <x v="0"/>
    <x v="0"/>
    <x v="0"/>
  </r>
  <r>
    <s v="Singapore"/>
    <x v="3"/>
    <s v="SG3"/>
    <m/>
    <x v="2"/>
    <x v="2"/>
    <x v="1"/>
    <x v="1"/>
    <x v="0"/>
    <x v="0"/>
    <x v="0"/>
    <m/>
    <x v="0"/>
    <x v="0"/>
    <n v="-8.8800299999999999E-2"/>
    <m/>
    <x v="3"/>
    <x v="2"/>
    <x v="0"/>
    <x v="0"/>
    <x v="1"/>
  </r>
  <r>
    <s v="Singapore"/>
    <x v="1"/>
    <s v="SG1"/>
    <m/>
    <x v="4"/>
    <x v="0"/>
    <x v="3"/>
    <x v="1"/>
    <x v="0"/>
    <x v="0"/>
    <x v="0"/>
    <m/>
    <x v="0"/>
    <x v="0"/>
    <n v="-0.15579000000000001"/>
    <m/>
    <x v="0"/>
    <x v="2"/>
    <x v="0"/>
    <x v="1"/>
    <x v="1"/>
  </r>
  <r>
    <s v="Singapore"/>
    <x v="0"/>
    <s v="SG4"/>
    <m/>
    <x v="2"/>
    <x v="0"/>
    <x v="1"/>
    <x v="3"/>
    <x v="0"/>
    <x v="0"/>
    <x v="0"/>
    <m/>
    <x v="0"/>
    <x v="0"/>
    <n v="-7.0105500000000001E-2"/>
    <m/>
    <x v="4"/>
    <x v="1"/>
    <x v="0"/>
    <x v="2"/>
    <x v="0"/>
  </r>
  <r>
    <s v="Singapore"/>
    <x v="3"/>
    <s v="SG4"/>
    <m/>
    <x v="0"/>
    <x v="0"/>
    <x v="4"/>
    <x v="5"/>
    <x v="0"/>
    <x v="0"/>
    <x v="0"/>
    <m/>
    <x v="0"/>
    <x v="0"/>
    <n v="-9.4408740000000005E-2"/>
    <m/>
    <x v="7"/>
    <x v="0"/>
    <x v="0"/>
    <x v="4"/>
    <x v="1"/>
  </r>
  <r>
    <s v="Singapore"/>
    <x v="5"/>
    <s v="SG1"/>
    <m/>
    <x v="4"/>
    <x v="1"/>
    <x v="4"/>
    <x v="5"/>
    <x v="0"/>
    <x v="0"/>
    <x v="0"/>
    <m/>
    <x v="0"/>
    <x v="0"/>
    <n v="3.1547474999999998E-2"/>
    <m/>
    <x v="8"/>
    <x v="3"/>
    <x v="0"/>
    <x v="0"/>
    <x v="0"/>
  </r>
  <r>
    <s v="Singapore"/>
    <x v="0"/>
    <s v="SG2"/>
    <m/>
    <x v="4"/>
    <x v="4"/>
    <x v="2"/>
    <x v="1"/>
    <x v="0"/>
    <x v="0"/>
    <x v="0"/>
    <m/>
    <x v="0"/>
    <x v="0"/>
    <n v="-0.15579000000000001"/>
    <m/>
    <x v="4"/>
    <x v="0"/>
    <x v="0"/>
    <x v="0"/>
    <x v="1"/>
  </r>
  <r>
    <s v="Singapore"/>
    <x v="5"/>
    <s v="SG3"/>
    <m/>
    <x v="3"/>
    <x v="3"/>
    <x v="1"/>
    <x v="2"/>
    <x v="0"/>
    <x v="0"/>
    <x v="0"/>
    <m/>
    <x v="0"/>
    <x v="0"/>
    <n v="1.2649992210000001"/>
    <m/>
    <x v="6"/>
    <x v="0"/>
    <x v="0"/>
    <x v="3"/>
    <x v="1"/>
  </r>
  <r>
    <s v="Singapore"/>
    <x v="1"/>
    <s v="SG1"/>
    <m/>
    <x v="0"/>
    <x v="3"/>
    <x v="0"/>
    <x v="1"/>
    <x v="0"/>
    <x v="0"/>
    <x v="0"/>
    <m/>
    <x v="0"/>
    <x v="0"/>
    <n v="-0.140211"/>
    <m/>
    <x v="4"/>
    <x v="3"/>
    <x v="0"/>
    <x v="5"/>
    <x v="1"/>
  </r>
  <r>
    <s v="Singapore"/>
    <x v="1"/>
    <s v="SG1"/>
    <m/>
    <x v="4"/>
    <x v="3"/>
    <x v="2"/>
    <x v="3"/>
    <x v="0"/>
    <x v="0"/>
    <x v="0"/>
    <m/>
    <x v="0"/>
    <x v="0"/>
    <n v="0.71663399999999999"/>
    <m/>
    <x v="0"/>
    <x v="0"/>
    <x v="0"/>
    <x v="0"/>
    <x v="1"/>
  </r>
  <r>
    <s v="Singapore"/>
    <x v="5"/>
    <s v="SG4"/>
    <m/>
    <x v="1"/>
    <x v="0"/>
    <x v="1"/>
    <x v="2"/>
    <x v="0"/>
    <x v="0"/>
    <x v="0"/>
    <m/>
    <x v="0"/>
    <x v="0"/>
    <n v="-0.1838322"/>
    <m/>
    <x v="4"/>
    <x v="0"/>
    <x v="0"/>
    <x v="3"/>
    <x v="0"/>
  </r>
  <r>
    <s v="Singapore"/>
    <x v="1"/>
    <s v="SG2"/>
    <m/>
    <x v="1"/>
    <x v="0"/>
    <x v="4"/>
    <x v="4"/>
    <x v="0"/>
    <x v="0"/>
    <x v="0"/>
    <m/>
    <x v="0"/>
    <x v="0"/>
    <n v="-0.37389600000000001"/>
    <m/>
    <x v="4"/>
    <x v="0"/>
    <x v="0"/>
    <x v="1"/>
    <x v="2"/>
  </r>
  <r>
    <s v="Singapore"/>
    <x v="5"/>
    <s v="SG1"/>
    <m/>
    <x v="4"/>
    <x v="0"/>
    <x v="0"/>
    <x v="0"/>
    <x v="0"/>
    <x v="0"/>
    <x v="0"/>
    <m/>
    <x v="0"/>
    <x v="0"/>
    <n v="1.5679796130000001"/>
    <m/>
    <x v="4"/>
    <x v="2"/>
    <x v="0"/>
    <x v="4"/>
    <x v="0"/>
  </r>
  <r>
    <s v="Singapore"/>
    <x v="2"/>
    <s v="SG2"/>
    <m/>
    <x v="2"/>
    <x v="4"/>
    <x v="4"/>
    <x v="3"/>
    <x v="0"/>
    <x v="0"/>
    <x v="0"/>
    <m/>
    <x v="0"/>
    <x v="0"/>
    <n v="-0.15579000000000001"/>
    <m/>
    <x v="4"/>
    <x v="3"/>
    <x v="0"/>
    <x v="0"/>
    <x v="0"/>
  </r>
  <r>
    <s v="Singapore"/>
    <x v="5"/>
    <s v="SG2"/>
    <m/>
    <x v="3"/>
    <x v="4"/>
    <x v="3"/>
    <x v="0"/>
    <x v="0"/>
    <x v="0"/>
    <x v="0"/>
    <m/>
    <x v="0"/>
    <x v="0"/>
    <n v="-0.21810600000000002"/>
    <m/>
    <x v="1"/>
    <x v="2"/>
    <x v="0"/>
    <x v="3"/>
    <x v="1"/>
  </r>
  <r>
    <s v="Singapore"/>
    <x v="4"/>
    <s v="SG3"/>
    <m/>
    <x v="0"/>
    <x v="1"/>
    <x v="4"/>
    <x v="2"/>
    <x v="0"/>
    <x v="0"/>
    <x v="0"/>
    <m/>
    <x v="0"/>
    <x v="0"/>
    <n v="0.66989700000000008"/>
    <m/>
    <x v="1"/>
    <x v="0"/>
    <x v="0"/>
    <x v="4"/>
    <x v="2"/>
  </r>
  <r>
    <s v="Singapore"/>
    <x v="1"/>
    <s v="SG1"/>
    <m/>
    <x v="5"/>
    <x v="3"/>
    <x v="0"/>
    <x v="5"/>
    <x v="0"/>
    <x v="0"/>
    <x v="0"/>
    <m/>
    <x v="0"/>
    <x v="0"/>
    <n v="2.6484300000000003"/>
    <m/>
    <x v="1"/>
    <x v="2"/>
    <x v="0"/>
    <x v="0"/>
    <x v="0"/>
  </r>
  <r>
    <s v="Singapore"/>
    <x v="3"/>
    <s v="SG3"/>
    <m/>
    <x v="3"/>
    <x v="0"/>
    <x v="2"/>
    <x v="4"/>
    <x v="0"/>
    <x v="0"/>
    <x v="0"/>
    <m/>
    <x v="0"/>
    <x v="0"/>
    <n v="-0.15579000000000001"/>
    <m/>
    <x v="0"/>
    <x v="3"/>
    <x v="0"/>
    <x v="0"/>
    <x v="2"/>
  </r>
  <r>
    <s v="Singapore"/>
    <x v="3"/>
    <s v="SG4"/>
    <m/>
    <x v="0"/>
    <x v="3"/>
    <x v="2"/>
    <x v="4"/>
    <x v="0"/>
    <x v="0"/>
    <x v="0"/>
    <m/>
    <x v="0"/>
    <x v="0"/>
    <n v="-0.43621200000000004"/>
    <m/>
    <x v="0"/>
    <x v="2"/>
    <x v="0"/>
    <x v="2"/>
    <x v="2"/>
  </r>
  <r>
    <s v="Singapore"/>
    <x v="0"/>
    <s v="SG2"/>
    <m/>
    <x v="2"/>
    <x v="3"/>
    <x v="2"/>
    <x v="2"/>
    <x v="0"/>
    <x v="0"/>
    <x v="0"/>
    <m/>
    <x v="0"/>
    <x v="0"/>
    <n v="4.6737000000000003E-3"/>
    <m/>
    <x v="3"/>
    <x v="3"/>
    <x v="0"/>
    <x v="1"/>
    <x v="1"/>
  </r>
  <r>
    <s v="Singapore"/>
    <x v="0"/>
    <s v="SG2"/>
    <m/>
    <x v="3"/>
    <x v="4"/>
    <x v="1"/>
    <x v="2"/>
    <x v="0"/>
    <x v="0"/>
    <x v="0"/>
    <m/>
    <x v="0"/>
    <x v="0"/>
    <n v="-1.5579000000000001E-2"/>
    <m/>
    <x v="0"/>
    <x v="0"/>
    <x v="0"/>
    <x v="5"/>
    <x v="1"/>
  </r>
  <r>
    <s v="Singapore"/>
    <x v="3"/>
    <s v="SG3"/>
    <m/>
    <x v="2"/>
    <x v="2"/>
    <x v="2"/>
    <x v="2"/>
    <x v="0"/>
    <x v="0"/>
    <x v="0"/>
    <m/>
    <x v="0"/>
    <x v="0"/>
    <n v="0.1838322"/>
    <m/>
    <x v="4"/>
    <x v="0"/>
    <x v="0"/>
    <x v="3"/>
    <x v="2"/>
  </r>
  <r>
    <s v="Singapore"/>
    <x v="2"/>
    <s v="SG4"/>
    <m/>
    <x v="5"/>
    <x v="4"/>
    <x v="2"/>
    <x v="0"/>
    <x v="0"/>
    <x v="0"/>
    <x v="0"/>
    <m/>
    <x v="0"/>
    <x v="0"/>
    <n v="-2.4373345500000001"/>
    <m/>
    <x v="3"/>
    <x v="3"/>
    <x v="0"/>
    <x v="3"/>
    <x v="2"/>
  </r>
  <r>
    <s v="Singapore"/>
    <x v="0"/>
    <s v="SG1"/>
    <m/>
    <x v="2"/>
    <x v="4"/>
    <x v="2"/>
    <x v="3"/>
    <x v="0"/>
    <x v="0"/>
    <x v="0"/>
    <m/>
    <x v="0"/>
    <x v="0"/>
    <n v="0.22499191799999999"/>
    <m/>
    <x v="8"/>
    <x v="3"/>
    <x v="0"/>
    <x v="5"/>
    <x v="0"/>
  </r>
  <r>
    <s v="Singapore"/>
    <x v="5"/>
    <s v="SG2"/>
    <m/>
    <x v="5"/>
    <x v="2"/>
    <x v="4"/>
    <x v="5"/>
    <x v="0"/>
    <x v="0"/>
    <x v="0"/>
    <m/>
    <x v="0"/>
    <x v="0"/>
    <n v="2.3680080000000001"/>
    <m/>
    <x v="1"/>
    <x v="3"/>
    <x v="0"/>
    <x v="2"/>
    <x v="1"/>
  </r>
  <r>
    <s v="Singapore"/>
    <x v="4"/>
    <s v="SG2"/>
    <m/>
    <x v="3"/>
    <x v="3"/>
    <x v="3"/>
    <x v="4"/>
    <x v="0"/>
    <x v="0"/>
    <x v="0"/>
    <m/>
    <x v="0"/>
    <x v="0"/>
    <n v="-2.775180744"/>
    <m/>
    <x v="4"/>
    <x v="3"/>
    <x v="0"/>
    <x v="3"/>
    <x v="2"/>
  </r>
  <r>
    <s v="Singapore"/>
    <x v="2"/>
    <s v="SG1"/>
    <m/>
    <x v="0"/>
    <x v="1"/>
    <x v="1"/>
    <x v="4"/>
    <x v="0"/>
    <x v="0"/>
    <x v="0"/>
    <m/>
    <x v="0"/>
    <x v="0"/>
    <n v="-2.8042199999999999"/>
    <m/>
    <x v="2"/>
    <x v="3"/>
    <x v="0"/>
    <x v="4"/>
    <x v="0"/>
  </r>
  <r>
    <s v="Singapore"/>
    <x v="3"/>
    <s v="SG2"/>
    <m/>
    <x v="5"/>
    <x v="3"/>
    <x v="2"/>
    <x v="0"/>
    <x v="0"/>
    <x v="0"/>
    <x v="0"/>
    <m/>
    <x v="0"/>
    <x v="0"/>
    <n v="0.119163771"/>
    <m/>
    <x v="8"/>
    <x v="0"/>
    <x v="0"/>
    <x v="4"/>
    <x v="0"/>
  </r>
  <r>
    <s v="Singapore"/>
    <x v="4"/>
    <s v="SG1"/>
    <m/>
    <x v="1"/>
    <x v="0"/>
    <x v="4"/>
    <x v="2"/>
    <x v="0"/>
    <x v="0"/>
    <x v="0"/>
    <m/>
    <x v="0"/>
    <x v="0"/>
    <n v="-3.1158000000000001"/>
    <m/>
    <x v="4"/>
    <x v="0"/>
    <x v="0"/>
    <x v="0"/>
    <x v="2"/>
  </r>
  <r>
    <s v="Singapore"/>
    <x v="5"/>
    <s v="SG4"/>
    <m/>
    <x v="1"/>
    <x v="4"/>
    <x v="1"/>
    <x v="3"/>
    <x v="0"/>
    <x v="0"/>
    <x v="0"/>
    <m/>
    <x v="0"/>
    <x v="0"/>
    <n v="370.68407757"/>
    <m/>
    <x v="7"/>
    <x v="2"/>
    <x v="0"/>
    <x v="2"/>
    <x v="1"/>
  </r>
  <r>
    <s v="Singapore"/>
    <x v="3"/>
    <s v="SG1"/>
    <m/>
    <x v="4"/>
    <x v="0"/>
    <x v="3"/>
    <x v="4"/>
    <x v="0"/>
    <x v="0"/>
    <x v="0"/>
    <m/>
    <x v="0"/>
    <x v="0"/>
    <n v="1.3008465"/>
    <m/>
    <x v="1"/>
    <x v="2"/>
    <x v="0"/>
    <x v="0"/>
    <x v="0"/>
  </r>
  <r>
    <s v="Singapore"/>
    <x v="3"/>
    <s v="SG4"/>
    <m/>
    <x v="5"/>
    <x v="2"/>
    <x v="0"/>
    <x v="0"/>
    <x v="0"/>
    <x v="0"/>
    <x v="0"/>
    <m/>
    <x v="0"/>
    <x v="0"/>
    <n v="-0.10905300000000001"/>
    <m/>
    <x v="4"/>
    <x v="3"/>
    <x v="0"/>
    <x v="5"/>
    <x v="1"/>
  </r>
  <r>
    <s v="Singapore"/>
    <x v="5"/>
    <s v="SG1"/>
    <m/>
    <x v="2"/>
    <x v="3"/>
    <x v="4"/>
    <x v="0"/>
    <x v="0"/>
    <x v="0"/>
    <x v="0"/>
    <m/>
    <x v="0"/>
    <x v="0"/>
    <n v="-0.24926400000000001"/>
    <m/>
    <x v="0"/>
    <x v="3"/>
    <x v="0"/>
    <x v="5"/>
    <x v="1"/>
  </r>
  <r>
    <s v="Singapore"/>
    <x v="1"/>
    <s v="SG2"/>
    <m/>
    <x v="5"/>
    <x v="4"/>
    <x v="3"/>
    <x v="2"/>
    <x v="0"/>
    <x v="0"/>
    <x v="0"/>
    <m/>
    <x v="0"/>
    <x v="0"/>
    <n v="11.594639592"/>
    <m/>
    <x v="9"/>
    <x v="3"/>
    <x v="0"/>
    <x v="2"/>
    <x v="2"/>
  </r>
  <r>
    <s v="Singapore"/>
    <x v="1"/>
    <s v="SG3"/>
    <m/>
    <x v="2"/>
    <x v="0"/>
    <x v="4"/>
    <x v="3"/>
    <x v="0"/>
    <x v="0"/>
    <x v="0"/>
    <m/>
    <x v="0"/>
    <x v="0"/>
    <n v="-0.233685"/>
    <m/>
    <x v="0"/>
    <x v="1"/>
    <x v="0"/>
    <x v="2"/>
    <x v="2"/>
  </r>
  <r>
    <s v="Singapore"/>
    <x v="3"/>
    <s v="SG3"/>
    <m/>
    <x v="3"/>
    <x v="3"/>
    <x v="0"/>
    <x v="5"/>
    <x v="0"/>
    <x v="0"/>
    <x v="0"/>
    <m/>
    <x v="0"/>
    <x v="0"/>
    <n v="349.46345430000002"/>
    <m/>
    <x v="7"/>
    <x v="2"/>
    <x v="0"/>
    <x v="5"/>
    <x v="0"/>
  </r>
  <r>
    <s v="Singapore"/>
    <x v="1"/>
    <s v="SG4"/>
    <m/>
    <x v="1"/>
    <x v="4"/>
    <x v="4"/>
    <x v="5"/>
    <x v="0"/>
    <x v="0"/>
    <x v="0"/>
    <m/>
    <x v="0"/>
    <x v="0"/>
    <n v="-0.14342027400000001"/>
    <m/>
    <x v="0"/>
    <x v="2"/>
    <x v="0"/>
    <x v="1"/>
    <x v="1"/>
  </r>
  <r>
    <s v="Singapore"/>
    <x v="2"/>
    <s v="SG1"/>
    <m/>
    <x v="4"/>
    <x v="3"/>
    <x v="0"/>
    <x v="2"/>
    <x v="0"/>
    <x v="0"/>
    <x v="0"/>
    <m/>
    <x v="0"/>
    <x v="0"/>
    <n v="1.3008465"/>
    <m/>
    <x v="1"/>
    <x v="0"/>
    <x v="0"/>
    <x v="3"/>
    <x v="0"/>
  </r>
  <r>
    <s v="Singapore"/>
    <x v="3"/>
    <s v="SG1"/>
    <m/>
    <x v="0"/>
    <x v="4"/>
    <x v="0"/>
    <x v="4"/>
    <x v="0"/>
    <x v="0"/>
    <x v="0"/>
    <m/>
    <x v="0"/>
    <x v="0"/>
    <n v="0.86214186000000004"/>
    <m/>
    <x v="1"/>
    <x v="3"/>
    <x v="0"/>
    <x v="0"/>
    <x v="1"/>
  </r>
  <r>
    <s v="Singapore"/>
    <x v="2"/>
    <s v="SG2"/>
    <m/>
    <x v="4"/>
    <x v="3"/>
    <x v="4"/>
    <x v="3"/>
    <x v="0"/>
    <x v="0"/>
    <x v="0"/>
    <m/>
    <x v="0"/>
    <x v="0"/>
    <n v="-0.15579000000000001"/>
    <m/>
    <x v="4"/>
    <x v="2"/>
    <x v="0"/>
    <x v="2"/>
    <x v="2"/>
  </r>
  <r>
    <s v="Singapore"/>
    <x v="4"/>
    <s v="SG3"/>
    <m/>
    <x v="4"/>
    <x v="3"/>
    <x v="2"/>
    <x v="5"/>
    <x v="0"/>
    <x v="0"/>
    <x v="0"/>
    <m/>
    <x v="0"/>
    <x v="0"/>
    <n v="4.2770742390000001"/>
    <m/>
    <x v="7"/>
    <x v="3"/>
    <x v="0"/>
    <x v="5"/>
    <x v="2"/>
  </r>
  <r>
    <s v="Singapore"/>
    <x v="4"/>
    <s v="SG2"/>
    <m/>
    <x v="5"/>
    <x v="3"/>
    <x v="1"/>
    <x v="2"/>
    <x v="0"/>
    <x v="0"/>
    <x v="0"/>
    <m/>
    <x v="0"/>
    <x v="0"/>
    <n v="7.0105500000000001E-2"/>
    <m/>
    <x v="1"/>
    <x v="3"/>
    <x v="0"/>
    <x v="1"/>
    <x v="1"/>
  </r>
  <r>
    <s v="Singapore"/>
    <x v="4"/>
    <s v="SG3"/>
    <m/>
    <x v="2"/>
    <x v="2"/>
    <x v="2"/>
    <x v="5"/>
    <x v="0"/>
    <x v="0"/>
    <x v="0"/>
    <m/>
    <x v="0"/>
    <x v="0"/>
    <n v="-0.22433760000000003"/>
    <m/>
    <x v="3"/>
    <x v="3"/>
    <x v="0"/>
    <x v="1"/>
    <x v="1"/>
  </r>
  <r>
    <s v="Singapore"/>
    <x v="3"/>
    <s v="SG4"/>
    <m/>
    <x v="5"/>
    <x v="2"/>
    <x v="3"/>
    <x v="4"/>
    <x v="0"/>
    <x v="0"/>
    <x v="0"/>
    <m/>
    <x v="0"/>
    <x v="0"/>
    <n v="-2.4990273900000002"/>
    <m/>
    <x v="6"/>
    <x v="3"/>
    <x v="0"/>
    <x v="5"/>
    <x v="1"/>
  </r>
  <r>
    <s v="Singapore"/>
    <x v="5"/>
    <s v="SG1"/>
    <m/>
    <x v="1"/>
    <x v="4"/>
    <x v="0"/>
    <x v="0"/>
    <x v="0"/>
    <x v="0"/>
    <x v="0"/>
    <m/>
    <x v="0"/>
    <x v="0"/>
    <n v="-0.16357950000000002"/>
    <m/>
    <x v="0"/>
    <x v="0"/>
    <x v="0"/>
    <x v="5"/>
    <x v="0"/>
  </r>
  <r>
    <s v="Singapore"/>
    <x v="5"/>
    <s v="SG1"/>
    <m/>
    <x v="5"/>
    <x v="0"/>
    <x v="4"/>
    <x v="2"/>
    <x v="0"/>
    <x v="0"/>
    <x v="0"/>
    <m/>
    <x v="0"/>
    <x v="0"/>
    <n v="-0.15579000000000001"/>
    <m/>
    <x v="4"/>
    <x v="3"/>
    <x v="0"/>
    <x v="1"/>
    <x v="0"/>
  </r>
  <r>
    <s v="Singapore"/>
    <x v="5"/>
    <s v="SG4"/>
    <m/>
    <x v="5"/>
    <x v="0"/>
    <x v="1"/>
    <x v="5"/>
    <x v="0"/>
    <x v="0"/>
    <x v="0"/>
    <m/>
    <x v="0"/>
    <x v="0"/>
    <n v="-0.31158000000000002"/>
    <m/>
    <x v="0"/>
    <x v="2"/>
    <x v="0"/>
    <x v="2"/>
    <x v="0"/>
  </r>
  <r>
    <s v="Singapore"/>
    <x v="0"/>
    <s v="SG2"/>
    <m/>
    <x v="3"/>
    <x v="1"/>
    <x v="4"/>
    <x v="0"/>
    <x v="0"/>
    <x v="0"/>
    <x v="0"/>
    <m/>
    <x v="0"/>
    <x v="0"/>
    <n v="-0.51303204899999999"/>
    <m/>
    <x v="4"/>
    <x v="3"/>
    <x v="0"/>
    <x v="5"/>
    <x v="0"/>
  </r>
  <r>
    <s v="Singapore"/>
    <x v="5"/>
    <s v="SG4"/>
    <m/>
    <x v="4"/>
    <x v="1"/>
    <x v="4"/>
    <x v="5"/>
    <x v="0"/>
    <x v="0"/>
    <x v="0"/>
    <m/>
    <x v="0"/>
    <x v="0"/>
    <n v="0.15579000000000001"/>
    <m/>
    <x v="1"/>
    <x v="2"/>
    <x v="0"/>
    <x v="2"/>
    <x v="0"/>
  </r>
  <r>
    <s v="Singapore"/>
    <x v="3"/>
    <s v="SG4"/>
    <m/>
    <x v="5"/>
    <x v="1"/>
    <x v="2"/>
    <x v="2"/>
    <x v="0"/>
    <x v="0"/>
    <x v="0"/>
    <m/>
    <x v="0"/>
    <x v="0"/>
    <n v="2.7263250000000001"/>
    <m/>
    <x v="1"/>
    <x v="1"/>
    <x v="0"/>
    <x v="2"/>
    <x v="2"/>
  </r>
  <r>
    <s v="Singapore"/>
    <x v="2"/>
    <s v="SG2"/>
    <m/>
    <x v="4"/>
    <x v="1"/>
    <x v="1"/>
    <x v="4"/>
    <x v="0"/>
    <x v="0"/>
    <x v="0"/>
    <m/>
    <x v="0"/>
    <x v="0"/>
    <n v="-1.5579000000000001E-2"/>
    <m/>
    <x v="0"/>
    <x v="3"/>
    <x v="0"/>
    <x v="3"/>
    <x v="2"/>
  </r>
  <r>
    <s v="Singapore"/>
    <x v="3"/>
    <s v="SG2"/>
    <m/>
    <x v="1"/>
    <x v="3"/>
    <x v="4"/>
    <x v="4"/>
    <x v="0"/>
    <x v="0"/>
    <x v="0"/>
    <m/>
    <x v="0"/>
    <x v="0"/>
    <n v="-4.6737000000000001E-2"/>
    <m/>
    <x v="0"/>
    <x v="1"/>
    <x v="0"/>
    <x v="3"/>
    <x v="2"/>
  </r>
  <r>
    <s v="Singapore"/>
    <x v="3"/>
    <s v="SG4"/>
    <m/>
    <x v="5"/>
    <x v="2"/>
    <x v="4"/>
    <x v="1"/>
    <x v="0"/>
    <x v="0"/>
    <x v="0"/>
    <m/>
    <x v="0"/>
    <x v="0"/>
    <n v="0.1838322"/>
    <m/>
    <x v="4"/>
    <x v="3"/>
    <x v="0"/>
    <x v="1"/>
    <x v="2"/>
  </r>
  <r>
    <s v="Singapore"/>
    <x v="2"/>
    <s v="SG2"/>
    <m/>
    <x v="5"/>
    <x v="3"/>
    <x v="4"/>
    <x v="4"/>
    <x v="0"/>
    <x v="0"/>
    <x v="0"/>
    <m/>
    <x v="0"/>
    <x v="0"/>
    <n v="-0.14800050000000001"/>
    <m/>
    <x v="4"/>
    <x v="0"/>
    <x v="0"/>
    <x v="0"/>
    <x v="0"/>
  </r>
  <r>
    <s v="Singapore"/>
    <x v="1"/>
    <s v="SG1"/>
    <m/>
    <x v="5"/>
    <x v="2"/>
    <x v="1"/>
    <x v="5"/>
    <x v="0"/>
    <x v="0"/>
    <x v="0"/>
    <m/>
    <x v="0"/>
    <x v="0"/>
    <n v="-0.31158000000000002"/>
    <m/>
    <x v="0"/>
    <x v="0"/>
    <x v="0"/>
    <x v="3"/>
    <x v="2"/>
  </r>
  <r>
    <s v="Singapore"/>
    <x v="0"/>
    <s v="SG2"/>
    <m/>
    <x v="3"/>
    <x v="4"/>
    <x v="4"/>
    <x v="0"/>
    <x v="0"/>
    <x v="0"/>
    <x v="0"/>
    <m/>
    <x v="0"/>
    <x v="0"/>
    <n v="3.4075946700000004"/>
    <m/>
    <x v="2"/>
    <x v="3"/>
    <x v="0"/>
    <x v="0"/>
    <x v="0"/>
  </r>
  <r>
    <s v="Singapore"/>
    <x v="4"/>
    <s v="SG1"/>
    <m/>
    <x v="3"/>
    <x v="4"/>
    <x v="0"/>
    <x v="1"/>
    <x v="0"/>
    <x v="0"/>
    <x v="0"/>
    <m/>
    <x v="0"/>
    <x v="0"/>
    <n v="-4.5989208000000001"/>
    <m/>
    <x v="4"/>
    <x v="3"/>
    <x v="0"/>
    <x v="0"/>
    <x v="0"/>
  </r>
  <r>
    <s v="Singapore"/>
    <x v="5"/>
    <s v="SG2"/>
    <m/>
    <x v="4"/>
    <x v="1"/>
    <x v="2"/>
    <x v="5"/>
    <x v="0"/>
    <x v="0"/>
    <x v="0"/>
    <m/>
    <x v="0"/>
    <x v="0"/>
    <n v="-0.21810600000000002"/>
    <m/>
    <x v="4"/>
    <x v="1"/>
    <x v="0"/>
    <x v="3"/>
    <x v="1"/>
  </r>
  <r>
    <s v="Singapore"/>
    <x v="1"/>
    <s v="SG2"/>
    <m/>
    <x v="3"/>
    <x v="1"/>
    <x v="1"/>
    <x v="4"/>
    <x v="0"/>
    <x v="0"/>
    <x v="0"/>
    <m/>
    <x v="0"/>
    <x v="0"/>
    <n v="-6.0758100000000002E-2"/>
    <m/>
    <x v="3"/>
    <x v="1"/>
    <x v="0"/>
    <x v="4"/>
    <x v="0"/>
  </r>
  <r>
    <s v="Singapore"/>
    <x v="0"/>
    <s v="SG3"/>
    <m/>
    <x v="2"/>
    <x v="2"/>
    <x v="3"/>
    <x v="1"/>
    <x v="0"/>
    <x v="0"/>
    <x v="0"/>
    <m/>
    <x v="0"/>
    <x v="0"/>
    <n v="2.0252700000000002E-2"/>
    <m/>
    <x v="2"/>
    <x v="1"/>
    <x v="0"/>
    <x v="5"/>
    <x v="1"/>
  </r>
  <r>
    <s v="Singapore"/>
    <x v="5"/>
    <s v="SG3"/>
    <m/>
    <x v="4"/>
    <x v="3"/>
    <x v="4"/>
    <x v="3"/>
    <x v="0"/>
    <x v="0"/>
    <x v="0"/>
    <m/>
    <x v="0"/>
    <x v="0"/>
    <n v="5.9164368300000003"/>
    <m/>
    <x v="5"/>
    <x v="1"/>
    <x v="0"/>
    <x v="0"/>
    <x v="0"/>
  </r>
  <r>
    <s v="Singapore"/>
    <x v="3"/>
    <s v="SG2"/>
    <m/>
    <x v="2"/>
    <x v="3"/>
    <x v="1"/>
    <x v="0"/>
    <x v="0"/>
    <x v="0"/>
    <x v="0"/>
    <m/>
    <x v="0"/>
    <x v="0"/>
    <n v="0.15579000000000001"/>
    <m/>
    <x v="4"/>
    <x v="0"/>
    <x v="0"/>
    <x v="0"/>
    <x v="0"/>
  </r>
  <r>
    <s v="Singapore"/>
    <x v="4"/>
    <s v="SG2"/>
    <m/>
    <x v="3"/>
    <x v="0"/>
    <x v="2"/>
    <x v="5"/>
    <x v="0"/>
    <x v="0"/>
    <x v="0"/>
    <m/>
    <x v="0"/>
    <x v="0"/>
    <n v="42.582361122000002"/>
    <m/>
    <x v="7"/>
    <x v="2"/>
    <x v="0"/>
    <x v="3"/>
    <x v="1"/>
  </r>
  <r>
    <s v="Singapore"/>
    <x v="3"/>
    <s v="SG3"/>
    <m/>
    <x v="0"/>
    <x v="3"/>
    <x v="2"/>
    <x v="1"/>
    <x v="0"/>
    <x v="0"/>
    <x v="0"/>
    <m/>
    <x v="0"/>
    <x v="0"/>
    <n v="-0.28012599900000001"/>
    <m/>
    <x v="0"/>
    <x v="1"/>
    <x v="0"/>
    <x v="0"/>
    <x v="2"/>
  </r>
  <r>
    <s v="Singapore"/>
    <x v="2"/>
    <s v="SG3"/>
    <m/>
    <x v="5"/>
    <x v="1"/>
    <x v="2"/>
    <x v="5"/>
    <x v="0"/>
    <x v="0"/>
    <x v="0"/>
    <m/>
    <x v="0"/>
    <x v="0"/>
    <n v="-1.1840040000000001"/>
    <m/>
    <x v="4"/>
    <x v="1"/>
    <x v="0"/>
    <x v="2"/>
    <x v="0"/>
  </r>
  <r>
    <s v="Singapore"/>
    <x v="2"/>
    <s v="SG4"/>
    <m/>
    <x v="0"/>
    <x v="0"/>
    <x v="3"/>
    <x v="1"/>
    <x v="0"/>
    <x v="0"/>
    <x v="0"/>
    <m/>
    <x v="0"/>
    <x v="0"/>
    <n v="0.93474000000000002"/>
    <m/>
    <x v="1"/>
    <x v="3"/>
    <x v="0"/>
    <x v="0"/>
    <x v="2"/>
  </r>
  <r>
    <s v="Singapore"/>
    <x v="1"/>
    <s v="SG1"/>
    <m/>
    <x v="2"/>
    <x v="2"/>
    <x v="3"/>
    <x v="2"/>
    <x v="0"/>
    <x v="0"/>
    <x v="0"/>
    <m/>
    <x v="0"/>
    <x v="0"/>
    <n v="-0.233685"/>
    <m/>
    <x v="0"/>
    <x v="2"/>
    <x v="0"/>
    <x v="0"/>
    <x v="2"/>
  </r>
  <r>
    <s v="Singapore"/>
    <x v="3"/>
    <s v="SG1"/>
    <m/>
    <x v="0"/>
    <x v="2"/>
    <x v="2"/>
    <x v="3"/>
    <x v="0"/>
    <x v="0"/>
    <x v="0"/>
    <m/>
    <x v="0"/>
    <x v="0"/>
    <n v="-0.17136900000000002"/>
    <m/>
    <x v="0"/>
    <x v="1"/>
    <x v="0"/>
    <x v="3"/>
    <x v="0"/>
  </r>
  <r>
    <s v="Singapore"/>
    <x v="3"/>
    <s v="SG4"/>
    <m/>
    <x v="5"/>
    <x v="1"/>
    <x v="1"/>
    <x v="1"/>
    <x v="0"/>
    <x v="0"/>
    <x v="0"/>
    <m/>
    <x v="0"/>
    <x v="0"/>
    <n v="-29.218414500000002"/>
    <m/>
    <x v="2"/>
    <x v="3"/>
    <x v="0"/>
    <x v="4"/>
    <x v="0"/>
  </r>
  <r>
    <s v="Singapore"/>
    <x v="2"/>
    <s v="SG3"/>
    <m/>
    <x v="2"/>
    <x v="3"/>
    <x v="0"/>
    <x v="0"/>
    <x v="0"/>
    <x v="0"/>
    <x v="0"/>
    <m/>
    <x v="0"/>
    <x v="0"/>
    <n v="1.059372"/>
    <m/>
    <x v="1"/>
    <x v="0"/>
    <x v="0"/>
    <x v="4"/>
    <x v="1"/>
  </r>
  <r>
    <s v="Singapore"/>
    <x v="5"/>
    <s v="SG4"/>
    <m/>
    <x v="0"/>
    <x v="4"/>
    <x v="0"/>
    <x v="3"/>
    <x v="0"/>
    <x v="0"/>
    <x v="0"/>
    <m/>
    <x v="0"/>
    <x v="0"/>
    <n v="-0.15579000000000001"/>
    <m/>
    <x v="0"/>
    <x v="0"/>
    <x v="0"/>
    <x v="4"/>
    <x v="2"/>
  </r>
  <r>
    <s v="Singapore"/>
    <x v="3"/>
    <s v="SG3"/>
    <m/>
    <x v="3"/>
    <x v="3"/>
    <x v="2"/>
    <x v="2"/>
    <x v="0"/>
    <x v="0"/>
    <x v="0"/>
    <m/>
    <x v="0"/>
    <x v="0"/>
    <n v="-4.6737000000000002"/>
    <m/>
    <x v="4"/>
    <x v="1"/>
    <x v="0"/>
    <x v="0"/>
    <x v="2"/>
  </r>
  <r>
    <s v="Singapore"/>
    <x v="1"/>
    <s v="SG2"/>
    <m/>
    <x v="5"/>
    <x v="3"/>
    <x v="1"/>
    <x v="1"/>
    <x v="0"/>
    <x v="0"/>
    <x v="0"/>
    <m/>
    <x v="0"/>
    <x v="0"/>
    <n v="2.6484300000000003"/>
    <m/>
    <x v="1"/>
    <x v="0"/>
    <x v="0"/>
    <x v="2"/>
    <x v="0"/>
  </r>
  <r>
    <s v="Singapore"/>
    <x v="1"/>
    <s v="SG1"/>
    <m/>
    <x v="4"/>
    <x v="0"/>
    <x v="0"/>
    <x v="5"/>
    <x v="0"/>
    <x v="0"/>
    <x v="0"/>
    <m/>
    <x v="0"/>
    <x v="0"/>
    <n v="-0.21810600000000002"/>
    <m/>
    <x v="4"/>
    <x v="0"/>
    <x v="0"/>
    <x v="0"/>
    <x v="1"/>
  </r>
  <r>
    <s v="Singapore"/>
    <x v="5"/>
    <s v="SG1"/>
    <m/>
    <x v="0"/>
    <x v="0"/>
    <x v="3"/>
    <x v="0"/>
    <x v="0"/>
    <x v="0"/>
    <x v="0"/>
    <m/>
    <x v="0"/>
    <x v="0"/>
    <n v="15.189525000000001"/>
    <m/>
    <x v="9"/>
    <x v="2"/>
    <x v="0"/>
    <x v="2"/>
    <x v="0"/>
  </r>
  <r>
    <s v="Singapore"/>
    <x v="0"/>
    <s v="SG4"/>
    <m/>
    <x v="4"/>
    <x v="3"/>
    <x v="3"/>
    <x v="3"/>
    <x v="0"/>
    <x v="0"/>
    <x v="0"/>
    <m/>
    <x v="0"/>
    <x v="0"/>
    <n v="-4.3576644059999996"/>
    <m/>
    <x v="5"/>
    <x v="0"/>
    <x v="0"/>
    <x v="0"/>
    <x v="2"/>
  </r>
  <r>
    <s v="Singapore"/>
    <x v="1"/>
    <s v="SG2"/>
    <m/>
    <x v="0"/>
    <x v="2"/>
    <x v="4"/>
    <x v="3"/>
    <x v="0"/>
    <x v="0"/>
    <x v="0"/>
    <m/>
    <x v="0"/>
    <x v="0"/>
    <n v="-4.6737000000000001E-2"/>
    <m/>
    <x v="0"/>
    <x v="3"/>
    <x v="0"/>
    <x v="4"/>
    <x v="2"/>
  </r>
  <r>
    <s v="Singapore"/>
    <x v="0"/>
    <s v="SG3"/>
    <m/>
    <x v="4"/>
    <x v="1"/>
    <x v="4"/>
    <x v="0"/>
    <x v="0"/>
    <x v="0"/>
    <x v="0"/>
    <m/>
    <x v="0"/>
    <x v="0"/>
    <n v="-1.7448480000000002"/>
    <m/>
    <x v="0"/>
    <x v="2"/>
    <x v="0"/>
    <x v="1"/>
    <x v="2"/>
  </r>
  <r>
    <s v="Singapore"/>
    <x v="4"/>
    <s v="SG4"/>
    <m/>
    <x v="0"/>
    <x v="2"/>
    <x v="3"/>
    <x v="3"/>
    <x v="0"/>
    <x v="0"/>
    <x v="0"/>
    <m/>
    <x v="0"/>
    <x v="0"/>
    <n v="50.202548550000003"/>
    <m/>
    <x v="7"/>
    <x v="0"/>
    <x v="0"/>
    <x v="5"/>
    <x v="0"/>
  </r>
  <r>
    <s v="Singapore"/>
    <x v="5"/>
    <s v="SG4"/>
    <m/>
    <x v="2"/>
    <x v="3"/>
    <x v="0"/>
    <x v="5"/>
    <x v="0"/>
    <x v="0"/>
    <x v="0"/>
    <m/>
    <x v="0"/>
    <x v="0"/>
    <n v="-1.0499778630000001"/>
    <m/>
    <x v="0"/>
    <x v="3"/>
    <x v="0"/>
    <x v="4"/>
    <x v="0"/>
  </r>
  <r>
    <s v="Singapore"/>
    <x v="4"/>
    <s v="SG3"/>
    <m/>
    <x v="4"/>
    <x v="0"/>
    <x v="2"/>
    <x v="5"/>
    <x v="0"/>
    <x v="0"/>
    <x v="0"/>
    <m/>
    <x v="0"/>
    <x v="0"/>
    <n v="-2.8278689220000004"/>
    <m/>
    <x v="2"/>
    <x v="1"/>
    <x v="0"/>
    <x v="1"/>
    <x v="0"/>
  </r>
  <r>
    <s v="Singapore"/>
    <x v="0"/>
    <s v="SG1"/>
    <m/>
    <x v="2"/>
    <x v="2"/>
    <x v="1"/>
    <x v="4"/>
    <x v="0"/>
    <x v="0"/>
    <x v="0"/>
    <m/>
    <x v="0"/>
    <x v="0"/>
    <n v="-0.20252700000000001"/>
    <m/>
    <x v="6"/>
    <x v="0"/>
    <x v="0"/>
    <x v="5"/>
    <x v="2"/>
  </r>
  <r>
    <s v="Singapore"/>
    <x v="0"/>
    <s v="SG3"/>
    <m/>
    <x v="4"/>
    <x v="2"/>
    <x v="2"/>
    <x v="3"/>
    <x v="0"/>
    <x v="0"/>
    <x v="0"/>
    <m/>
    <x v="0"/>
    <x v="0"/>
    <n v="-3.1158000000000001"/>
    <m/>
    <x v="4"/>
    <x v="0"/>
    <x v="0"/>
    <x v="4"/>
    <x v="2"/>
  </r>
  <r>
    <s v="Singapore"/>
    <x v="2"/>
    <s v="SG4"/>
    <m/>
    <x v="4"/>
    <x v="2"/>
    <x v="3"/>
    <x v="3"/>
    <x v="0"/>
    <x v="0"/>
    <x v="0"/>
    <m/>
    <x v="0"/>
    <x v="0"/>
    <n v="0.17984397600000002"/>
    <m/>
    <x v="1"/>
    <x v="3"/>
    <x v="0"/>
    <x v="1"/>
    <x v="2"/>
  </r>
  <r>
    <s v="Singapore"/>
    <x v="2"/>
    <s v="SG4"/>
    <m/>
    <x v="2"/>
    <x v="0"/>
    <x v="1"/>
    <x v="5"/>
    <x v="0"/>
    <x v="0"/>
    <x v="0"/>
    <m/>
    <x v="0"/>
    <x v="0"/>
    <n v="-7.7895000000000006E-2"/>
    <m/>
    <x v="0"/>
    <x v="0"/>
    <x v="0"/>
    <x v="3"/>
    <x v="0"/>
  </r>
  <r>
    <s v="Singapore"/>
    <x v="1"/>
    <s v="SG1"/>
    <m/>
    <x v="1"/>
    <x v="4"/>
    <x v="1"/>
    <x v="2"/>
    <x v="0"/>
    <x v="0"/>
    <x v="0"/>
    <m/>
    <x v="0"/>
    <x v="0"/>
    <n v="1.7918654220000001"/>
    <m/>
    <x v="1"/>
    <x v="2"/>
    <x v="0"/>
    <x v="4"/>
    <x v="0"/>
  </r>
  <r>
    <s v="Singapore"/>
    <x v="4"/>
    <s v="SG3"/>
    <m/>
    <x v="0"/>
    <x v="3"/>
    <x v="0"/>
    <x v="5"/>
    <x v="0"/>
    <x v="0"/>
    <x v="0"/>
    <m/>
    <x v="0"/>
    <x v="0"/>
    <n v="0.15579000000000001"/>
    <m/>
    <x v="1"/>
    <x v="2"/>
    <x v="0"/>
    <x v="0"/>
    <x v="1"/>
  </r>
  <r>
    <s v="Singapore"/>
    <x v="4"/>
    <s v="SG4"/>
    <m/>
    <x v="1"/>
    <x v="0"/>
    <x v="1"/>
    <x v="0"/>
    <x v="0"/>
    <x v="0"/>
    <x v="0"/>
    <m/>
    <x v="0"/>
    <x v="0"/>
    <n v="0.24926400000000001"/>
    <m/>
    <x v="0"/>
    <x v="0"/>
    <x v="0"/>
    <x v="2"/>
    <x v="0"/>
  </r>
  <r>
    <s v="Singapore"/>
    <x v="5"/>
    <s v="SG2"/>
    <m/>
    <x v="2"/>
    <x v="0"/>
    <x v="0"/>
    <x v="3"/>
    <x v="0"/>
    <x v="0"/>
    <x v="0"/>
    <m/>
    <x v="0"/>
    <x v="0"/>
    <n v="-0.233685"/>
    <m/>
    <x v="0"/>
    <x v="2"/>
    <x v="0"/>
    <x v="0"/>
    <x v="2"/>
  </r>
  <r>
    <s v="Singapore"/>
    <x v="0"/>
    <s v="SG1"/>
    <m/>
    <x v="4"/>
    <x v="3"/>
    <x v="2"/>
    <x v="5"/>
    <x v="0"/>
    <x v="0"/>
    <x v="0"/>
    <m/>
    <x v="0"/>
    <x v="0"/>
    <n v="-4.6737000000000001E-2"/>
    <m/>
    <x v="0"/>
    <x v="3"/>
    <x v="0"/>
    <x v="5"/>
    <x v="0"/>
  </r>
  <r>
    <s v="Singapore"/>
    <x v="3"/>
    <s v="SG2"/>
    <m/>
    <x v="4"/>
    <x v="4"/>
    <x v="0"/>
    <x v="3"/>
    <x v="0"/>
    <x v="0"/>
    <x v="0"/>
    <m/>
    <x v="0"/>
    <x v="0"/>
    <n v="2.601693"/>
    <m/>
    <x v="1"/>
    <x v="0"/>
    <x v="0"/>
    <x v="2"/>
    <x v="2"/>
  </r>
  <r>
    <s v="Singapore"/>
    <x v="3"/>
    <s v="SG2"/>
    <m/>
    <x v="3"/>
    <x v="1"/>
    <x v="4"/>
    <x v="0"/>
    <x v="0"/>
    <x v="0"/>
    <x v="0"/>
    <m/>
    <x v="0"/>
    <x v="0"/>
    <n v="1.3008465"/>
    <m/>
    <x v="1"/>
    <x v="1"/>
    <x v="0"/>
    <x v="5"/>
    <x v="2"/>
  </r>
  <r>
    <s v="Singapore"/>
    <x v="3"/>
    <s v="SG3"/>
    <m/>
    <x v="0"/>
    <x v="2"/>
    <x v="1"/>
    <x v="0"/>
    <x v="0"/>
    <x v="0"/>
    <x v="0"/>
    <m/>
    <x v="0"/>
    <x v="0"/>
    <n v="-0.15579000000000001"/>
    <m/>
    <x v="0"/>
    <x v="2"/>
    <x v="0"/>
    <x v="1"/>
    <x v="2"/>
  </r>
  <r>
    <s v="Singapore"/>
    <x v="2"/>
    <s v="SG3"/>
    <m/>
    <x v="5"/>
    <x v="1"/>
    <x v="2"/>
    <x v="1"/>
    <x v="0"/>
    <x v="0"/>
    <x v="0"/>
    <m/>
    <x v="0"/>
    <x v="0"/>
    <n v="-26.3939418"/>
    <m/>
    <x v="7"/>
    <x v="0"/>
    <x v="0"/>
    <x v="5"/>
    <x v="0"/>
  </r>
  <r>
    <s v="Singapore"/>
    <x v="4"/>
    <s v="SG1"/>
    <m/>
    <x v="4"/>
    <x v="3"/>
    <x v="2"/>
    <x v="3"/>
    <x v="0"/>
    <x v="0"/>
    <x v="0"/>
    <m/>
    <x v="0"/>
    <x v="0"/>
    <n v="42.582361122000002"/>
    <m/>
    <x v="7"/>
    <x v="3"/>
    <x v="0"/>
    <x v="4"/>
    <x v="0"/>
  </r>
  <r>
    <s v="Singapore"/>
    <x v="5"/>
    <s v="SG4"/>
    <m/>
    <x v="3"/>
    <x v="3"/>
    <x v="3"/>
    <x v="2"/>
    <x v="0"/>
    <x v="0"/>
    <x v="0"/>
    <m/>
    <x v="0"/>
    <x v="0"/>
    <n v="-1.2992886000000001"/>
    <m/>
    <x v="3"/>
    <x v="2"/>
    <x v="0"/>
    <x v="5"/>
    <x v="0"/>
  </r>
  <r>
    <s v="Singapore"/>
    <x v="0"/>
    <s v="SG3"/>
    <m/>
    <x v="2"/>
    <x v="0"/>
    <x v="0"/>
    <x v="3"/>
    <x v="0"/>
    <x v="0"/>
    <x v="0"/>
    <m/>
    <x v="0"/>
    <x v="0"/>
    <n v="0.29600100000000001"/>
    <m/>
    <x v="0"/>
    <x v="3"/>
    <x v="0"/>
    <x v="1"/>
    <x v="2"/>
  </r>
  <r>
    <s v="Singapore"/>
    <x v="1"/>
    <s v="SG1"/>
    <m/>
    <x v="3"/>
    <x v="1"/>
    <x v="2"/>
    <x v="4"/>
    <x v="0"/>
    <x v="0"/>
    <x v="0"/>
    <m/>
    <x v="0"/>
    <x v="0"/>
    <n v="-4.6737000000000001E-2"/>
    <m/>
    <x v="0"/>
    <x v="3"/>
    <x v="0"/>
    <x v="0"/>
    <x v="2"/>
  </r>
  <r>
    <s v="Singapore"/>
    <x v="2"/>
    <s v="SG2"/>
    <m/>
    <x v="1"/>
    <x v="4"/>
    <x v="0"/>
    <x v="4"/>
    <x v="0"/>
    <x v="0"/>
    <x v="0"/>
    <m/>
    <x v="0"/>
    <x v="0"/>
    <n v="0.15579000000000001"/>
    <m/>
    <x v="1"/>
    <x v="1"/>
    <x v="0"/>
    <x v="0"/>
    <x v="1"/>
  </r>
  <r>
    <s v="Singapore"/>
    <x v="3"/>
    <s v="SG1"/>
    <m/>
    <x v="1"/>
    <x v="4"/>
    <x v="1"/>
    <x v="5"/>
    <x v="0"/>
    <x v="0"/>
    <x v="0"/>
    <m/>
    <x v="0"/>
    <x v="0"/>
    <n v="0.17839512900000001"/>
    <m/>
    <x v="1"/>
    <x v="1"/>
    <x v="0"/>
    <x v="4"/>
    <x v="0"/>
  </r>
  <r>
    <s v="Singapore"/>
    <x v="0"/>
    <s v="SG1"/>
    <m/>
    <x v="2"/>
    <x v="1"/>
    <x v="3"/>
    <x v="5"/>
    <x v="0"/>
    <x v="0"/>
    <x v="0"/>
    <m/>
    <x v="0"/>
    <x v="0"/>
    <n v="-0.46737000000000001"/>
    <m/>
    <x v="0"/>
    <x v="3"/>
    <x v="0"/>
    <x v="3"/>
    <x v="1"/>
  </r>
  <r>
    <s v="Singapore"/>
    <x v="0"/>
    <s v="SG4"/>
    <m/>
    <x v="3"/>
    <x v="2"/>
    <x v="1"/>
    <x v="4"/>
    <x v="0"/>
    <x v="0"/>
    <x v="0"/>
    <m/>
    <x v="0"/>
    <x v="0"/>
    <n v="-0.77895000000000003"/>
    <m/>
    <x v="4"/>
    <x v="0"/>
    <x v="0"/>
    <x v="2"/>
    <x v="0"/>
  </r>
  <r>
    <s v="Singapore"/>
    <x v="0"/>
    <s v="SG1"/>
    <m/>
    <x v="0"/>
    <x v="4"/>
    <x v="2"/>
    <x v="3"/>
    <x v="0"/>
    <x v="0"/>
    <x v="0"/>
    <m/>
    <x v="0"/>
    <x v="0"/>
    <n v="-4.6737000000000001E-2"/>
    <m/>
    <x v="0"/>
    <x v="2"/>
    <x v="0"/>
    <x v="5"/>
    <x v="0"/>
  </r>
  <r>
    <s v="Singapore"/>
    <x v="4"/>
    <s v="SG4"/>
    <m/>
    <x v="2"/>
    <x v="4"/>
    <x v="0"/>
    <x v="5"/>
    <x v="0"/>
    <x v="0"/>
    <x v="0"/>
    <m/>
    <x v="0"/>
    <x v="0"/>
    <n v="26.328510000000001"/>
    <m/>
    <x v="5"/>
    <x v="2"/>
    <x v="0"/>
    <x v="5"/>
    <x v="0"/>
  </r>
  <r>
    <s v="Singapore"/>
    <x v="5"/>
    <s v="SG1"/>
    <m/>
    <x v="1"/>
    <x v="1"/>
    <x v="4"/>
    <x v="5"/>
    <x v="0"/>
    <x v="0"/>
    <x v="0"/>
    <m/>
    <x v="0"/>
    <x v="0"/>
    <n v="7.0105500000000001E-2"/>
    <m/>
    <x v="1"/>
    <x v="2"/>
    <x v="0"/>
    <x v="2"/>
    <x v="0"/>
  </r>
  <r>
    <s v="Singapore"/>
    <x v="1"/>
    <s v="SG1"/>
    <m/>
    <x v="5"/>
    <x v="3"/>
    <x v="3"/>
    <x v="3"/>
    <x v="0"/>
    <x v="0"/>
    <x v="0"/>
    <m/>
    <x v="0"/>
    <x v="0"/>
    <n v="-7.7895000000000003"/>
    <m/>
    <x v="1"/>
    <x v="2"/>
    <x v="0"/>
    <x v="3"/>
    <x v="0"/>
  </r>
  <r>
    <s v="Singapore"/>
    <x v="2"/>
    <s v="SG1"/>
    <m/>
    <x v="4"/>
    <x v="1"/>
    <x v="4"/>
    <x v="4"/>
    <x v="0"/>
    <x v="0"/>
    <x v="0"/>
    <m/>
    <x v="0"/>
    <x v="0"/>
    <n v="1.0801232280000002"/>
    <m/>
    <x v="1"/>
    <x v="0"/>
    <x v="0"/>
    <x v="2"/>
    <x v="0"/>
  </r>
  <r>
    <s v="Singapore"/>
    <x v="2"/>
    <s v="SG1"/>
    <m/>
    <x v="4"/>
    <x v="1"/>
    <x v="3"/>
    <x v="5"/>
    <x v="0"/>
    <x v="0"/>
    <x v="0"/>
    <m/>
    <x v="0"/>
    <x v="0"/>
    <n v="-0.84126600000000007"/>
    <m/>
    <x v="0"/>
    <x v="1"/>
    <x v="0"/>
    <x v="2"/>
    <x v="0"/>
  </r>
  <r>
    <s v="Singapore"/>
    <x v="1"/>
    <s v="SG2"/>
    <m/>
    <x v="2"/>
    <x v="2"/>
    <x v="3"/>
    <x v="1"/>
    <x v="0"/>
    <x v="0"/>
    <x v="0"/>
    <m/>
    <x v="0"/>
    <x v="0"/>
    <n v="0.24926400000000001"/>
    <m/>
    <x v="0"/>
    <x v="1"/>
    <x v="0"/>
    <x v="1"/>
    <x v="1"/>
  </r>
  <r>
    <s v="Singapore"/>
    <x v="4"/>
    <s v="SG3"/>
    <m/>
    <x v="0"/>
    <x v="3"/>
    <x v="3"/>
    <x v="2"/>
    <x v="0"/>
    <x v="0"/>
    <x v="0"/>
    <m/>
    <x v="0"/>
    <x v="0"/>
    <n v="-1.121688"/>
    <m/>
    <x v="3"/>
    <x v="0"/>
    <x v="0"/>
    <x v="1"/>
    <x v="1"/>
  </r>
  <r>
    <s v="Singapore"/>
    <x v="1"/>
    <s v="SG2"/>
    <m/>
    <x v="5"/>
    <x v="1"/>
    <x v="0"/>
    <x v="3"/>
    <x v="0"/>
    <x v="0"/>
    <x v="0"/>
    <m/>
    <x v="0"/>
    <x v="0"/>
    <n v="-4.6737000000000001E-2"/>
    <m/>
    <x v="0"/>
    <x v="1"/>
    <x v="0"/>
    <x v="2"/>
    <x v="0"/>
  </r>
  <r>
    <s v="Singapore"/>
    <x v="2"/>
    <s v="SG2"/>
    <m/>
    <x v="4"/>
    <x v="3"/>
    <x v="3"/>
    <x v="0"/>
    <x v="0"/>
    <x v="0"/>
    <x v="0"/>
    <m/>
    <x v="0"/>
    <x v="0"/>
    <n v="-17.29269"/>
    <m/>
    <x v="2"/>
    <x v="3"/>
    <x v="0"/>
    <x v="1"/>
    <x v="0"/>
  </r>
  <r>
    <s v="Singapore"/>
    <x v="0"/>
    <s v="SG3"/>
    <m/>
    <x v="3"/>
    <x v="1"/>
    <x v="2"/>
    <x v="0"/>
    <x v="0"/>
    <x v="0"/>
    <x v="0"/>
    <m/>
    <x v="0"/>
    <x v="0"/>
    <n v="-1.959978411"/>
    <m/>
    <x v="4"/>
    <x v="3"/>
    <x v="0"/>
    <x v="1"/>
    <x v="2"/>
  </r>
  <r>
    <s v="Singapore"/>
    <x v="5"/>
    <s v="SG1"/>
    <m/>
    <x v="2"/>
    <x v="2"/>
    <x v="4"/>
    <x v="0"/>
    <x v="0"/>
    <x v="0"/>
    <x v="0"/>
    <m/>
    <x v="0"/>
    <x v="0"/>
    <n v="-0.15579000000000001"/>
    <m/>
    <x v="0"/>
    <x v="1"/>
    <x v="0"/>
    <x v="5"/>
    <x v="2"/>
  </r>
  <r>
    <s v="Singapore"/>
    <x v="3"/>
    <s v="SG3"/>
    <m/>
    <x v="4"/>
    <x v="4"/>
    <x v="3"/>
    <x v="0"/>
    <x v="0"/>
    <x v="0"/>
    <x v="0"/>
    <m/>
    <x v="0"/>
    <x v="0"/>
    <n v="-23.555448000000002"/>
    <m/>
    <x v="2"/>
    <x v="1"/>
    <x v="0"/>
    <x v="5"/>
    <x v="2"/>
  </r>
  <r>
    <s v="Singapore"/>
    <x v="0"/>
    <s v="SG1"/>
    <m/>
    <x v="2"/>
    <x v="0"/>
    <x v="4"/>
    <x v="3"/>
    <x v="0"/>
    <x v="0"/>
    <x v="0"/>
    <m/>
    <x v="0"/>
    <x v="0"/>
    <n v="0.38947500000000002"/>
    <m/>
    <x v="1"/>
    <x v="3"/>
    <x v="0"/>
    <x v="0"/>
    <x v="0"/>
  </r>
  <r>
    <s v="Singapore"/>
    <x v="3"/>
    <s v="SG1"/>
    <m/>
    <x v="1"/>
    <x v="1"/>
    <x v="4"/>
    <x v="2"/>
    <x v="0"/>
    <x v="0"/>
    <x v="0"/>
    <m/>
    <x v="0"/>
    <x v="0"/>
    <n v="-17.261532000000003"/>
    <m/>
    <x v="2"/>
    <x v="2"/>
    <x v="0"/>
    <x v="1"/>
    <x v="1"/>
  </r>
  <r>
    <s v="Singapore"/>
    <x v="3"/>
    <s v="SG2"/>
    <m/>
    <x v="2"/>
    <x v="3"/>
    <x v="2"/>
    <x v="1"/>
    <x v="0"/>
    <x v="0"/>
    <x v="0"/>
    <m/>
    <x v="0"/>
    <x v="0"/>
    <n v="30.724124850000003"/>
    <m/>
    <x v="7"/>
    <x v="0"/>
    <x v="0"/>
    <x v="0"/>
    <x v="1"/>
  </r>
  <r>
    <s v="Singapore"/>
    <x v="2"/>
    <s v="SG1"/>
    <m/>
    <x v="4"/>
    <x v="0"/>
    <x v="0"/>
    <x v="4"/>
    <x v="0"/>
    <x v="0"/>
    <x v="0"/>
    <m/>
    <x v="0"/>
    <x v="0"/>
    <n v="-0.38947500000000002"/>
    <m/>
    <x v="4"/>
    <x v="2"/>
    <x v="0"/>
    <x v="0"/>
    <x v="0"/>
  </r>
  <r>
    <s v="Singapore"/>
    <x v="2"/>
    <s v="SG4"/>
    <m/>
    <x v="1"/>
    <x v="3"/>
    <x v="3"/>
    <x v="0"/>
    <x v="0"/>
    <x v="0"/>
    <x v="0"/>
    <m/>
    <x v="0"/>
    <x v="0"/>
    <n v="-5.3747550000000004"/>
    <m/>
    <x v="1"/>
    <x v="0"/>
    <x v="0"/>
    <x v="3"/>
    <x v="2"/>
  </r>
  <r>
    <s v="Singapore"/>
    <x v="0"/>
    <s v="SG2"/>
    <m/>
    <x v="5"/>
    <x v="2"/>
    <x v="2"/>
    <x v="4"/>
    <x v="0"/>
    <x v="0"/>
    <x v="0"/>
    <m/>
    <x v="0"/>
    <x v="0"/>
    <n v="-2.8042200000000003E-2"/>
    <m/>
    <x v="3"/>
    <x v="2"/>
    <x v="0"/>
    <x v="4"/>
    <x v="1"/>
  </r>
  <r>
    <s v="Singapore"/>
    <x v="5"/>
    <s v="SG4"/>
    <m/>
    <x v="4"/>
    <x v="1"/>
    <x v="2"/>
    <x v="3"/>
    <x v="0"/>
    <x v="0"/>
    <x v="0"/>
    <m/>
    <x v="0"/>
    <x v="0"/>
    <n v="-0.10905300000000001"/>
    <m/>
    <x v="4"/>
    <x v="2"/>
    <x v="0"/>
    <x v="1"/>
    <x v="1"/>
  </r>
  <r>
    <s v="Singapore"/>
    <x v="3"/>
    <s v="SG1"/>
    <m/>
    <x v="4"/>
    <x v="4"/>
    <x v="0"/>
    <x v="2"/>
    <x v="0"/>
    <x v="0"/>
    <x v="0"/>
    <m/>
    <x v="0"/>
    <x v="0"/>
    <n v="2.8556307000000003"/>
    <m/>
    <x v="1"/>
    <x v="2"/>
    <x v="0"/>
    <x v="0"/>
    <x v="2"/>
  </r>
  <r>
    <s v="Singapore"/>
    <x v="5"/>
    <s v="SG1"/>
    <m/>
    <x v="3"/>
    <x v="3"/>
    <x v="0"/>
    <x v="5"/>
    <x v="0"/>
    <x v="0"/>
    <x v="0"/>
    <m/>
    <x v="0"/>
    <x v="0"/>
    <n v="-0.46737000000000001"/>
    <m/>
    <x v="4"/>
    <x v="0"/>
    <x v="0"/>
    <x v="0"/>
    <x v="1"/>
  </r>
  <r>
    <s v="Singapore"/>
    <x v="1"/>
    <s v="SG4"/>
    <m/>
    <x v="3"/>
    <x v="2"/>
    <x v="1"/>
    <x v="2"/>
    <x v="0"/>
    <x v="0"/>
    <x v="0"/>
    <m/>
    <x v="0"/>
    <x v="0"/>
    <n v="-0.46737000000000001"/>
    <m/>
    <x v="4"/>
    <x v="0"/>
    <x v="0"/>
    <x v="3"/>
    <x v="0"/>
  </r>
  <r>
    <s v="Singapore"/>
    <x v="1"/>
    <s v="SG3"/>
    <m/>
    <x v="5"/>
    <x v="3"/>
    <x v="4"/>
    <x v="2"/>
    <x v="0"/>
    <x v="0"/>
    <x v="0"/>
    <m/>
    <x v="0"/>
    <x v="0"/>
    <n v="2.243376"/>
    <m/>
    <x v="1"/>
    <x v="2"/>
    <x v="0"/>
    <x v="0"/>
    <x v="0"/>
  </r>
  <r>
    <s v="Singapore"/>
    <x v="0"/>
    <s v="SG4"/>
    <m/>
    <x v="2"/>
    <x v="4"/>
    <x v="2"/>
    <x v="0"/>
    <x v="0"/>
    <x v="0"/>
    <x v="0"/>
    <m/>
    <x v="0"/>
    <x v="0"/>
    <n v="-14.021100000000001"/>
    <m/>
    <x v="7"/>
    <x v="0"/>
    <x v="0"/>
    <x v="4"/>
    <x v="1"/>
  </r>
  <r>
    <s v="Singapore"/>
    <x v="4"/>
    <s v="SG3"/>
    <m/>
    <x v="1"/>
    <x v="3"/>
    <x v="4"/>
    <x v="5"/>
    <x v="0"/>
    <x v="0"/>
    <x v="0"/>
    <m/>
    <x v="0"/>
    <x v="0"/>
    <n v="4.2063300000000005E-2"/>
    <m/>
    <x v="5"/>
    <x v="2"/>
    <x v="0"/>
    <x v="1"/>
    <x v="0"/>
  </r>
  <r>
    <s v="Singapore"/>
    <x v="3"/>
    <s v="SG4"/>
    <m/>
    <x v="0"/>
    <x v="3"/>
    <x v="0"/>
    <x v="4"/>
    <x v="0"/>
    <x v="0"/>
    <x v="0"/>
    <m/>
    <x v="0"/>
    <x v="0"/>
    <n v="1.3008465"/>
    <m/>
    <x v="1"/>
    <x v="1"/>
    <x v="0"/>
    <x v="1"/>
    <x v="2"/>
  </r>
  <r>
    <s v="Singapore"/>
    <x v="0"/>
    <s v="SG1"/>
    <m/>
    <x v="4"/>
    <x v="1"/>
    <x v="4"/>
    <x v="0"/>
    <x v="0"/>
    <x v="0"/>
    <x v="0"/>
    <m/>
    <x v="0"/>
    <x v="0"/>
    <n v="-0.52967042100000006"/>
    <m/>
    <x v="0"/>
    <x v="3"/>
    <x v="0"/>
    <x v="4"/>
    <x v="0"/>
  </r>
  <r>
    <s v="Singapore"/>
    <x v="0"/>
    <s v="SG4"/>
    <m/>
    <x v="1"/>
    <x v="1"/>
    <x v="0"/>
    <x v="3"/>
    <x v="0"/>
    <x v="0"/>
    <x v="0"/>
    <m/>
    <x v="0"/>
    <x v="0"/>
    <n v="-0.17136900000000002"/>
    <m/>
    <x v="8"/>
    <x v="0"/>
    <x v="0"/>
    <x v="0"/>
    <x v="2"/>
  </r>
  <r>
    <s v="Singapore"/>
    <x v="4"/>
    <s v="SG2"/>
    <m/>
    <x v="4"/>
    <x v="4"/>
    <x v="4"/>
    <x v="0"/>
    <x v="0"/>
    <x v="0"/>
    <x v="0"/>
    <m/>
    <x v="0"/>
    <x v="0"/>
    <n v="-0.61306480799999996"/>
    <m/>
    <x v="4"/>
    <x v="2"/>
    <x v="0"/>
    <x v="5"/>
    <x v="1"/>
  </r>
  <r>
    <s v="Singapore"/>
    <x v="2"/>
    <s v="SG4"/>
    <m/>
    <x v="5"/>
    <x v="2"/>
    <x v="3"/>
    <x v="2"/>
    <x v="0"/>
    <x v="0"/>
    <x v="0"/>
    <m/>
    <x v="0"/>
    <x v="0"/>
    <n v="2.96001"/>
    <m/>
    <x v="1"/>
    <x v="2"/>
    <x v="0"/>
    <x v="2"/>
    <x v="0"/>
  </r>
  <r>
    <s v="Singapore"/>
    <x v="3"/>
    <s v="SG2"/>
    <m/>
    <x v="4"/>
    <x v="4"/>
    <x v="4"/>
    <x v="5"/>
    <x v="0"/>
    <x v="0"/>
    <x v="0"/>
    <m/>
    <x v="0"/>
    <x v="0"/>
    <n v="-4.6737000000000001E-2"/>
    <m/>
    <x v="0"/>
    <x v="1"/>
    <x v="0"/>
    <x v="5"/>
    <x v="1"/>
  </r>
  <r>
    <s v="Singapore"/>
    <x v="0"/>
    <s v="SG4"/>
    <m/>
    <x v="4"/>
    <x v="0"/>
    <x v="4"/>
    <x v="5"/>
    <x v="0"/>
    <x v="0"/>
    <x v="0"/>
    <m/>
    <x v="0"/>
    <x v="0"/>
    <n v="-1.09053"/>
    <m/>
    <x v="3"/>
    <x v="0"/>
    <x v="0"/>
    <x v="1"/>
    <x v="2"/>
  </r>
  <r>
    <s v="Singapore"/>
    <x v="3"/>
    <s v="SG1"/>
    <m/>
    <x v="1"/>
    <x v="1"/>
    <x v="3"/>
    <x v="3"/>
    <x v="0"/>
    <x v="0"/>
    <x v="0"/>
    <m/>
    <x v="0"/>
    <x v="0"/>
    <n v="-0.12463200000000001"/>
    <m/>
    <x v="0"/>
    <x v="1"/>
    <x v="0"/>
    <x v="2"/>
    <x v="2"/>
  </r>
  <r>
    <s v="Singapore"/>
    <x v="5"/>
    <s v="SG4"/>
    <m/>
    <x v="0"/>
    <x v="2"/>
    <x v="4"/>
    <x v="5"/>
    <x v="0"/>
    <x v="0"/>
    <x v="0"/>
    <m/>
    <x v="0"/>
    <x v="0"/>
    <n v="-0.12463200000000001"/>
    <m/>
    <x v="0"/>
    <x v="3"/>
    <x v="0"/>
    <x v="1"/>
    <x v="1"/>
  </r>
  <r>
    <s v="Singapore"/>
    <x v="1"/>
    <s v="SG4"/>
    <m/>
    <x v="3"/>
    <x v="3"/>
    <x v="4"/>
    <x v="2"/>
    <x v="0"/>
    <x v="0"/>
    <x v="0"/>
    <m/>
    <x v="0"/>
    <x v="0"/>
    <n v="-0.31158000000000002"/>
    <m/>
    <x v="0"/>
    <x v="3"/>
    <x v="0"/>
    <x v="2"/>
    <x v="0"/>
  </r>
  <r>
    <s v="Singapore"/>
    <x v="0"/>
    <s v="SG1"/>
    <m/>
    <x v="3"/>
    <x v="3"/>
    <x v="0"/>
    <x v="5"/>
    <x v="0"/>
    <x v="0"/>
    <x v="0"/>
    <m/>
    <x v="0"/>
    <x v="0"/>
    <n v="-0.14955840000000001"/>
    <m/>
    <x v="3"/>
    <x v="3"/>
    <x v="0"/>
    <x v="5"/>
    <x v="0"/>
  </r>
  <r>
    <s v="Singapore"/>
    <x v="5"/>
    <s v="SG1"/>
    <m/>
    <x v="3"/>
    <x v="4"/>
    <x v="4"/>
    <x v="2"/>
    <x v="0"/>
    <x v="0"/>
    <x v="0"/>
    <m/>
    <x v="0"/>
    <x v="0"/>
    <n v="-6.0913890000000004"/>
    <m/>
    <x v="1"/>
    <x v="3"/>
    <x v="0"/>
    <x v="4"/>
    <x v="2"/>
  </r>
  <r>
    <s v="Singapore"/>
    <x v="2"/>
    <s v="SG3"/>
    <m/>
    <x v="3"/>
    <x v="4"/>
    <x v="2"/>
    <x v="5"/>
    <x v="0"/>
    <x v="0"/>
    <x v="0"/>
    <m/>
    <x v="0"/>
    <x v="0"/>
    <n v="-0.77895000000000003"/>
    <m/>
    <x v="4"/>
    <x v="3"/>
    <x v="0"/>
    <x v="3"/>
    <x v="2"/>
  </r>
  <r>
    <s v="Singapore"/>
    <x v="0"/>
    <s v="SG3"/>
    <m/>
    <x v="2"/>
    <x v="0"/>
    <x v="3"/>
    <x v="2"/>
    <x v="0"/>
    <x v="0"/>
    <x v="0"/>
    <m/>
    <x v="0"/>
    <x v="0"/>
    <n v="-2.3368500000000001"/>
    <m/>
    <x v="4"/>
    <x v="2"/>
    <x v="0"/>
    <x v="4"/>
    <x v="1"/>
  </r>
  <r>
    <s v="Singapore"/>
    <x v="2"/>
    <s v="SG2"/>
    <m/>
    <x v="5"/>
    <x v="3"/>
    <x v="1"/>
    <x v="0"/>
    <x v="0"/>
    <x v="0"/>
    <x v="0"/>
    <m/>
    <x v="0"/>
    <x v="0"/>
    <n v="20.277797769000003"/>
    <m/>
    <x v="7"/>
    <x v="1"/>
    <x v="0"/>
    <x v="1"/>
    <x v="2"/>
  </r>
  <r>
    <s v="Singapore"/>
    <x v="3"/>
    <s v="SG2"/>
    <m/>
    <x v="5"/>
    <x v="3"/>
    <x v="1"/>
    <x v="3"/>
    <x v="0"/>
    <x v="0"/>
    <x v="0"/>
    <m/>
    <x v="0"/>
    <x v="0"/>
    <n v="0.94003685999999997"/>
    <m/>
    <x v="1"/>
    <x v="0"/>
    <x v="0"/>
    <x v="5"/>
    <x v="0"/>
  </r>
  <r>
    <s v="Singapore"/>
    <x v="0"/>
    <s v="SG1"/>
    <m/>
    <x v="3"/>
    <x v="0"/>
    <x v="1"/>
    <x v="2"/>
    <x v="0"/>
    <x v="0"/>
    <x v="0"/>
    <m/>
    <x v="0"/>
    <x v="0"/>
    <n v="-0.61322059800000006"/>
    <m/>
    <x v="4"/>
    <x v="0"/>
    <x v="0"/>
    <x v="4"/>
    <x v="2"/>
  </r>
  <r>
    <s v="Singapore"/>
    <x v="2"/>
    <s v="SG1"/>
    <m/>
    <x v="5"/>
    <x v="0"/>
    <x v="4"/>
    <x v="2"/>
    <x v="0"/>
    <x v="0"/>
    <x v="0"/>
    <m/>
    <x v="0"/>
    <x v="0"/>
    <n v="9.3474000000000002E-2"/>
    <m/>
    <x v="8"/>
    <x v="3"/>
    <x v="0"/>
    <x v="3"/>
    <x v="0"/>
  </r>
  <r>
    <s v="Singapore"/>
    <x v="3"/>
    <s v="SG2"/>
    <m/>
    <x v="4"/>
    <x v="3"/>
    <x v="2"/>
    <x v="1"/>
    <x v="0"/>
    <x v="0"/>
    <x v="0"/>
    <m/>
    <x v="0"/>
    <x v="0"/>
    <n v="-7.7895000000000004E-4"/>
    <m/>
    <x v="6"/>
    <x v="1"/>
    <x v="0"/>
    <x v="5"/>
    <x v="2"/>
  </r>
  <r>
    <s v="Singapore"/>
    <x v="5"/>
    <s v="SG2"/>
    <m/>
    <x v="5"/>
    <x v="1"/>
    <x v="1"/>
    <x v="3"/>
    <x v="0"/>
    <x v="0"/>
    <x v="0"/>
    <m/>
    <x v="0"/>
    <x v="0"/>
    <n v="-0.82880280000000006"/>
    <m/>
    <x v="3"/>
    <x v="1"/>
    <x v="0"/>
    <x v="5"/>
    <x v="2"/>
  </r>
  <r>
    <s v="Singapore"/>
    <x v="2"/>
    <s v="SG3"/>
    <m/>
    <x v="3"/>
    <x v="3"/>
    <x v="0"/>
    <x v="0"/>
    <x v="0"/>
    <x v="0"/>
    <x v="0"/>
    <m/>
    <x v="0"/>
    <x v="0"/>
    <n v="2.6484300000000003"/>
    <m/>
    <x v="1"/>
    <x v="0"/>
    <x v="0"/>
    <x v="4"/>
    <x v="0"/>
  </r>
  <r>
    <s v="Singapore"/>
    <x v="0"/>
    <s v="SG4"/>
    <m/>
    <x v="1"/>
    <x v="1"/>
    <x v="4"/>
    <x v="1"/>
    <x v="0"/>
    <x v="0"/>
    <x v="0"/>
    <m/>
    <x v="0"/>
    <x v="0"/>
    <n v="0.17136900000000002"/>
    <m/>
    <x v="1"/>
    <x v="2"/>
    <x v="0"/>
    <x v="1"/>
    <x v="1"/>
  </r>
  <r>
    <s v="Singapore"/>
    <x v="0"/>
    <s v="SG3"/>
    <m/>
    <x v="3"/>
    <x v="0"/>
    <x v="0"/>
    <x v="1"/>
    <x v="0"/>
    <x v="0"/>
    <x v="0"/>
    <m/>
    <x v="0"/>
    <x v="0"/>
    <n v="-0.42063300000000003"/>
    <m/>
    <x v="4"/>
    <x v="0"/>
    <x v="0"/>
    <x v="2"/>
    <x v="0"/>
  </r>
  <r>
    <s v="Singapore"/>
    <x v="0"/>
    <s v="SG3"/>
    <m/>
    <x v="2"/>
    <x v="4"/>
    <x v="1"/>
    <x v="2"/>
    <x v="0"/>
    <x v="0"/>
    <x v="0"/>
    <m/>
    <x v="0"/>
    <x v="0"/>
    <n v="-0.545265"/>
    <m/>
    <x v="4"/>
    <x v="1"/>
    <x v="0"/>
    <x v="5"/>
    <x v="2"/>
  </r>
  <r>
    <s v="Singapore"/>
    <x v="3"/>
    <s v="SG3"/>
    <m/>
    <x v="4"/>
    <x v="0"/>
    <x v="3"/>
    <x v="2"/>
    <x v="0"/>
    <x v="0"/>
    <x v="0"/>
    <m/>
    <x v="0"/>
    <x v="0"/>
    <n v="0.17136900000000002"/>
    <m/>
    <x v="8"/>
    <x v="2"/>
    <x v="0"/>
    <x v="5"/>
    <x v="0"/>
  </r>
  <r>
    <s v="Singapore"/>
    <x v="2"/>
    <s v="SG1"/>
    <m/>
    <x v="3"/>
    <x v="3"/>
    <x v="2"/>
    <x v="4"/>
    <x v="0"/>
    <x v="0"/>
    <x v="0"/>
    <m/>
    <x v="0"/>
    <x v="0"/>
    <n v="-4.3512146999999999"/>
    <m/>
    <x v="4"/>
    <x v="1"/>
    <x v="0"/>
    <x v="3"/>
    <x v="2"/>
  </r>
  <r>
    <s v="Singapore"/>
    <x v="1"/>
    <s v="SG1"/>
    <m/>
    <x v="3"/>
    <x v="1"/>
    <x v="0"/>
    <x v="5"/>
    <x v="0"/>
    <x v="0"/>
    <x v="0"/>
    <m/>
    <x v="0"/>
    <x v="0"/>
    <n v="-0.1324215"/>
    <m/>
    <x v="4"/>
    <x v="3"/>
    <x v="0"/>
    <x v="5"/>
    <x v="2"/>
  </r>
  <r>
    <s v="Singapore"/>
    <x v="5"/>
    <s v="SG4"/>
    <m/>
    <x v="1"/>
    <x v="3"/>
    <x v="4"/>
    <x v="4"/>
    <x v="0"/>
    <x v="0"/>
    <x v="0"/>
    <m/>
    <x v="0"/>
    <x v="0"/>
    <n v="-0.12463200000000001"/>
    <m/>
    <x v="4"/>
    <x v="2"/>
    <x v="0"/>
    <x v="0"/>
    <x v="2"/>
  </r>
  <r>
    <s v="Singapore"/>
    <x v="4"/>
    <s v="SG1"/>
    <m/>
    <x v="3"/>
    <x v="2"/>
    <x v="1"/>
    <x v="4"/>
    <x v="0"/>
    <x v="0"/>
    <x v="0"/>
    <m/>
    <x v="0"/>
    <x v="0"/>
    <n v="26.575421571000003"/>
    <m/>
    <x v="5"/>
    <x v="3"/>
    <x v="0"/>
    <x v="2"/>
    <x v="2"/>
  </r>
  <r>
    <s v="Singapore"/>
    <x v="2"/>
    <s v="SG2"/>
    <m/>
    <x v="1"/>
    <x v="4"/>
    <x v="1"/>
    <x v="0"/>
    <x v="0"/>
    <x v="0"/>
    <x v="0"/>
    <m/>
    <x v="0"/>
    <x v="0"/>
    <n v="-0.46737000000000001"/>
    <m/>
    <x v="4"/>
    <x v="1"/>
    <x v="0"/>
    <x v="1"/>
    <x v="2"/>
  </r>
  <r>
    <s v="Singapore"/>
    <x v="1"/>
    <s v="SG2"/>
    <m/>
    <x v="4"/>
    <x v="3"/>
    <x v="3"/>
    <x v="0"/>
    <x v="0"/>
    <x v="0"/>
    <x v="0"/>
    <m/>
    <x v="0"/>
    <x v="0"/>
    <n v="-1.5579000000000001E-2"/>
    <m/>
    <x v="0"/>
    <x v="2"/>
    <x v="0"/>
    <x v="1"/>
    <x v="0"/>
  </r>
  <r>
    <s v="Singapore"/>
    <x v="3"/>
    <s v="SG3"/>
    <m/>
    <x v="3"/>
    <x v="4"/>
    <x v="3"/>
    <x v="4"/>
    <x v="0"/>
    <x v="0"/>
    <x v="0"/>
    <m/>
    <x v="0"/>
    <x v="0"/>
    <n v="0.1822743"/>
    <m/>
    <x v="2"/>
    <x v="1"/>
    <x v="0"/>
    <x v="4"/>
    <x v="1"/>
  </r>
  <r>
    <s v="Singapore"/>
    <x v="3"/>
    <s v="SG4"/>
    <m/>
    <x v="0"/>
    <x v="0"/>
    <x v="3"/>
    <x v="0"/>
    <x v="0"/>
    <x v="0"/>
    <x v="0"/>
    <m/>
    <x v="0"/>
    <x v="0"/>
    <n v="-0.77895000000000003"/>
    <m/>
    <x v="0"/>
    <x v="3"/>
    <x v="0"/>
    <x v="3"/>
    <x v="2"/>
  </r>
  <r>
    <s v="Singapore"/>
    <x v="3"/>
    <s v="SG3"/>
    <m/>
    <x v="3"/>
    <x v="0"/>
    <x v="4"/>
    <x v="3"/>
    <x v="0"/>
    <x v="0"/>
    <x v="0"/>
    <m/>
    <x v="0"/>
    <x v="0"/>
    <n v="-4.6737000000000001E-2"/>
    <m/>
    <x v="0"/>
    <x v="3"/>
    <x v="0"/>
    <x v="5"/>
    <x v="2"/>
  </r>
  <r>
    <s v="Singapore"/>
    <x v="0"/>
    <s v="SG2"/>
    <m/>
    <x v="5"/>
    <x v="0"/>
    <x v="3"/>
    <x v="5"/>
    <x v="0"/>
    <x v="0"/>
    <x v="0"/>
    <m/>
    <x v="0"/>
    <x v="0"/>
    <n v="-2.3368500000000001"/>
    <m/>
    <x v="4"/>
    <x v="0"/>
    <x v="0"/>
    <x v="2"/>
    <x v="0"/>
  </r>
  <r>
    <s v="Singapore"/>
    <x v="4"/>
    <s v="SG4"/>
    <m/>
    <x v="3"/>
    <x v="2"/>
    <x v="2"/>
    <x v="0"/>
    <x v="0"/>
    <x v="0"/>
    <x v="0"/>
    <m/>
    <x v="0"/>
    <x v="0"/>
    <n v="-0.92227680000000001"/>
    <m/>
    <x v="4"/>
    <x v="2"/>
    <x v="0"/>
    <x v="5"/>
    <x v="1"/>
  </r>
  <r>
    <s v="Singapore"/>
    <x v="5"/>
    <s v="SG1"/>
    <m/>
    <x v="0"/>
    <x v="0"/>
    <x v="4"/>
    <x v="3"/>
    <x v="0"/>
    <x v="0"/>
    <x v="0"/>
    <m/>
    <x v="0"/>
    <x v="0"/>
    <n v="-7.7895000000000006E-2"/>
    <m/>
    <x v="4"/>
    <x v="2"/>
    <x v="0"/>
    <x v="5"/>
    <x v="0"/>
  </r>
  <r>
    <s v="Singapore"/>
    <x v="4"/>
    <s v="SG1"/>
    <m/>
    <x v="5"/>
    <x v="0"/>
    <x v="4"/>
    <x v="1"/>
    <x v="0"/>
    <x v="0"/>
    <x v="0"/>
    <m/>
    <x v="0"/>
    <x v="0"/>
    <n v="-0.77895000000000003"/>
    <m/>
    <x v="4"/>
    <x v="1"/>
    <x v="0"/>
    <x v="3"/>
    <x v="2"/>
  </r>
  <r>
    <s v="Singapore"/>
    <x v="5"/>
    <s v="SG1"/>
    <m/>
    <x v="2"/>
    <x v="0"/>
    <x v="0"/>
    <x v="0"/>
    <x v="0"/>
    <x v="0"/>
    <x v="0"/>
    <m/>
    <x v="0"/>
    <x v="0"/>
    <n v="-3.1158000000000002E-2"/>
    <m/>
    <x v="0"/>
    <x v="2"/>
    <x v="0"/>
    <x v="2"/>
    <x v="2"/>
  </r>
  <r>
    <s v="Singapore"/>
    <x v="0"/>
    <s v="SG1"/>
    <m/>
    <x v="5"/>
    <x v="2"/>
    <x v="3"/>
    <x v="4"/>
    <x v="0"/>
    <x v="0"/>
    <x v="0"/>
    <m/>
    <x v="0"/>
    <x v="0"/>
    <n v="-52.968600000000002"/>
    <m/>
    <x v="7"/>
    <x v="1"/>
    <x v="0"/>
    <x v="4"/>
    <x v="2"/>
  </r>
  <r>
    <s v="Singapore"/>
    <x v="5"/>
    <s v="SG1"/>
    <m/>
    <x v="2"/>
    <x v="4"/>
    <x v="2"/>
    <x v="5"/>
    <x v="0"/>
    <x v="0"/>
    <x v="0"/>
    <m/>
    <x v="0"/>
    <x v="0"/>
    <n v="2.3368500000000001"/>
    <m/>
    <x v="6"/>
    <x v="3"/>
    <x v="0"/>
    <x v="3"/>
    <x v="0"/>
  </r>
  <r>
    <s v="Singapore"/>
    <x v="4"/>
    <s v="SG4"/>
    <m/>
    <x v="4"/>
    <x v="2"/>
    <x v="2"/>
    <x v="2"/>
    <x v="0"/>
    <x v="0"/>
    <x v="0"/>
    <m/>
    <x v="0"/>
    <x v="0"/>
    <n v="-0.1838322"/>
    <m/>
    <x v="4"/>
    <x v="0"/>
    <x v="0"/>
    <x v="0"/>
    <x v="1"/>
  </r>
  <r>
    <s v="Singapore"/>
    <x v="2"/>
    <s v="SG3"/>
    <m/>
    <x v="4"/>
    <x v="1"/>
    <x v="4"/>
    <x v="0"/>
    <x v="0"/>
    <x v="0"/>
    <x v="0"/>
    <m/>
    <x v="0"/>
    <x v="0"/>
    <n v="-0.233685"/>
    <m/>
    <x v="0"/>
    <x v="1"/>
    <x v="0"/>
    <x v="5"/>
    <x v="2"/>
  </r>
  <r>
    <s v="Singapore"/>
    <x v="3"/>
    <s v="SG3"/>
    <m/>
    <x v="0"/>
    <x v="2"/>
    <x v="1"/>
    <x v="5"/>
    <x v="0"/>
    <x v="0"/>
    <x v="0"/>
    <m/>
    <x v="0"/>
    <x v="0"/>
    <n v="0.20252700000000001"/>
    <m/>
    <x v="1"/>
    <x v="3"/>
    <x v="0"/>
    <x v="4"/>
    <x v="0"/>
  </r>
  <r>
    <s v="Singapore"/>
    <x v="3"/>
    <s v="SG2"/>
    <m/>
    <x v="1"/>
    <x v="0"/>
    <x v="4"/>
    <x v="2"/>
    <x v="0"/>
    <x v="0"/>
    <x v="0"/>
    <m/>
    <x v="0"/>
    <x v="0"/>
    <n v="-1.2208483350000001"/>
    <m/>
    <x v="1"/>
    <x v="1"/>
    <x v="0"/>
    <x v="1"/>
    <x v="1"/>
  </r>
  <r>
    <s v="Singapore"/>
    <x v="0"/>
    <s v="SG4"/>
    <m/>
    <x v="1"/>
    <x v="4"/>
    <x v="1"/>
    <x v="2"/>
    <x v="0"/>
    <x v="0"/>
    <x v="0"/>
    <m/>
    <x v="0"/>
    <x v="0"/>
    <n v="-4.6737000000000001E-2"/>
    <m/>
    <x v="0"/>
    <x v="1"/>
    <x v="0"/>
    <x v="1"/>
    <x v="0"/>
  </r>
  <r>
    <s v="Singapore"/>
    <x v="1"/>
    <s v="SG2"/>
    <m/>
    <x v="2"/>
    <x v="0"/>
    <x v="1"/>
    <x v="3"/>
    <x v="0"/>
    <x v="0"/>
    <x v="0"/>
    <m/>
    <x v="0"/>
    <x v="0"/>
    <n v="-7.7895000000000004E-3"/>
    <m/>
    <x v="0"/>
    <x v="0"/>
    <x v="0"/>
    <x v="3"/>
    <x v="1"/>
  </r>
  <r>
    <s v="Singapore"/>
    <x v="0"/>
    <s v="SG3"/>
    <m/>
    <x v="4"/>
    <x v="2"/>
    <x v="4"/>
    <x v="4"/>
    <x v="0"/>
    <x v="0"/>
    <x v="0"/>
    <m/>
    <x v="0"/>
    <x v="0"/>
    <n v="-0.15579000000000001"/>
    <m/>
    <x v="0"/>
    <x v="0"/>
    <x v="0"/>
    <x v="1"/>
    <x v="0"/>
  </r>
  <r>
    <s v="Singapore"/>
    <x v="2"/>
    <s v="SG1"/>
    <m/>
    <x v="0"/>
    <x v="2"/>
    <x v="2"/>
    <x v="1"/>
    <x v="0"/>
    <x v="0"/>
    <x v="0"/>
    <m/>
    <x v="0"/>
    <x v="0"/>
    <n v="0.46737000000000001"/>
    <m/>
    <x v="8"/>
    <x v="1"/>
    <x v="0"/>
    <x v="1"/>
    <x v="2"/>
  </r>
  <r>
    <s v="Singapore"/>
    <x v="4"/>
    <s v="SG4"/>
    <m/>
    <x v="3"/>
    <x v="3"/>
    <x v="3"/>
    <x v="1"/>
    <x v="0"/>
    <x v="0"/>
    <x v="0"/>
    <m/>
    <x v="0"/>
    <x v="0"/>
    <n v="-0.15579000000000001"/>
    <m/>
    <x v="0"/>
    <x v="3"/>
    <x v="0"/>
    <x v="2"/>
    <x v="1"/>
  </r>
  <r>
    <s v="Singapore"/>
    <x v="2"/>
    <s v="SG2"/>
    <m/>
    <x v="1"/>
    <x v="4"/>
    <x v="2"/>
    <x v="2"/>
    <x v="0"/>
    <x v="0"/>
    <x v="0"/>
    <m/>
    <x v="0"/>
    <x v="0"/>
    <n v="-7.7895000000000006E-2"/>
    <m/>
    <x v="0"/>
    <x v="1"/>
    <x v="0"/>
    <x v="1"/>
    <x v="1"/>
  </r>
  <r>
    <s v="Singapore"/>
    <x v="4"/>
    <s v="SG4"/>
    <m/>
    <x v="5"/>
    <x v="2"/>
    <x v="2"/>
    <x v="5"/>
    <x v="0"/>
    <x v="0"/>
    <x v="0"/>
    <m/>
    <x v="0"/>
    <x v="0"/>
    <n v="-0.24926400000000001"/>
    <m/>
    <x v="0"/>
    <x v="1"/>
    <x v="0"/>
    <x v="3"/>
    <x v="0"/>
  </r>
  <r>
    <s v="Singapore"/>
    <x v="0"/>
    <s v="SG2"/>
    <m/>
    <x v="0"/>
    <x v="4"/>
    <x v="1"/>
    <x v="1"/>
    <x v="0"/>
    <x v="0"/>
    <x v="0"/>
    <m/>
    <x v="0"/>
    <x v="0"/>
    <n v="0.1838322"/>
    <m/>
    <x v="4"/>
    <x v="0"/>
    <x v="0"/>
    <x v="4"/>
    <x v="2"/>
  </r>
  <r>
    <s v="Singapore"/>
    <x v="1"/>
    <s v="SG3"/>
    <m/>
    <x v="3"/>
    <x v="1"/>
    <x v="2"/>
    <x v="4"/>
    <x v="0"/>
    <x v="0"/>
    <x v="0"/>
    <m/>
    <x v="0"/>
    <x v="0"/>
    <n v="-6.2316000000000003E-2"/>
    <m/>
    <x v="0"/>
    <x v="1"/>
    <x v="0"/>
    <x v="5"/>
    <x v="0"/>
  </r>
  <r>
    <s v="Singapore"/>
    <x v="3"/>
    <s v="SG1"/>
    <m/>
    <x v="1"/>
    <x v="1"/>
    <x v="3"/>
    <x v="1"/>
    <x v="0"/>
    <x v="0"/>
    <x v="0"/>
    <m/>
    <x v="0"/>
    <x v="0"/>
    <n v="-0.31158000000000002"/>
    <m/>
    <x v="0"/>
    <x v="2"/>
    <x v="0"/>
    <x v="4"/>
    <x v="1"/>
  </r>
  <r>
    <s v="Singapore"/>
    <x v="3"/>
    <s v="SG3"/>
    <m/>
    <x v="0"/>
    <x v="4"/>
    <x v="4"/>
    <x v="3"/>
    <x v="0"/>
    <x v="0"/>
    <x v="0"/>
    <m/>
    <x v="0"/>
    <x v="0"/>
    <n v="-0.17136900000000002"/>
    <m/>
    <x v="0"/>
    <x v="0"/>
    <x v="0"/>
    <x v="4"/>
    <x v="0"/>
  </r>
  <r>
    <s v="Singapore"/>
    <x v="4"/>
    <s v="SG3"/>
    <m/>
    <x v="0"/>
    <x v="0"/>
    <x v="3"/>
    <x v="1"/>
    <x v="0"/>
    <x v="0"/>
    <x v="0"/>
    <m/>
    <x v="0"/>
    <x v="0"/>
    <n v="-0.24926400000000001"/>
    <m/>
    <x v="0"/>
    <x v="1"/>
    <x v="0"/>
    <x v="0"/>
    <x v="0"/>
  </r>
  <r>
    <s v="Singapore"/>
    <x v="5"/>
    <s v="SG3"/>
    <m/>
    <x v="1"/>
    <x v="2"/>
    <x v="3"/>
    <x v="1"/>
    <x v="0"/>
    <x v="0"/>
    <x v="0"/>
    <m/>
    <x v="0"/>
    <x v="0"/>
    <n v="-33.074217000000004"/>
    <m/>
    <x v="2"/>
    <x v="0"/>
    <x v="0"/>
    <x v="3"/>
    <x v="1"/>
  </r>
  <r>
    <s v="Singapore"/>
    <x v="2"/>
    <s v="SG3"/>
    <m/>
    <x v="4"/>
    <x v="4"/>
    <x v="1"/>
    <x v="4"/>
    <x v="0"/>
    <x v="0"/>
    <x v="0"/>
    <m/>
    <x v="0"/>
    <x v="0"/>
    <n v="0.15579000000000001"/>
    <m/>
    <x v="1"/>
    <x v="0"/>
    <x v="0"/>
    <x v="5"/>
    <x v="0"/>
  </r>
  <r>
    <s v="Singapore"/>
    <x v="2"/>
    <s v="SG4"/>
    <m/>
    <x v="0"/>
    <x v="0"/>
    <x v="0"/>
    <x v="2"/>
    <x v="0"/>
    <x v="0"/>
    <x v="0"/>
    <m/>
    <x v="0"/>
    <x v="0"/>
    <n v="19.613961"/>
    <m/>
    <x v="1"/>
    <x v="0"/>
    <x v="0"/>
    <x v="3"/>
    <x v="0"/>
  </r>
  <r>
    <s v="Singapore"/>
    <x v="0"/>
    <s v="SG4"/>
    <m/>
    <x v="5"/>
    <x v="0"/>
    <x v="3"/>
    <x v="1"/>
    <x v="0"/>
    <x v="0"/>
    <x v="0"/>
    <m/>
    <x v="0"/>
    <x v="0"/>
    <n v="0.15579000000000001"/>
    <m/>
    <x v="1"/>
    <x v="2"/>
    <x v="0"/>
    <x v="0"/>
    <x v="1"/>
  </r>
  <r>
    <s v="Singapore"/>
    <x v="0"/>
    <s v="SG4"/>
    <m/>
    <x v="1"/>
    <x v="2"/>
    <x v="0"/>
    <x v="1"/>
    <x v="0"/>
    <x v="0"/>
    <x v="0"/>
    <m/>
    <x v="0"/>
    <x v="0"/>
    <n v="-0.15579000000000001"/>
    <m/>
    <x v="4"/>
    <x v="3"/>
    <x v="0"/>
    <x v="0"/>
    <x v="0"/>
  </r>
  <r>
    <s v="Singapore"/>
    <x v="5"/>
    <s v="SG3"/>
    <m/>
    <x v="3"/>
    <x v="1"/>
    <x v="0"/>
    <x v="2"/>
    <x v="0"/>
    <x v="0"/>
    <x v="0"/>
    <m/>
    <x v="0"/>
    <x v="0"/>
    <n v="-4.6737000000000001E-2"/>
    <m/>
    <x v="0"/>
    <x v="2"/>
    <x v="0"/>
    <x v="2"/>
    <x v="0"/>
  </r>
  <r>
    <s v="Singapore"/>
    <x v="3"/>
    <s v="SG3"/>
    <m/>
    <x v="4"/>
    <x v="0"/>
    <x v="1"/>
    <x v="0"/>
    <x v="0"/>
    <x v="0"/>
    <x v="0"/>
    <m/>
    <x v="0"/>
    <x v="0"/>
    <n v="0.280422"/>
    <m/>
    <x v="0"/>
    <x v="0"/>
    <x v="0"/>
    <x v="0"/>
    <x v="0"/>
  </r>
  <r>
    <s v="Singapore"/>
    <x v="0"/>
    <s v="SG4"/>
    <m/>
    <x v="1"/>
    <x v="1"/>
    <x v="4"/>
    <x v="0"/>
    <x v="0"/>
    <x v="0"/>
    <x v="0"/>
    <m/>
    <x v="0"/>
    <x v="0"/>
    <n v="-7.6337100000000007"/>
    <m/>
    <x v="2"/>
    <x v="1"/>
    <x v="0"/>
    <x v="2"/>
    <x v="1"/>
  </r>
  <r>
    <s v="Singapore"/>
    <x v="4"/>
    <s v="SG2"/>
    <m/>
    <x v="5"/>
    <x v="2"/>
    <x v="3"/>
    <x v="2"/>
    <x v="0"/>
    <x v="0"/>
    <x v="0"/>
    <m/>
    <x v="0"/>
    <x v="0"/>
    <n v="-0.24926400000000001"/>
    <m/>
    <x v="0"/>
    <x v="0"/>
    <x v="0"/>
    <x v="3"/>
    <x v="1"/>
  </r>
  <r>
    <s v="Singapore"/>
    <x v="0"/>
    <s v="SG1"/>
    <m/>
    <x v="2"/>
    <x v="3"/>
    <x v="4"/>
    <x v="2"/>
    <x v="0"/>
    <x v="0"/>
    <x v="0"/>
    <m/>
    <x v="0"/>
    <x v="0"/>
    <n v="5.9364558450000002"/>
    <m/>
    <x v="7"/>
    <x v="1"/>
    <x v="0"/>
    <x v="4"/>
    <x v="0"/>
  </r>
  <r>
    <s v="Singapore"/>
    <x v="0"/>
    <s v="SG2"/>
    <m/>
    <x v="2"/>
    <x v="2"/>
    <x v="3"/>
    <x v="2"/>
    <x v="0"/>
    <x v="0"/>
    <x v="0"/>
    <m/>
    <x v="0"/>
    <x v="0"/>
    <n v="217.53057405600003"/>
    <m/>
    <x v="2"/>
    <x v="3"/>
    <x v="0"/>
    <x v="1"/>
    <x v="1"/>
  </r>
  <r>
    <s v="Singapore"/>
    <x v="3"/>
    <s v="SG1"/>
    <m/>
    <x v="4"/>
    <x v="0"/>
    <x v="0"/>
    <x v="4"/>
    <x v="0"/>
    <x v="0"/>
    <x v="0"/>
    <m/>
    <x v="0"/>
    <x v="0"/>
    <n v="-1.5579000000000001E-2"/>
    <m/>
    <x v="0"/>
    <x v="1"/>
    <x v="0"/>
    <x v="2"/>
    <x v="1"/>
  </r>
  <r>
    <s v="Singapore"/>
    <x v="5"/>
    <s v="SG2"/>
    <m/>
    <x v="4"/>
    <x v="3"/>
    <x v="3"/>
    <x v="2"/>
    <x v="0"/>
    <x v="0"/>
    <x v="0"/>
    <m/>
    <x v="0"/>
    <x v="0"/>
    <n v="-103.151643642"/>
    <m/>
    <x v="1"/>
    <x v="0"/>
    <x v="0"/>
    <x v="5"/>
    <x v="0"/>
  </r>
  <r>
    <s v="Singapore"/>
    <x v="1"/>
    <s v="SG4"/>
    <m/>
    <x v="2"/>
    <x v="4"/>
    <x v="0"/>
    <x v="4"/>
    <x v="0"/>
    <x v="0"/>
    <x v="0"/>
    <m/>
    <x v="0"/>
    <x v="0"/>
    <n v="-0.186948"/>
    <m/>
    <x v="0"/>
    <x v="2"/>
    <x v="0"/>
    <x v="4"/>
    <x v="0"/>
  </r>
  <r>
    <s v="Singapore"/>
    <x v="3"/>
    <s v="SG3"/>
    <m/>
    <x v="1"/>
    <x v="1"/>
    <x v="0"/>
    <x v="0"/>
    <x v="0"/>
    <x v="0"/>
    <x v="0"/>
    <m/>
    <x v="0"/>
    <x v="0"/>
    <n v="1.2307410000000001"/>
    <m/>
    <x v="1"/>
    <x v="1"/>
    <x v="0"/>
    <x v="2"/>
    <x v="2"/>
  </r>
  <r>
    <s v="Singapore"/>
    <x v="1"/>
    <s v="SG3"/>
    <m/>
    <x v="0"/>
    <x v="3"/>
    <x v="3"/>
    <x v="2"/>
    <x v="0"/>
    <x v="0"/>
    <x v="0"/>
    <m/>
    <x v="0"/>
    <x v="0"/>
    <n v="-2.775180744"/>
    <m/>
    <x v="4"/>
    <x v="1"/>
    <x v="0"/>
    <x v="2"/>
    <x v="1"/>
  </r>
  <r>
    <s v="Singapore"/>
    <x v="1"/>
    <s v="SG1"/>
    <m/>
    <x v="0"/>
    <x v="2"/>
    <x v="0"/>
    <x v="3"/>
    <x v="0"/>
    <x v="0"/>
    <x v="0"/>
    <m/>
    <x v="0"/>
    <x v="0"/>
    <n v="-0.12463200000000001"/>
    <m/>
    <x v="0"/>
    <x v="0"/>
    <x v="0"/>
    <x v="4"/>
    <x v="0"/>
  </r>
  <r>
    <s v="Singapore"/>
    <x v="1"/>
    <s v="SG1"/>
    <m/>
    <x v="0"/>
    <x v="3"/>
    <x v="0"/>
    <x v="1"/>
    <x v="0"/>
    <x v="0"/>
    <x v="0"/>
    <m/>
    <x v="0"/>
    <x v="0"/>
    <n v="-4.2842250000000002"/>
    <m/>
    <x v="4"/>
    <x v="3"/>
    <x v="0"/>
    <x v="4"/>
    <x v="2"/>
  </r>
  <r>
    <s v="Singapore"/>
    <x v="0"/>
    <s v="SG1"/>
    <m/>
    <x v="0"/>
    <x v="4"/>
    <x v="4"/>
    <x v="5"/>
    <x v="0"/>
    <x v="0"/>
    <x v="0"/>
    <m/>
    <x v="0"/>
    <x v="0"/>
    <n v="-0.77895000000000003"/>
    <m/>
    <x v="4"/>
    <x v="1"/>
    <x v="0"/>
    <x v="2"/>
    <x v="0"/>
  </r>
  <r>
    <s v="Singapore"/>
    <x v="1"/>
    <s v="SG2"/>
    <m/>
    <x v="3"/>
    <x v="2"/>
    <x v="3"/>
    <x v="2"/>
    <x v="0"/>
    <x v="0"/>
    <x v="0"/>
    <m/>
    <x v="0"/>
    <x v="0"/>
    <n v="-5.1270488999999995E-2"/>
    <m/>
    <x v="0"/>
    <x v="0"/>
    <x v="0"/>
    <x v="1"/>
    <x v="2"/>
  </r>
  <r>
    <s v="Singapore"/>
    <x v="0"/>
    <s v="SG1"/>
    <m/>
    <x v="4"/>
    <x v="4"/>
    <x v="1"/>
    <x v="3"/>
    <x v="0"/>
    <x v="0"/>
    <x v="0"/>
    <m/>
    <x v="0"/>
    <x v="0"/>
    <n v="-0.28012599900000001"/>
    <m/>
    <x v="0"/>
    <x v="1"/>
    <x v="0"/>
    <x v="2"/>
    <x v="1"/>
  </r>
  <r>
    <s v="Singapore"/>
    <x v="0"/>
    <s v="SG2"/>
    <m/>
    <x v="4"/>
    <x v="3"/>
    <x v="1"/>
    <x v="3"/>
    <x v="0"/>
    <x v="0"/>
    <x v="0"/>
    <m/>
    <x v="0"/>
    <x v="0"/>
    <n v="-4.6737000000000001E-2"/>
    <m/>
    <x v="0"/>
    <x v="3"/>
    <x v="0"/>
    <x v="3"/>
    <x v="0"/>
  </r>
  <r>
    <s v="Singapore"/>
    <x v="3"/>
    <s v="SG3"/>
    <m/>
    <x v="1"/>
    <x v="1"/>
    <x v="4"/>
    <x v="5"/>
    <x v="0"/>
    <x v="0"/>
    <x v="0"/>
    <m/>
    <x v="0"/>
    <x v="0"/>
    <n v="5.9527203210000001"/>
    <m/>
    <x v="3"/>
    <x v="2"/>
    <x v="0"/>
    <x v="0"/>
    <x v="1"/>
  </r>
  <r>
    <s v="Singapore"/>
    <x v="2"/>
    <s v="SG1"/>
    <m/>
    <x v="1"/>
    <x v="2"/>
    <x v="1"/>
    <x v="0"/>
    <x v="0"/>
    <x v="0"/>
    <x v="0"/>
    <m/>
    <x v="0"/>
    <x v="0"/>
    <n v="-9.3474000000000002E-2"/>
    <m/>
    <x v="4"/>
    <x v="3"/>
    <x v="0"/>
    <x v="2"/>
    <x v="2"/>
  </r>
  <r>
    <s v="Singapore"/>
    <x v="0"/>
    <s v="SG2"/>
    <m/>
    <x v="4"/>
    <x v="0"/>
    <x v="4"/>
    <x v="5"/>
    <x v="0"/>
    <x v="0"/>
    <x v="0"/>
    <m/>
    <x v="0"/>
    <x v="0"/>
    <n v="-0.545265"/>
    <m/>
    <x v="4"/>
    <x v="1"/>
    <x v="0"/>
    <x v="4"/>
    <x v="2"/>
  </r>
  <r>
    <s v="Singapore"/>
    <x v="5"/>
    <s v="SG3"/>
    <m/>
    <x v="1"/>
    <x v="1"/>
    <x v="0"/>
    <x v="2"/>
    <x v="0"/>
    <x v="0"/>
    <x v="0"/>
    <m/>
    <x v="0"/>
    <x v="0"/>
    <n v="-0.38947500000000002"/>
    <m/>
    <x v="1"/>
    <x v="3"/>
    <x v="0"/>
    <x v="5"/>
    <x v="1"/>
  </r>
  <r>
    <s v="Singapore"/>
    <x v="4"/>
    <s v="SG4"/>
    <m/>
    <x v="0"/>
    <x v="0"/>
    <x v="4"/>
    <x v="5"/>
    <x v="0"/>
    <x v="0"/>
    <x v="0"/>
    <m/>
    <x v="0"/>
    <x v="0"/>
    <n v="0.21810600000000002"/>
    <m/>
    <x v="4"/>
    <x v="1"/>
    <x v="0"/>
    <x v="1"/>
    <x v="2"/>
  </r>
  <r>
    <s v="Singapore"/>
    <x v="5"/>
    <s v="SG4"/>
    <m/>
    <x v="3"/>
    <x v="4"/>
    <x v="0"/>
    <x v="0"/>
    <x v="0"/>
    <x v="0"/>
    <x v="0"/>
    <m/>
    <x v="0"/>
    <x v="0"/>
    <n v="-0.264843"/>
    <m/>
    <x v="4"/>
    <x v="1"/>
    <x v="0"/>
    <x v="0"/>
    <x v="0"/>
  </r>
  <r>
    <s v="Singapore"/>
    <x v="4"/>
    <s v="SG4"/>
    <m/>
    <x v="1"/>
    <x v="0"/>
    <x v="4"/>
    <x v="2"/>
    <x v="0"/>
    <x v="0"/>
    <x v="0"/>
    <m/>
    <x v="0"/>
    <x v="0"/>
    <n v="1.7638232220000003"/>
    <m/>
    <x v="1"/>
    <x v="1"/>
    <x v="0"/>
    <x v="0"/>
    <x v="2"/>
  </r>
  <r>
    <s v="Singapore"/>
    <x v="0"/>
    <s v="SG3"/>
    <m/>
    <x v="5"/>
    <x v="4"/>
    <x v="1"/>
    <x v="1"/>
    <x v="0"/>
    <x v="0"/>
    <x v="0"/>
    <m/>
    <x v="0"/>
    <x v="0"/>
    <n v="-2.18106"/>
    <m/>
    <x v="4"/>
    <x v="1"/>
    <x v="0"/>
    <x v="0"/>
    <x v="1"/>
  </r>
  <r>
    <s v="Singapore"/>
    <x v="4"/>
    <s v="SG2"/>
    <m/>
    <x v="1"/>
    <x v="4"/>
    <x v="2"/>
    <x v="2"/>
    <x v="0"/>
    <x v="0"/>
    <x v="0"/>
    <m/>
    <x v="0"/>
    <x v="0"/>
    <n v="0.22433760000000003"/>
    <m/>
    <x v="3"/>
    <x v="0"/>
    <x v="0"/>
    <x v="2"/>
    <x v="1"/>
  </r>
  <r>
    <s v="Singapore"/>
    <x v="1"/>
    <s v="SG4"/>
    <m/>
    <x v="0"/>
    <x v="1"/>
    <x v="2"/>
    <x v="0"/>
    <x v="0"/>
    <x v="0"/>
    <x v="0"/>
    <m/>
    <x v="0"/>
    <x v="0"/>
    <n v="-0.42063300000000003"/>
    <m/>
    <x v="4"/>
    <x v="3"/>
    <x v="0"/>
    <x v="0"/>
    <x v="0"/>
  </r>
  <r>
    <s v="Singapore"/>
    <x v="0"/>
    <s v="SG1"/>
    <m/>
    <x v="1"/>
    <x v="1"/>
    <x v="2"/>
    <x v="0"/>
    <x v="0"/>
    <x v="0"/>
    <x v="0"/>
    <m/>
    <x v="0"/>
    <x v="0"/>
    <n v="3.4351695000000002"/>
    <m/>
    <x v="1"/>
    <x v="3"/>
    <x v="0"/>
    <x v="5"/>
    <x v="2"/>
  </r>
  <r>
    <s v="Singapore"/>
    <x v="5"/>
    <s v="SG1"/>
    <m/>
    <x v="1"/>
    <x v="1"/>
    <x v="3"/>
    <x v="0"/>
    <x v="0"/>
    <x v="0"/>
    <x v="0"/>
    <m/>
    <x v="0"/>
    <x v="0"/>
    <n v="-0.12463200000000001"/>
    <m/>
    <x v="0"/>
    <x v="3"/>
    <x v="0"/>
    <x v="0"/>
    <x v="0"/>
  </r>
  <r>
    <s v="Singapore"/>
    <x v="0"/>
    <s v="SG3"/>
    <m/>
    <x v="2"/>
    <x v="1"/>
    <x v="2"/>
    <x v="3"/>
    <x v="0"/>
    <x v="0"/>
    <x v="0"/>
    <m/>
    <x v="0"/>
    <x v="0"/>
    <n v="-0.14800050000000001"/>
    <m/>
    <x v="4"/>
    <x v="1"/>
    <x v="0"/>
    <x v="4"/>
    <x v="1"/>
  </r>
  <r>
    <s v="Singapore"/>
    <x v="2"/>
    <s v="SG1"/>
    <m/>
    <x v="0"/>
    <x v="4"/>
    <x v="2"/>
    <x v="0"/>
    <x v="0"/>
    <x v="0"/>
    <x v="0"/>
    <m/>
    <x v="0"/>
    <x v="0"/>
    <n v="-0.53747549999999999"/>
    <m/>
    <x v="3"/>
    <x v="0"/>
    <x v="0"/>
    <x v="4"/>
    <x v="2"/>
  </r>
  <r>
    <s v="Singapore"/>
    <x v="2"/>
    <s v="SG4"/>
    <m/>
    <x v="4"/>
    <x v="3"/>
    <x v="0"/>
    <x v="1"/>
    <x v="0"/>
    <x v="0"/>
    <x v="0"/>
    <m/>
    <x v="0"/>
    <x v="0"/>
    <n v="2.7263250000000001"/>
    <m/>
    <x v="1"/>
    <x v="1"/>
    <x v="0"/>
    <x v="5"/>
    <x v="1"/>
  </r>
  <r>
    <s v="Singapore"/>
    <x v="1"/>
    <s v="SG1"/>
    <m/>
    <x v="3"/>
    <x v="3"/>
    <x v="4"/>
    <x v="5"/>
    <x v="0"/>
    <x v="0"/>
    <x v="0"/>
    <m/>
    <x v="0"/>
    <x v="0"/>
    <n v="-4.6737000000000002"/>
    <m/>
    <x v="4"/>
    <x v="1"/>
    <x v="0"/>
    <x v="3"/>
    <x v="1"/>
  </r>
  <r>
    <s v="Singapore"/>
    <x v="3"/>
    <s v="SG4"/>
    <m/>
    <x v="0"/>
    <x v="1"/>
    <x v="3"/>
    <x v="4"/>
    <x v="0"/>
    <x v="0"/>
    <x v="0"/>
    <m/>
    <x v="0"/>
    <x v="0"/>
    <n v="-0.1168425"/>
    <m/>
    <x v="0"/>
    <x v="0"/>
    <x v="0"/>
    <x v="2"/>
    <x v="0"/>
  </r>
  <r>
    <s v="Singapore"/>
    <x v="3"/>
    <s v="SG4"/>
    <m/>
    <x v="3"/>
    <x v="1"/>
    <x v="1"/>
    <x v="0"/>
    <x v="0"/>
    <x v="0"/>
    <x v="0"/>
    <m/>
    <x v="0"/>
    <x v="0"/>
    <n v="-0.49329345600000002"/>
    <m/>
    <x v="2"/>
    <x v="2"/>
    <x v="0"/>
    <x v="0"/>
    <x v="2"/>
  </r>
  <r>
    <s v="Singapore"/>
    <x v="5"/>
    <s v="SG3"/>
    <m/>
    <x v="0"/>
    <x v="4"/>
    <x v="4"/>
    <x v="5"/>
    <x v="0"/>
    <x v="0"/>
    <x v="0"/>
    <m/>
    <x v="0"/>
    <x v="0"/>
    <n v="-0.42063300000000003"/>
    <m/>
    <x v="4"/>
    <x v="0"/>
    <x v="0"/>
    <x v="5"/>
    <x v="2"/>
  </r>
  <r>
    <s v="Singapore"/>
    <x v="2"/>
    <s v="SG1"/>
    <m/>
    <x v="4"/>
    <x v="4"/>
    <x v="2"/>
    <x v="5"/>
    <x v="0"/>
    <x v="0"/>
    <x v="0"/>
    <m/>
    <x v="0"/>
    <x v="0"/>
    <n v="-0.84126600000000007"/>
    <m/>
    <x v="0"/>
    <x v="2"/>
    <x v="0"/>
    <x v="2"/>
    <x v="0"/>
  </r>
  <r>
    <s v="Singapore"/>
    <x v="3"/>
    <s v="SG1"/>
    <m/>
    <x v="4"/>
    <x v="2"/>
    <x v="2"/>
    <x v="2"/>
    <x v="0"/>
    <x v="0"/>
    <x v="0"/>
    <m/>
    <x v="0"/>
    <x v="0"/>
    <n v="-7.7895000000000004E-3"/>
    <m/>
    <x v="0"/>
    <x v="1"/>
    <x v="0"/>
    <x v="1"/>
    <x v="2"/>
  </r>
  <r>
    <s v="Singapore"/>
    <x v="3"/>
    <s v="SG2"/>
    <m/>
    <x v="0"/>
    <x v="0"/>
    <x v="2"/>
    <x v="0"/>
    <x v="0"/>
    <x v="0"/>
    <x v="0"/>
    <m/>
    <x v="0"/>
    <x v="0"/>
    <n v="-1.5579000000000001E-2"/>
    <m/>
    <x v="0"/>
    <x v="3"/>
    <x v="0"/>
    <x v="0"/>
    <x v="1"/>
  </r>
  <r>
    <s v="Singapore"/>
    <x v="5"/>
    <s v="SG1"/>
    <m/>
    <x v="0"/>
    <x v="3"/>
    <x v="3"/>
    <x v="4"/>
    <x v="0"/>
    <x v="0"/>
    <x v="0"/>
    <m/>
    <x v="0"/>
    <x v="0"/>
    <n v="1.5579000000000001E-2"/>
    <m/>
    <x v="0"/>
    <x v="1"/>
    <x v="0"/>
    <x v="4"/>
    <x v="1"/>
  </r>
  <r>
    <s v="Singapore"/>
    <x v="0"/>
    <s v="SG3"/>
    <m/>
    <x v="5"/>
    <x v="1"/>
    <x v="2"/>
    <x v="2"/>
    <x v="0"/>
    <x v="0"/>
    <x v="0"/>
    <m/>
    <x v="0"/>
    <x v="0"/>
    <n v="-0.62316000000000005"/>
    <m/>
    <x v="0"/>
    <x v="2"/>
    <x v="0"/>
    <x v="4"/>
    <x v="1"/>
  </r>
  <r>
    <s v="Singapore"/>
    <x v="2"/>
    <s v="SG3"/>
    <m/>
    <x v="0"/>
    <x v="0"/>
    <x v="1"/>
    <x v="4"/>
    <x v="0"/>
    <x v="0"/>
    <x v="0"/>
    <m/>
    <x v="0"/>
    <x v="0"/>
    <n v="-1.9317960000000001"/>
    <m/>
    <x v="4"/>
    <x v="0"/>
    <x v="0"/>
    <x v="1"/>
    <x v="0"/>
  </r>
  <r>
    <s v="Singapore"/>
    <x v="1"/>
    <s v="SG1"/>
    <m/>
    <x v="1"/>
    <x v="4"/>
    <x v="3"/>
    <x v="4"/>
    <x v="0"/>
    <x v="0"/>
    <x v="0"/>
    <m/>
    <x v="0"/>
    <x v="0"/>
    <n v="-2.3991660000000001"/>
    <m/>
    <x v="4"/>
    <x v="3"/>
    <x v="0"/>
    <x v="3"/>
    <x v="0"/>
  </r>
  <r>
    <s v="Singapore"/>
    <x v="1"/>
    <s v="SG3"/>
    <m/>
    <x v="4"/>
    <x v="2"/>
    <x v="4"/>
    <x v="3"/>
    <x v="0"/>
    <x v="0"/>
    <x v="0"/>
    <m/>
    <x v="0"/>
    <x v="0"/>
    <n v="-0.10126350000000001"/>
    <m/>
    <x v="0"/>
    <x v="2"/>
    <x v="0"/>
    <x v="5"/>
    <x v="2"/>
  </r>
  <r>
    <s v="Singapore"/>
    <x v="5"/>
    <s v="SG3"/>
    <m/>
    <x v="5"/>
    <x v="0"/>
    <x v="2"/>
    <x v="4"/>
    <x v="0"/>
    <x v="0"/>
    <x v="0"/>
    <m/>
    <x v="0"/>
    <x v="0"/>
    <n v="38.947500000000005"/>
    <m/>
    <x v="5"/>
    <x v="3"/>
    <x v="0"/>
    <x v="5"/>
    <x v="2"/>
  </r>
  <r>
    <s v="Singapore"/>
    <x v="2"/>
    <s v="SG4"/>
    <m/>
    <x v="0"/>
    <x v="1"/>
    <x v="0"/>
    <x v="4"/>
    <x v="0"/>
    <x v="0"/>
    <x v="0"/>
    <m/>
    <x v="0"/>
    <x v="0"/>
    <n v="-31.158000000000001"/>
    <m/>
    <x v="5"/>
    <x v="0"/>
    <x v="0"/>
    <x v="5"/>
    <x v="1"/>
  </r>
  <r>
    <s v="Singapore"/>
    <x v="5"/>
    <s v="SG4"/>
    <m/>
    <x v="2"/>
    <x v="2"/>
    <x v="1"/>
    <x v="1"/>
    <x v="0"/>
    <x v="0"/>
    <x v="0"/>
    <m/>
    <x v="0"/>
    <x v="0"/>
    <n v="0.140211"/>
    <m/>
    <x v="8"/>
    <x v="1"/>
    <x v="0"/>
    <x v="5"/>
    <x v="0"/>
  </r>
  <r>
    <s v="Singapore"/>
    <x v="3"/>
    <s v="SG1"/>
    <m/>
    <x v="4"/>
    <x v="1"/>
    <x v="3"/>
    <x v="5"/>
    <x v="0"/>
    <x v="0"/>
    <x v="0"/>
    <m/>
    <x v="0"/>
    <x v="0"/>
    <n v="0.94252950000000002"/>
    <m/>
    <x v="1"/>
    <x v="2"/>
    <x v="0"/>
    <x v="5"/>
    <x v="0"/>
  </r>
  <r>
    <s v="Singapore"/>
    <x v="1"/>
    <s v="SG3"/>
    <m/>
    <x v="3"/>
    <x v="2"/>
    <x v="2"/>
    <x v="3"/>
    <x v="0"/>
    <x v="0"/>
    <x v="0"/>
    <m/>
    <x v="0"/>
    <x v="0"/>
    <n v="1.1995830000000001"/>
    <m/>
    <x v="8"/>
    <x v="0"/>
    <x v="0"/>
    <x v="0"/>
    <x v="1"/>
  </r>
  <r>
    <s v="Singapore"/>
    <x v="0"/>
    <s v="SG4"/>
    <m/>
    <x v="0"/>
    <x v="2"/>
    <x v="1"/>
    <x v="1"/>
    <x v="0"/>
    <x v="0"/>
    <x v="0"/>
    <m/>
    <x v="0"/>
    <x v="0"/>
    <n v="0.48403953"/>
    <m/>
    <x v="8"/>
    <x v="1"/>
    <x v="0"/>
    <x v="4"/>
    <x v="2"/>
  </r>
  <r>
    <s v="Singapore"/>
    <x v="4"/>
    <s v="SG4"/>
    <m/>
    <x v="1"/>
    <x v="2"/>
    <x v="4"/>
    <x v="3"/>
    <x v="0"/>
    <x v="0"/>
    <x v="0"/>
    <m/>
    <x v="0"/>
    <x v="0"/>
    <n v="1.8694800000000001E-4"/>
    <m/>
    <x v="8"/>
    <x v="1"/>
    <x v="0"/>
    <x v="3"/>
    <x v="2"/>
  </r>
  <r>
    <s v="Singapore"/>
    <x v="0"/>
    <s v="SG3"/>
    <m/>
    <x v="2"/>
    <x v="2"/>
    <x v="3"/>
    <x v="1"/>
    <x v="0"/>
    <x v="0"/>
    <x v="0"/>
    <m/>
    <x v="0"/>
    <x v="0"/>
    <n v="0.66989700000000008"/>
    <m/>
    <x v="1"/>
    <x v="0"/>
    <x v="0"/>
    <x v="5"/>
    <x v="0"/>
  </r>
  <r>
    <s v="Singapore"/>
    <x v="1"/>
    <s v="SG2"/>
    <m/>
    <x v="0"/>
    <x v="2"/>
    <x v="4"/>
    <x v="4"/>
    <x v="0"/>
    <x v="0"/>
    <x v="0"/>
    <m/>
    <x v="0"/>
    <x v="0"/>
    <n v="-0.1838322"/>
    <m/>
    <x v="4"/>
    <x v="3"/>
    <x v="0"/>
    <x v="4"/>
    <x v="0"/>
  </r>
  <r>
    <s v="Singapore"/>
    <x v="1"/>
    <s v="SG4"/>
    <m/>
    <x v="5"/>
    <x v="2"/>
    <x v="1"/>
    <x v="4"/>
    <x v="0"/>
    <x v="0"/>
    <x v="0"/>
    <m/>
    <x v="0"/>
    <x v="0"/>
    <n v="-0.14800050000000001"/>
    <m/>
    <x v="4"/>
    <x v="3"/>
    <x v="0"/>
    <x v="3"/>
    <x v="1"/>
  </r>
  <r>
    <s v="Singapore"/>
    <x v="2"/>
    <s v="SG2"/>
    <m/>
    <x v="1"/>
    <x v="2"/>
    <x v="2"/>
    <x v="2"/>
    <x v="0"/>
    <x v="0"/>
    <x v="0"/>
    <m/>
    <x v="0"/>
    <x v="0"/>
    <n v="0.40505400000000003"/>
    <m/>
    <x v="8"/>
    <x v="0"/>
    <x v="0"/>
    <x v="2"/>
    <x v="2"/>
  </r>
  <r>
    <s v="Singapore"/>
    <x v="4"/>
    <s v="SG1"/>
    <m/>
    <x v="0"/>
    <x v="1"/>
    <x v="0"/>
    <x v="2"/>
    <x v="0"/>
    <x v="0"/>
    <x v="0"/>
    <m/>
    <x v="0"/>
    <x v="0"/>
    <n v="2.3368500000000001"/>
    <m/>
    <x v="1"/>
    <x v="1"/>
    <x v="0"/>
    <x v="3"/>
    <x v="0"/>
  </r>
  <r>
    <s v="Singapore"/>
    <x v="0"/>
    <s v="SG1"/>
    <m/>
    <x v="1"/>
    <x v="2"/>
    <x v="1"/>
    <x v="2"/>
    <x v="0"/>
    <x v="0"/>
    <x v="0"/>
    <m/>
    <x v="0"/>
    <x v="0"/>
    <n v="0.5530545"/>
    <m/>
    <x v="1"/>
    <x v="2"/>
    <x v="0"/>
    <x v="4"/>
    <x v="0"/>
  </r>
  <r>
    <s v="Singapore"/>
    <x v="5"/>
    <s v="SG1"/>
    <m/>
    <x v="5"/>
    <x v="0"/>
    <x v="3"/>
    <x v="3"/>
    <x v="0"/>
    <x v="0"/>
    <x v="0"/>
    <m/>
    <x v="0"/>
    <x v="0"/>
    <n v="-9.3474000000000002E-2"/>
    <m/>
    <x v="0"/>
    <x v="0"/>
    <x v="0"/>
    <x v="0"/>
    <x v="0"/>
  </r>
  <r>
    <s v="Singapore"/>
    <x v="0"/>
    <s v="SG3"/>
    <m/>
    <x v="4"/>
    <x v="3"/>
    <x v="1"/>
    <x v="1"/>
    <x v="0"/>
    <x v="0"/>
    <x v="0"/>
    <m/>
    <x v="0"/>
    <x v="0"/>
    <n v="-2.961910638"/>
    <m/>
    <x v="0"/>
    <x v="2"/>
    <x v="0"/>
    <x v="0"/>
    <x v="2"/>
  </r>
  <r>
    <s v="Singapore"/>
    <x v="1"/>
    <s v="SG2"/>
    <m/>
    <x v="5"/>
    <x v="3"/>
    <x v="0"/>
    <x v="2"/>
    <x v="0"/>
    <x v="0"/>
    <x v="0"/>
    <m/>
    <x v="0"/>
    <x v="0"/>
    <n v="-0.1838322"/>
    <m/>
    <x v="4"/>
    <x v="3"/>
    <x v="0"/>
    <x v="1"/>
    <x v="1"/>
  </r>
  <r>
    <s v="Singapore"/>
    <x v="1"/>
    <s v="SG3"/>
    <m/>
    <x v="5"/>
    <x v="4"/>
    <x v="1"/>
    <x v="2"/>
    <x v="0"/>
    <x v="0"/>
    <x v="0"/>
    <m/>
    <x v="0"/>
    <x v="0"/>
    <n v="4.6737000000000002"/>
    <m/>
    <x v="8"/>
    <x v="3"/>
    <x v="0"/>
    <x v="0"/>
    <x v="1"/>
  </r>
  <r>
    <s v="Singapore"/>
    <x v="2"/>
    <s v="SG4"/>
    <m/>
    <x v="2"/>
    <x v="2"/>
    <x v="0"/>
    <x v="5"/>
    <x v="0"/>
    <x v="0"/>
    <x v="0"/>
    <m/>
    <x v="0"/>
    <x v="0"/>
    <n v="-1.5579000000000001E-2"/>
    <m/>
    <x v="0"/>
    <x v="0"/>
    <x v="0"/>
    <x v="3"/>
    <x v="1"/>
  </r>
  <r>
    <s v="Singapore"/>
    <x v="1"/>
    <s v="SG2"/>
    <m/>
    <x v="5"/>
    <x v="0"/>
    <x v="2"/>
    <x v="2"/>
    <x v="0"/>
    <x v="0"/>
    <x v="0"/>
    <m/>
    <x v="0"/>
    <x v="0"/>
    <n v="-0.62316000000000005"/>
    <m/>
    <x v="0"/>
    <x v="1"/>
    <x v="0"/>
    <x v="5"/>
    <x v="1"/>
  </r>
  <r>
    <s v="Singapore"/>
    <x v="4"/>
    <s v="SG4"/>
    <m/>
    <x v="0"/>
    <x v="0"/>
    <x v="0"/>
    <x v="5"/>
    <x v="0"/>
    <x v="0"/>
    <x v="0"/>
    <m/>
    <x v="0"/>
    <x v="0"/>
    <n v="0.21810600000000002"/>
    <m/>
    <x v="4"/>
    <x v="0"/>
    <x v="0"/>
    <x v="2"/>
    <x v="2"/>
  </r>
  <r>
    <s v="Singapore"/>
    <x v="4"/>
    <s v="SG4"/>
    <m/>
    <x v="1"/>
    <x v="2"/>
    <x v="3"/>
    <x v="3"/>
    <x v="0"/>
    <x v="0"/>
    <x v="0"/>
    <m/>
    <x v="0"/>
    <x v="0"/>
    <n v="0.56863350000000001"/>
    <m/>
    <x v="8"/>
    <x v="2"/>
    <x v="0"/>
    <x v="5"/>
    <x v="2"/>
  </r>
  <r>
    <s v="Singapore"/>
    <x v="2"/>
    <s v="SG2"/>
    <m/>
    <x v="2"/>
    <x v="2"/>
    <x v="3"/>
    <x v="4"/>
    <x v="0"/>
    <x v="0"/>
    <x v="0"/>
    <m/>
    <x v="0"/>
    <x v="0"/>
    <n v="-0.140211"/>
    <m/>
    <x v="0"/>
    <x v="3"/>
    <x v="0"/>
    <x v="3"/>
    <x v="1"/>
  </r>
  <r>
    <s v="Singapore"/>
    <x v="0"/>
    <s v="SG1"/>
    <m/>
    <x v="3"/>
    <x v="0"/>
    <x v="1"/>
    <x v="0"/>
    <x v="0"/>
    <x v="0"/>
    <x v="0"/>
    <m/>
    <x v="0"/>
    <x v="0"/>
    <n v="-0.11216880000000001"/>
    <m/>
    <x v="6"/>
    <x v="1"/>
    <x v="0"/>
    <x v="1"/>
    <x v="0"/>
  </r>
  <r>
    <s v="Singapore"/>
    <x v="0"/>
    <s v="SG4"/>
    <m/>
    <x v="5"/>
    <x v="1"/>
    <x v="0"/>
    <x v="5"/>
    <x v="0"/>
    <x v="0"/>
    <x v="0"/>
    <m/>
    <x v="0"/>
    <x v="0"/>
    <n v="-0.62316000000000005"/>
    <m/>
    <x v="0"/>
    <x v="2"/>
    <x v="0"/>
    <x v="4"/>
    <x v="2"/>
  </r>
  <r>
    <s v="Singapore"/>
    <x v="1"/>
    <s v="SG4"/>
    <m/>
    <x v="1"/>
    <x v="1"/>
    <x v="4"/>
    <x v="0"/>
    <x v="0"/>
    <x v="0"/>
    <x v="0"/>
    <m/>
    <x v="0"/>
    <x v="0"/>
    <n v="-0.280422"/>
    <m/>
    <x v="4"/>
    <x v="2"/>
    <x v="0"/>
    <x v="5"/>
    <x v="2"/>
  </r>
  <r>
    <s v="Singapore"/>
    <x v="2"/>
    <s v="SG3"/>
    <m/>
    <x v="0"/>
    <x v="4"/>
    <x v="3"/>
    <x v="4"/>
    <x v="0"/>
    <x v="0"/>
    <x v="0"/>
    <m/>
    <x v="0"/>
    <x v="0"/>
    <n v="-0.42063300000000003"/>
    <m/>
    <x v="4"/>
    <x v="3"/>
    <x v="0"/>
    <x v="5"/>
    <x v="1"/>
  </r>
  <r>
    <s v="Singapore"/>
    <x v="0"/>
    <s v="SG1"/>
    <m/>
    <x v="5"/>
    <x v="0"/>
    <x v="4"/>
    <x v="4"/>
    <x v="0"/>
    <x v="0"/>
    <x v="0"/>
    <m/>
    <x v="0"/>
    <x v="0"/>
    <n v="-8.8800299999999999E-2"/>
    <m/>
    <x v="3"/>
    <x v="0"/>
    <x v="0"/>
    <x v="4"/>
    <x v="0"/>
  </r>
  <r>
    <s v="Singapore"/>
    <x v="4"/>
    <s v="SG3"/>
    <m/>
    <x v="5"/>
    <x v="2"/>
    <x v="0"/>
    <x v="5"/>
    <x v="0"/>
    <x v="0"/>
    <x v="0"/>
    <m/>
    <x v="0"/>
    <x v="0"/>
    <n v="18.525253743"/>
    <m/>
    <x v="7"/>
    <x v="1"/>
    <x v="0"/>
    <x v="5"/>
    <x v="1"/>
  </r>
  <r>
    <s v="Singapore"/>
    <x v="5"/>
    <s v="SG2"/>
    <m/>
    <x v="3"/>
    <x v="1"/>
    <x v="1"/>
    <x v="3"/>
    <x v="0"/>
    <x v="0"/>
    <x v="0"/>
    <m/>
    <x v="0"/>
    <x v="0"/>
    <n v="-0.51410699999999998"/>
    <m/>
    <x v="1"/>
    <x v="0"/>
    <x v="0"/>
    <x v="3"/>
    <x v="1"/>
  </r>
  <r>
    <s v="Singapore"/>
    <x v="3"/>
    <s v="SG4"/>
    <m/>
    <x v="3"/>
    <x v="4"/>
    <x v="3"/>
    <x v="4"/>
    <x v="0"/>
    <x v="0"/>
    <x v="0"/>
    <m/>
    <x v="0"/>
    <x v="0"/>
    <n v="93.474000000000004"/>
    <m/>
    <x v="5"/>
    <x v="3"/>
    <x v="0"/>
    <x v="4"/>
    <x v="2"/>
  </r>
  <r>
    <s v="Singapore"/>
    <x v="2"/>
    <s v="SG3"/>
    <m/>
    <x v="0"/>
    <x v="4"/>
    <x v="2"/>
    <x v="5"/>
    <x v="0"/>
    <x v="0"/>
    <x v="0"/>
    <m/>
    <x v="0"/>
    <x v="0"/>
    <n v="1.168425"/>
    <m/>
    <x v="1"/>
    <x v="3"/>
    <x v="0"/>
    <x v="2"/>
    <x v="0"/>
  </r>
  <r>
    <s v="Singapore"/>
    <x v="0"/>
    <s v="SG3"/>
    <m/>
    <x v="2"/>
    <x v="3"/>
    <x v="1"/>
    <x v="1"/>
    <x v="0"/>
    <x v="0"/>
    <x v="0"/>
    <m/>
    <x v="0"/>
    <x v="0"/>
    <n v="-0.29600100000000001"/>
    <m/>
    <x v="0"/>
    <x v="1"/>
    <x v="0"/>
    <x v="4"/>
    <x v="1"/>
  </r>
  <r>
    <s v="Singapore"/>
    <x v="4"/>
    <s v="SG1"/>
    <m/>
    <x v="3"/>
    <x v="2"/>
    <x v="3"/>
    <x v="4"/>
    <x v="0"/>
    <x v="0"/>
    <x v="0"/>
    <m/>
    <x v="0"/>
    <x v="0"/>
    <n v="0.37389600000000001"/>
    <m/>
    <x v="1"/>
    <x v="2"/>
    <x v="0"/>
    <x v="0"/>
    <x v="1"/>
  </r>
  <r>
    <s v="Singapore"/>
    <x v="5"/>
    <s v="SG1"/>
    <m/>
    <x v="4"/>
    <x v="1"/>
    <x v="3"/>
    <x v="3"/>
    <x v="0"/>
    <x v="0"/>
    <x v="0"/>
    <m/>
    <x v="0"/>
    <x v="0"/>
    <n v="-0.1324215"/>
    <m/>
    <x v="4"/>
    <x v="2"/>
    <x v="0"/>
    <x v="0"/>
    <x v="0"/>
  </r>
  <r>
    <s v="Singapore"/>
    <x v="4"/>
    <s v="SG1"/>
    <m/>
    <x v="3"/>
    <x v="4"/>
    <x v="3"/>
    <x v="2"/>
    <x v="0"/>
    <x v="0"/>
    <x v="0"/>
    <m/>
    <x v="0"/>
    <x v="0"/>
    <n v="-2.508219"/>
    <m/>
    <x v="4"/>
    <x v="0"/>
    <x v="0"/>
    <x v="0"/>
    <x v="2"/>
  </r>
  <r>
    <s v="Singapore"/>
    <x v="4"/>
    <s v="SG3"/>
    <m/>
    <x v="1"/>
    <x v="1"/>
    <x v="4"/>
    <x v="5"/>
    <x v="0"/>
    <x v="0"/>
    <x v="0"/>
    <m/>
    <x v="0"/>
    <x v="0"/>
    <n v="-0.38947500000000002"/>
    <m/>
    <x v="0"/>
    <x v="0"/>
    <x v="0"/>
    <x v="3"/>
    <x v="0"/>
  </r>
  <r>
    <s v="Singapore"/>
    <x v="5"/>
    <s v="SG3"/>
    <m/>
    <x v="0"/>
    <x v="2"/>
    <x v="3"/>
    <x v="3"/>
    <x v="0"/>
    <x v="0"/>
    <x v="0"/>
    <m/>
    <x v="0"/>
    <x v="0"/>
    <n v="0.62316000000000005"/>
    <m/>
    <x v="1"/>
    <x v="0"/>
    <x v="0"/>
    <x v="0"/>
    <x v="0"/>
  </r>
  <r>
    <s v="Singapore"/>
    <x v="0"/>
    <s v="SG2"/>
    <m/>
    <x v="3"/>
    <x v="0"/>
    <x v="1"/>
    <x v="4"/>
    <x v="0"/>
    <x v="0"/>
    <x v="0"/>
    <m/>
    <x v="0"/>
    <x v="0"/>
    <n v="-2.8556307000000003"/>
    <m/>
    <x v="1"/>
    <x v="3"/>
    <x v="0"/>
    <x v="1"/>
    <x v="2"/>
  </r>
  <r>
    <s v="Singapore"/>
    <x v="2"/>
    <s v="SG1"/>
    <m/>
    <x v="0"/>
    <x v="4"/>
    <x v="3"/>
    <x v="0"/>
    <x v="0"/>
    <x v="0"/>
    <x v="0"/>
    <m/>
    <x v="0"/>
    <x v="0"/>
    <n v="0.93474000000000002"/>
    <m/>
    <x v="1"/>
    <x v="0"/>
    <x v="0"/>
    <x v="1"/>
    <x v="2"/>
  </r>
  <r>
    <s v="Singapore"/>
    <x v="2"/>
    <s v="SG2"/>
    <m/>
    <x v="1"/>
    <x v="1"/>
    <x v="0"/>
    <x v="5"/>
    <x v="0"/>
    <x v="0"/>
    <x v="0"/>
    <m/>
    <x v="0"/>
    <x v="0"/>
    <n v="-1.3880889000000001"/>
    <m/>
    <x v="3"/>
    <x v="2"/>
    <x v="0"/>
    <x v="5"/>
    <x v="0"/>
  </r>
  <r>
    <s v="Singapore"/>
    <x v="5"/>
    <s v="SG2"/>
    <m/>
    <x v="4"/>
    <x v="3"/>
    <x v="1"/>
    <x v="5"/>
    <x v="0"/>
    <x v="0"/>
    <x v="0"/>
    <m/>
    <x v="0"/>
    <x v="0"/>
    <n v="-3.7389600000000002E-2"/>
    <m/>
    <x v="0"/>
    <x v="3"/>
    <x v="0"/>
    <x v="4"/>
    <x v="0"/>
  </r>
  <r>
    <s v="Singapore"/>
    <x v="2"/>
    <s v="SG3"/>
    <m/>
    <x v="4"/>
    <x v="1"/>
    <x v="4"/>
    <x v="5"/>
    <x v="0"/>
    <x v="0"/>
    <x v="0"/>
    <m/>
    <x v="0"/>
    <x v="0"/>
    <n v="2.0096910000000001"/>
    <m/>
    <x v="7"/>
    <x v="2"/>
    <x v="0"/>
    <x v="5"/>
    <x v="0"/>
  </r>
  <r>
    <s v="Singapore"/>
    <x v="1"/>
    <s v="SG1"/>
    <m/>
    <x v="1"/>
    <x v="3"/>
    <x v="1"/>
    <x v="3"/>
    <x v="0"/>
    <x v="0"/>
    <x v="0"/>
    <m/>
    <x v="0"/>
    <x v="0"/>
    <n v="-0.14722155000000001"/>
    <m/>
    <x v="2"/>
    <x v="1"/>
    <x v="0"/>
    <x v="4"/>
    <x v="2"/>
  </r>
  <r>
    <s v="Singapore"/>
    <x v="4"/>
    <s v="SG3"/>
    <m/>
    <x v="5"/>
    <x v="2"/>
    <x v="2"/>
    <x v="2"/>
    <x v="0"/>
    <x v="0"/>
    <x v="0"/>
    <m/>
    <x v="0"/>
    <x v="0"/>
    <n v="-4.6737000000000001E-2"/>
    <m/>
    <x v="0"/>
    <x v="0"/>
    <x v="0"/>
    <x v="3"/>
    <x v="2"/>
  </r>
  <r>
    <s v="Singapore"/>
    <x v="2"/>
    <s v="SG3"/>
    <m/>
    <x v="2"/>
    <x v="3"/>
    <x v="2"/>
    <x v="5"/>
    <x v="0"/>
    <x v="0"/>
    <x v="0"/>
    <m/>
    <x v="0"/>
    <x v="0"/>
    <n v="-0.21810600000000002"/>
    <m/>
    <x v="4"/>
    <x v="2"/>
    <x v="0"/>
    <x v="4"/>
    <x v="2"/>
  </r>
  <r>
    <s v="Singapore"/>
    <x v="2"/>
    <s v="SG2"/>
    <m/>
    <x v="4"/>
    <x v="0"/>
    <x v="4"/>
    <x v="0"/>
    <x v="0"/>
    <x v="0"/>
    <x v="0"/>
    <m/>
    <x v="0"/>
    <x v="0"/>
    <n v="0.1838322"/>
    <m/>
    <x v="4"/>
    <x v="2"/>
    <x v="0"/>
    <x v="1"/>
    <x v="1"/>
  </r>
  <r>
    <s v="Singapore"/>
    <x v="1"/>
    <s v="SG3"/>
    <m/>
    <x v="2"/>
    <x v="0"/>
    <x v="2"/>
    <x v="1"/>
    <x v="0"/>
    <x v="0"/>
    <x v="0"/>
    <m/>
    <x v="0"/>
    <x v="0"/>
    <n v="-2.0252700000000002E-2"/>
    <m/>
    <x v="2"/>
    <x v="0"/>
    <x v="0"/>
    <x v="2"/>
    <x v="1"/>
  </r>
  <r>
    <s v="Singapore"/>
    <x v="3"/>
    <s v="SG1"/>
    <m/>
    <x v="1"/>
    <x v="1"/>
    <x v="1"/>
    <x v="1"/>
    <x v="0"/>
    <x v="0"/>
    <x v="0"/>
    <m/>
    <x v="0"/>
    <x v="0"/>
    <n v="0.94252950000000002"/>
    <m/>
    <x v="1"/>
    <x v="1"/>
    <x v="0"/>
    <x v="3"/>
    <x v="2"/>
  </r>
  <r>
    <s v="Singapore"/>
    <x v="4"/>
    <s v="SG4"/>
    <m/>
    <x v="3"/>
    <x v="0"/>
    <x v="2"/>
    <x v="0"/>
    <x v="0"/>
    <x v="0"/>
    <x v="0"/>
    <m/>
    <x v="0"/>
    <x v="0"/>
    <n v="-0.233685"/>
    <m/>
    <x v="0"/>
    <x v="0"/>
    <x v="0"/>
    <x v="1"/>
    <x v="0"/>
  </r>
  <r>
    <s v="Singapore"/>
    <x v="0"/>
    <s v="SG4"/>
    <m/>
    <x v="2"/>
    <x v="0"/>
    <x v="3"/>
    <x v="4"/>
    <x v="0"/>
    <x v="0"/>
    <x v="0"/>
    <m/>
    <x v="0"/>
    <x v="0"/>
    <n v="0.1838322"/>
    <m/>
    <x v="4"/>
    <x v="2"/>
    <x v="0"/>
    <x v="3"/>
    <x v="2"/>
  </r>
  <r>
    <s v="Singapore"/>
    <x v="3"/>
    <s v="SG3"/>
    <m/>
    <x v="3"/>
    <x v="3"/>
    <x v="3"/>
    <x v="1"/>
    <x v="0"/>
    <x v="0"/>
    <x v="0"/>
    <m/>
    <x v="0"/>
    <x v="0"/>
    <n v="-0.42063300000000003"/>
    <m/>
    <x v="4"/>
    <x v="1"/>
    <x v="0"/>
    <x v="4"/>
    <x v="1"/>
  </r>
  <r>
    <s v="Singapore"/>
    <x v="4"/>
    <s v="SG3"/>
    <m/>
    <x v="2"/>
    <x v="1"/>
    <x v="1"/>
    <x v="0"/>
    <x v="0"/>
    <x v="0"/>
    <x v="0"/>
    <m/>
    <x v="0"/>
    <x v="0"/>
    <n v="-2.33685E-2"/>
    <m/>
    <x v="0"/>
    <x v="1"/>
    <x v="0"/>
    <x v="1"/>
    <x v="1"/>
  </r>
  <r>
    <s v="Singapore"/>
    <x v="4"/>
    <s v="SG4"/>
    <m/>
    <x v="5"/>
    <x v="3"/>
    <x v="2"/>
    <x v="1"/>
    <x v="0"/>
    <x v="0"/>
    <x v="0"/>
    <m/>
    <x v="0"/>
    <x v="0"/>
    <n v="-0.12463200000000001"/>
    <m/>
    <x v="0"/>
    <x v="0"/>
    <x v="0"/>
    <x v="4"/>
    <x v="2"/>
  </r>
  <r>
    <s v="Singapore"/>
    <x v="4"/>
    <s v="SG4"/>
    <m/>
    <x v="5"/>
    <x v="2"/>
    <x v="0"/>
    <x v="2"/>
    <x v="0"/>
    <x v="0"/>
    <x v="0"/>
    <m/>
    <x v="0"/>
    <x v="0"/>
    <n v="6.0758100000000002E-2"/>
    <m/>
    <x v="3"/>
    <x v="1"/>
    <x v="0"/>
    <x v="2"/>
    <x v="1"/>
  </r>
  <r>
    <s v="Singapore"/>
    <x v="5"/>
    <s v="SG4"/>
    <m/>
    <x v="4"/>
    <x v="3"/>
    <x v="3"/>
    <x v="4"/>
    <x v="0"/>
    <x v="0"/>
    <x v="0"/>
    <m/>
    <x v="0"/>
    <x v="0"/>
    <n v="-0.20096910000000001"/>
    <m/>
    <x v="3"/>
    <x v="2"/>
    <x v="0"/>
    <x v="1"/>
    <x v="1"/>
  </r>
  <r>
    <s v="Singapore"/>
    <x v="4"/>
    <s v="SG1"/>
    <m/>
    <x v="4"/>
    <x v="1"/>
    <x v="3"/>
    <x v="1"/>
    <x v="0"/>
    <x v="0"/>
    <x v="0"/>
    <m/>
    <x v="0"/>
    <x v="0"/>
    <n v="0.27959631300000004"/>
    <m/>
    <x v="8"/>
    <x v="2"/>
    <x v="0"/>
    <x v="5"/>
    <x v="0"/>
  </r>
  <r>
    <s v="Singapore"/>
    <x v="4"/>
    <s v="SG2"/>
    <m/>
    <x v="4"/>
    <x v="1"/>
    <x v="4"/>
    <x v="5"/>
    <x v="0"/>
    <x v="0"/>
    <x v="0"/>
    <m/>
    <x v="0"/>
    <x v="0"/>
    <n v="-1.5579000000000001E-2"/>
    <m/>
    <x v="0"/>
    <x v="0"/>
    <x v="0"/>
    <x v="2"/>
    <x v="2"/>
  </r>
  <r>
    <s v="Singapore"/>
    <x v="0"/>
    <s v="SG1"/>
    <m/>
    <x v="0"/>
    <x v="2"/>
    <x v="2"/>
    <x v="5"/>
    <x v="0"/>
    <x v="0"/>
    <x v="0"/>
    <m/>
    <x v="0"/>
    <x v="0"/>
    <n v="1.9473750000000001"/>
    <m/>
    <x v="1"/>
    <x v="0"/>
    <x v="0"/>
    <x v="1"/>
    <x v="0"/>
  </r>
  <r>
    <s v="Singapore"/>
    <x v="3"/>
    <s v="SG1"/>
    <m/>
    <x v="1"/>
    <x v="3"/>
    <x v="3"/>
    <x v="1"/>
    <x v="0"/>
    <x v="0"/>
    <x v="0"/>
    <m/>
    <x v="0"/>
    <x v="0"/>
    <n v="-0.24926400000000001"/>
    <m/>
    <x v="0"/>
    <x v="1"/>
    <x v="0"/>
    <x v="1"/>
    <x v="0"/>
  </r>
  <r>
    <s v="Singapore"/>
    <x v="3"/>
    <s v="SG2"/>
    <m/>
    <x v="0"/>
    <x v="1"/>
    <x v="2"/>
    <x v="5"/>
    <x v="0"/>
    <x v="0"/>
    <x v="0"/>
    <m/>
    <x v="0"/>
    <x v="0"/>
    <n v="2.3368500000000001E-3"/>
    <m/>
    <x v="6"/>
    <x v="0"/>
    <x v="0"/>
    <x v="0"/>
    <x v="1"/>
  </r>
  <r>
    <s v="Singapore"/>
    <x v="5"/>
    <s v="SG4"/>
    <m/>
    <x v="0"/>
    <x v="4"/>
    <x v="1"/>
    <x v="4"/>
    <x v="0"/>
    <x v="0"/>
    <x v="0"/>
    <m/>
    <x v="0"/>
    <x v="0"/>
    <n v="0.67644018000000006"/>
    <m/>
    <x v="1"/>
    <x v="1"/>
    <x v="0"/>
    <x v="3"/>
    <x v="1"/>
  </r>
  <r>
    <s v="Singapore"/>
    <x v="0"/>
    <s v="SG3"/>
    <m/>
    <x v="4"/>
    <x v="0"/>
    <x v="1"/>
    <x v="4"/>
    <x v="0"/>
    <x v="0"/>
    <x v="0"/>
    <m/>
    <x v="0"/>
    <x v="0"/>
    <n v="-1081.1311893"/>
    <m/>
    <x v="1"/>
    <x v="3"/>
    <x v="0"/>
    <x v="3"/>
    <x v="0"/>
  </r>
  <r>
    <s v="Singapore"/>
    <x v="0"/>
    <s v="SG2"/>
    <m/>
    <x v="1"/>
    <x v="3"/>
    <x v="1"/>
    <x v="3"/>
    <x v="0"/>
    <x v="0"/>
    <x v="0"/>
    <m/>
    <x v="0"/>
    <x v="0"/>
    <n v="-1.38933522"/>
    <m/>
    <x v="0"/>
    <x v="2"/>
    <x v="0"/>
    <x v="1"/>
    <x v="2"/>
  </r>
  <r>
    <s v="Singapore"/>
    <x v="1"/>
    <s v="SG4"/>
    <m/>
    <x v="3"/>
    <x v="3"/>
    <x v="4"/>
    <x v="4"/>
    <x v="0"/>
    <x v="0"/>
    <x v="0"/>
    <m/>
    <x v="0"/>
    <x v="0"/>
    <n v="-0.37389600000000001"/>
    <m/>
    <x v="4"/>
    <x v="1"/>
    <x v="0"/>
    <x v="0"/>
    <x v="0"/>
  </r>
  <r>
    <s v="Singapore"/>
    <x v="0"/>
    <s v="SG4"/>
    <m/>
    <x v="1"/>
    <x v="1"/>
    <x v="4"/>
    <x v="5"/>
    <x v="0"/>
    <x v="0"/>
    <x v="0"/>
    <m/>
    <x v="0"/>
    <x v="0"/>
    <n v="-0.14052258000000001"/>
    <m/>
    <x v="3"/>
    <x v="2"/>
    <x v="0"/>
    <x v="0"/>
    <x v="1"/>
  </r>
  <r>
    <s v="Singapore"/>
    <x v="1"/>
    <s v="SG1"/>
    <m/>
    <x v="2"/>
    <x v="1"/>
    <x v="0"/>
    <x v="4"/>
    <x v="0"/>
    <x v="0"/>
    <x v="0"/>
    <m/>
    <x v="0"/>
    <x v="0"/>
    <n v="-0.12463200000000001"/>
    <m/>
    <x v="0"/>
    <x v="3"/>
    <x v="0"/>
    <x v="0"/>
    <x v="1"/>
  </r>
  <r>
    <s v="Singapore"/>
    <x v="4"/>
    <s v="SG2"/>
    <m/>
    <x v="0"/>
    <x v="0"/>
    <x v="1"/>
    <x v="2"/>
    <x v="0"/>
    <x v="0"/>
    <x v="0"/>
    <m/>
    <x v="0"/>
    <x v="0"/>
    <n v="-4.6737000000000001E-2"/>
    <m/>
    <x v="0"/>
    <x v="2"/>
    <x v="0"/>
    <x v="4"/>
    <x v="2"/>
  </r>
  <r>
    <s v="Singapore"/>
    <x v="1"/>
    <s v="SG2"/>
    <m/>
    <x v="3"/>
    <x v="3"/>
    <x v="4"/>
    <x v="0"/>
    <x v="0"/>
    <x v="0"/>
    <x v="0"/>
    <m/>
    <x v="0"/>
    <x v="0"/>
    <n v="1.1450565000000001"/>
    <m/>
    <x v="1"/>
    <x v="1"/>
    <x v="0"/>
    <x v="5"/>
    <x v="0"/>
  </r>
  <r>
    <s v="Singapore"/>
    <x v="2"/>
    <s v="SG4"/>
    <m/>
    <x v="5"/>
    <x v="2"/>
    <x v="4"/>
    <x v="2"/>
    <x v="0"/>
    <x v="0"/>
    <x v="0"/>
    <m/>
    <x v="0"/>
    <x v="0"/>
    <n v="-0.70105499999999998"/>
    <m/>
    <x v="0"/>
    <x v="3"/>
    <x v="0"/>
    <x v="1"/>
    <x v="2"/>
  </r>
  <r>
    <s v="Singapore"/>
    <x v="4"/>
    <s v="SG2"/>
    <m/>
    <x v="2"/>
    <x v="4"/>
    <x v="0"/>
    <x v="5"/>
    <x v="0"/>
    <x v="0"/>
    <x v="0"/>
    <m/>
    <x v="0"/>
    <x v="0"/>
    <n v="-0.280422"/>
    <m/>
    <x v="0"/>
    <x v="1"/>
    <x v="0"/>
    <x v="0"/>
    <x v="2"/>
  </r>
  <r>
    <s v="Singapore"/>
    <x v="2"/>
    <s v="SG2"/>
    <m/>
    <x v="4"/>
    <x v="2"/>
    <x v="1"/>
    <x v="0"/>
    <x v="0"/>
    <x v="0"/>
    <x v="0"/>
    <m/>
    <x v="0"/>
    <x v="0"/>
    <n v="-0.58265460000000002"/>
    <m/>
    <x v="1"/>
    <x v="0"/>
    <x v="0"/>
    <x v="2"/>
    <x v="0"/>
  </r>
  <r>
    <s v="Singapore"/>
    <x v="4"/>
    <s v="SG3"/>
    <m/>
    <x v="0"/>
    <x v="3"/>
    <x v="3"/>
    <x v="3"/>
    <x v="0"/>
    <x v="0"/>
    <x v="0"/>
    <m/>
    <x v="0"/>
    <x v="0"/>
    <n v="41.655130200000002"/>
    <m/>
    <x v="1"/>
    <x v="1"/>
    <x v="0"/>
    <x v="5"/>
    <x v="0"/>
  </r>
  <r>
    <s v="Singapore"/>
    <x v="2"/>
    <s v="SG1"/>
    <m/>
    <x v="3"/>
    <x v="4"/>
    <x v="2"/>
    <x v="5"/>
    <x v="0"/>
    <x v="0"/>
    <x v="0"/>
    <m/>
    <x v="0"/>
    <x v="0"/>
    <n v="-0.2258955"/>
    <m/>
    <x v="0"/>
    <x v="0"/>
    <x v="0"/>
    <x v="3"/>
    <x v="1"/>
  </r>
  <r>
    <s v="Singapore"/>
    <x v="4"/>
    <s v="SG3"/>
    <m/>
    <x v="2"/>
    <x v="1"/>
    <x v="1"/>
    <x v="3"/>
    <x v="0"/>
    <x v="0"/>
    <x v="0"/>
    <m/>
    <x v="0"/>
    <x v="0"/>
    <n v="-0.280422"/>
    <m/>
    <x v="0"/>
    <x v="3"/>
    <x v="0"/>
    <x v="1"/>
    <x v="1"/>
  </r>
  <r>
    <s v="Singapore"/>
    <x v="3"/>
    <s v="SG1"/>
    <m/>
    <x v="0"/>
    <x v="3"/>
    <x v="2"/>
    <x v="4"/>
    <x v="0"/>
    <x v="0"/>
    <x v="0"/>
    <m/>
    <x v="0"/>
    <x v="0"/>
    <n v="-0.77895000000000003"/>
    <m/>
    <x v="4"/>
    <x v="0"/>
    <x v="0"/>
    <x v="4"/>
    <x v="2"/>
  </r>
  <r>
    <s v="Singapore"/>
    <x v="1"/>
    <s v="SG1"/>
    <m/>
    <x v="1"/>
    <x v="2"/>
    <x v="0"/>
    <x v="4"/>
    <x v="0"/>
    <x v="0"/>
    <x v="0"/>
    <m/>
    <x v="0"/>
    <x v="0"/>
    <n v="-0.28043757899999999"/>
    <m/>
    <x v="6"/>
    <x v="0"/>
    <x v="0"/>
    <x v="1"/>
    <x v="2"/>
  </r>
  <r>
    <s v="Singapore"/>
    <x v="1"/>
    <s v="SG4"/>
    <m/>
    <x v="2"/>
    <x v="3"/>
    <x v="2"/>
    <x v="5"/>
    <x v="0"/>
    <x v="0"/>
    <x v="0"/>
    <m/>
    <x v="0"/>
    <x v="0"/>
    <n v="2.8556307000000003"/>
    <m/>
    <x v="1"/>
    <x v="1"/>
    <x v="0"/>
    <x v="4"/>
    <x v="0"/>
  </r>
  <r>
    <s v="Singapore"/>
    <x v="4"/>
    <s v="SG1"/>
    <m/>
    <x v="0"/>
    <x v="1"/>
    <x v="4"/>
    <x v="0"/>
    <x v="0"/>
    <x v="0"/>
    <x v="0"/>
    <m/>
    <x v="0"/>
    <x v="0"/>
    <n v="-10.593720000000001"/>
    <m/>
    <x v="4"/>
    <x v="2"/>
    <x v="0"/>
    <x v="4"/>
    <x v="0"/>
  </r>
  <r>
    <s v="Singapore"/>
    <x v="3"/>
    <s v="SG3"/>
    <m/>
    <x v="4"/>
    <x v="4"/>
    <x v="1"/>
    <x v="4"/>
    <x v="0"/>
    <x v="0"/>
    <x v="0"/>
    <m/>
    <x v="0"/>
    <x v="0"/>
    <n v="-6.512022"/>
    <m/>
    <x v="4"/>
    <x v="1"/>
    <x v="0"/>
    <x v="4"/>
    <x v="1"/>
  </r>
  <r>
    <s v="Singapore"/>
    <x v="5"/>
    <s v="SG1"/>
    <m/>
    <x v="1"/>
    <x v="4"/>
    <x v="0"/>
    <x v="2"/>
    <x v="0"/>
    <x v="0"/>
    <x v="0"/>
    <m/>
    <x v="0"/>
    <x v="0"/>
    <n v="-0.60758100000000004"/>
    <m/>
    <x v="1"/>
    <x v="2"/>
    <x v="0"/>
    <x v="0"/>
    <x v="1"/>
  </r>
  <r>
    <s v="Singapore"/>
    <x v="2"/>
    <s v="SG3"/>
    <m/>
    <x v="2"/>
    <x v="4"/>
    <x v="2"/>
    <x v="2"/>
    <x v="0"/>
    <x v="0"/>
    <x v="0"/>
    <m/>
    <x v="0"/>
    <x v="0"/>
    <n v="-3.1158000000000002E-2"/>
    <m/>
    <x v="6"/>
    <x v="0"/>
    <x v="0"/>
    <x v="2"/>
    <x v="0"/>
  </r>
  <r>
    <s v="Singapore"/>
    <x v="4"/>
    <s v="SG2"/>
    <m/>
    <x v="5"/>
    <x v="0"/>
    <x v="1"/>
    <x v="4"/>
    <x v="0"/>
    <x v="0"/>
    <x v="0"/>
    <m/>
    <x v="0"/>
    <x v="0"/>
    <n v="-1.5579000000000001E-2"/>
    <m/>
    <x v="0"/>
    <x v="3"/>
    <x v="0"/>
    <x v="0"/>
    <x v="2"/>
  </r>
  <r>
    <s v="Singapore"/>
    <x v="1"/>
    <s v="SG1"/>
    <m/>
    <x v="4"/>
    <x v="0"/>
    <x v="2"/>
    <x v="2"/>
    <x v="0"/>
    <x v="0"/>
    <x v="0"/>
    <m/>
    <x v="0"/>
    <x v="0"/>
    <n v="1.0801232280000002"/>
    <m/>
    <x v="1"/>
    <x v="3"/>
    <x v="0"/>
    <x v="2"/>
    <x v="1"/>
  </r>
  <r>
    <s v="Singapore"/>
    <x v="5"/>
    <s v="SG1"/>
    <m/>
    <x v="2"/>
    <x v="2"/>
    <x v="1"/>
    <x v="4"/>
    <x v="0"/>
    <x v="0"/>
    <x v="0"/>
    <m/>
    <x v="0"/>
    <x v="0"/>
    <n v="-4.2063300000000003"/>
    <m/>
    <x v="6"/>
    <x v="2"/>
    <x v="0"/>
    <x v="0"/>
    <x v="2"/>
  </r>
  <r>
    <s v="Singapore"/>
    <x v="5"/>
    <s v="SG1"/>
    <m/>
    <x v="3"/>
    <x v="1"/>
    <x v="1"/>
    <x v="1"/>
    <x v="0"/>
    <x v="0"/>
    <x v="0"/>
    <m/>
    <x v="0"/>
    <x v="0"/>
    <n v="-0.12463200000000001"/>
    <m/>
    <x v="0"/>
    <x v="3"/>
    <x v="0"/>
    <x v="0"/>
    <x v="0"/>
  </r>
  <r>
    <s v="Singapore"/>
    <x v="3"/>
    <s v="SG3"/>
    <m/>
    <x v="2"/>
    <x v="0"/>
    <x v="1"/>
    <x v="4"/>
    <x v="0"/>
    <x v="0"/>
    <x v="0"/>
    <m/>
    <x v="0"/>
    <x v="0"/>
    <n v="-0.12463200000000001"/>
    <m/>
    <x v="4"/>
    <x v="2"/>
    <x v="0"/>
    <x v="3"/>
    <x v="2"/>
  </r>
  <r>
    <s v="Singapore"/>
    <x v="5"/>
    <s v="SG2"/>
    <m/>
    <x v="0"/>
    <x v="4"/>
    <x v="1"/>
    <x v="4"/>
    <x v="0"/>
    <x v="0"/>
    <x v="0"/>
    <m/>
    <x v="0"/>
    <x v="0"/>
    <n v="-9.3474000000000002E-2"/>
    <m/>
    <x v="0"/>
    <x v="2"/>
    <x v="0"/>
    <x v="3"/>
    <x v="2"/>
  </r>
  <r>
    <s v="Singapore"/>
    <x v="3"/>
    <s v="SG2"/>
    <m/>
    <x v="0"/>
    <x v="0"/>
    <x v="3"/>
    <x v="5"/>
    <x v="0"/>
    <x v="0"/>
    <x v="0"/>
    <m/>
    <x v="0"/>
    <x v="0"/>
    <n v="1.1429533350000001"/>
    <m/>
    <x v="1"/>
    <x v="2"/>
    <x v="0"/>
    <x v="3"/>
    <x v="0"/>
  </r>
  <r>
    <s v="Singapore"/>
    <x v="5"/>
    <s v="SG3"/>
    <m/>
    <x v="3"/>
    <x v="1"/>
    <x v="1"/>
    <x v="4"/>
    <x v="0"/>
    <x v="0"/>
    <x v="0"/>
    <m/>
    <x v="0"/>
    <x v="0"/>
    <n v="-1.2463200000000001"/>
    <m/>
    <x v="4"/>
    <x v="3"/>
    <x v="0"/>
    <x v="3"/>
    <x v="0"/>
  </r>
  <r>
    <s v="Singapore"/>
    <x v="3"/>
    <s v="SG1"/>
    <m/>
    <x v="0"/>
    <x v="0"/>
    <x v="0"/>
    <x v="3"/>
    <x v="0"/>
    <x v="0"/>
    <x v="0"/>
    <m/>
    <x v="0"/>
    <x v="0"/>
    <n v="6.2741618280000004"/>
    <m/>
    <x v="7"/>
    <x v="0"/>
    <x v="0"/>
    <x v="1"/>
    <x v="2"/>
  </r>
  <r>
    <s v="Singapore"/>
    <x v="2"/>
    <s v="SG3"/>
    <m/>
    <x v="4"/>
    <x v="4"/>
    <x v="4"/>
    <x v="3"/>
    <x v="0"/>
    <x v="0"/>
    <x v="0"/>
    <m/>
    <x v="0"/>
    <x v="0"/>
    <n v="-3.5831700000000004"/>
    <m/>
    <x v="1"/>
    <x v="3"/>
    <x v="0"/>
    <x v="2"/>
    <x v="0"/>
  </r>
  <r>
    <s v="Singapore"/>
    <x v="0"/>
    <s v="SG2"/>
    <m/>
    <x v="1"/>
    <x v="0"/>
    <x v="4"/>
    <x v="3"/>
    <x v="0"/>
    <x v="0"/>
    <x v="0"/>
    <m/>
    <x v="0"/>
    <x v="0"/>
    <n v="0.12463200000000001"/>
    <m/>
    <x v="1"/>
    <x v="0"/>
    <x v="0"/>
    <x v="4"/>
    <x v="1"/>
  </r>
  <r>
    <s v="Singapore"/>
    <x v="3"/>
    <s v="SG2"/>
    <m/>
    <x v="0"/>
    <x v="0"/>
    <x v="3"/>
    <x v="4"/>
    <x v="0"/>
    <x v="0"/>
    <x v="0"/>
    <m/>
    <x v="0"/>
    <x v="0"/>
    <n v="-9.3474000000000002E-2"/>
    <m/>
    <x v="0"/>
    <x v="2"/>
    <x v="0"/>
    <x v="0"/>
    <x v="0"/>
  </r>
  <r>
    <s v="Singapore"/>
    <x v="0"/>
    <s v="SG1"/>
    <m/>
    <x v="3"/>
    <x v="0"/>
    <x v="4"/>
    <x v="3"/>
    <x v="0"/>
    <x v="0"/>
    <x v="0"/>
    <m/>
    <x v="0"/>
    <x v="0"/>
    <n v="2.4627283200000001"/>
    <m/>
    <x v="1"/>
    <x v="1"/>
    <x v="0"/>
    <x v="3"/>
    <x v="1"/>
  </r>
  <r>
    <s v="Singapore"/>
    <x v="2"/>
    <s v="SG2"/>
    <m/>
    <x v="0"/>
    <x v="2"/>
    <x v="1"/>
    <x v="3"/>
    <x v="0"/>
    <x v="0"/>
    <x v="0"/>
    <m/>
    <x v="0"/>
    <x v="0"/>
    <n v="0.233685"/>
    <m/>
    <x v="0"/>
    <x v="3"/>
    <x v="0"/>
    <x v="0"/>
    <x v="2"/>
  </r>
  <r>
    <s v="Singapore"/>
    <x v="4"/>
    <s v="SG1"/>
    <m/>
    <x v="5"/>
    <x v="4"/>
    <x v="3"/>
    <x v="5"/>
    <x v="0"/>
    <x v="0"/>
    <x v="0"/>
    <m/>
    <x v="0"/>
    <x v="0"/>
    <n v="-0.12463200000000001"/>
    <m/>
    <x v="6"/>
    <x v="1"/>
    <x v="0"/>
    <x v="5"/>
    <x v="2"/>
  </r>
  <r>
    <s v="Singapore"/>
    <x v="4"/>
    <s v="SG3"/>
    <m/>
    <x v="0"/>
    <x v="2"/>
    <x v="4"/>
    <x v="3"/>
    <x v="0"/>
    <x v="0"/>
    <x v="0"/>
    <m/>
    <x v="0"/>
    <x v="0"/>
    <n v="0.21031650000000002"/>
    <m/>
    <x v="1"/>
    <x v="0"/>
    <x v="0"/>
    <x v="0"/>
    <x v="1"/>
  </r>
  <r>
    <s v="Singapore"/>
    <x v="2"/>
    <s v="SG2"/>
    <m/>
    <x v="2"/>
    <x v="3"/>
    <x v="3"/>
    <x v="2"/>
    <x v="0"/>
    <x v="0"/>
    <x v="0"/>
    <m/>
    <x v="0"/>
    <x v="0"/>
    <n v="0.12463200000000001"/>
    <m/>
    <x v="0"/>
    <x v="0"/>
    <x v="0"/>
    <x v="3"/>
    <x v="0"/>
  </r>
  <r>
    <s v="Singapore"/>
    <x v="3"/>
    <s v="SG1"/>
    <m/>
    <x v="2"/>
    <x v="1"/>
    <x v="3"/>
    <x v="3"/>
    <x v="0"/>
    <x v="0"/>
    <x v="0"/>
    <m/>
    <x v="0"/>
    <x v="0"/>
    <n v="-13.235310819000002"/>
    <m/>
    <x v="7"/>
    <x v="3"/>
    <x v="0"/>
    <x v="2"/>
    <x v="0"/>
  </r>
  <r>
    <s v="Singapore"/>
    <x v="4"/>
    <s v="SG3"/>
    <m/>
    <x v="4"/>
    <x v="0"/>
    <x v="4"/>
    <x v="5"/>
    <x v="0"/>
    <x v="0"/>
    <x v="0"/>
    <m/>
    <x v="0"/>
    <x v="0"/>
    <n v="0.46737000000000001"/>
    <m/>
    <x v="1"/>
    <x v="0"/>
    <x v="0"/>
    <x v="3"/>
    <x v="1"/>
  </r>
  <r>
    <s v="Singapore"/>
    <x v="0"/>
    <s v="SG3"/>
    <m/>
    <x v="0"/>
    <x v="0"/>
    <x v="0"/>
    <x v="5"/>
    <x v="0"/>
    <x v="0"/>
    <x v="0"/>
    <m/>
    <x v="0"/>
    <x v="0"/>
    <n v="-1.5579000000000001E-2"/>
    <m/>
    <x v="0"/>
    <x v="3"/>
    <x v="0"/>
    <x v="5"/>
    <x v="2"/>
  </r>
  <r>
    <s v="Singapore"/>
    <x v="2"/>
    <s v="SG2"/>
    <m/>
    <x v="4"/>
    <x v="3"/>
    <x v="3"/>
    <x v="1"/>
    <x v="0"/>
    <x v="0"/>
    <x v="0"/>
    <m/>
    <x v="0"/>
    <x v="0"/>
    <n v="20.61537912"/>
    <m/>
    <x v="7"/>
    <x v="0"/>
    <x v="0"/>
    <x v="2"/>
    <x v="1"/>
  </r>
  <r>
    <s v="Singapore"/>
    <x v="3"/>
    <s v="SG2"/>
    <m/>
    <x v="1"/>
    <x v="4"/>
    <x v="1"/>
    <x v="0"/>
    <x v="0"/>
    <x v="0"/>
    <x v="0"/>
    <m/>
    <x v="0"/>
    <x v="0"/>
    <n v="-34.054213994999998"/>
    <m/>
    <x v="4"/>
    <x v="3"/>
    <x v="0"/>
    <x v="0"/>
    <x v="2"/>
  </r>
  <r>
    <s v="Singapore"/>
    <x v="0"/>
    <s v="SG4"/>
    <m/>
    <x v="3"/>
    <x v="4"/>
    <x v="4"/>
    <x v="4"/>
    <x v="0"/>
    <x v="0"/>
    <x v="0"/>
    <m/>
    <x v="0"/>
    <x v="0"/>
    <n v="-3.1158000000000002E-2"/>
    <m/>
    <x v="0"/>
    <x v="0"/>
    <x v="0"/>
    <x v="1"/>
    <x v="0"/>
  </r>
  <r>
    <s v="Singapore"/>
    <x v="1"/>
    <s v="SG3"/>
    <m/>
    <x v="1"/>
    <x v="3"/>
    <x v="4"/>
    <x v="2"/>
    <x v="0"/>
    <x v="0"/>
    <x v="0"/>
    <m/>
    <x v="0"/>
    <x v="0"/>
    <n v="-4.6737000000000001E-2"/>
    <m/>
    <x v="0"/>
    <x v="1"/>
    <x v="0"/>
    <x v="2"/>
    <x v="0"/>
  </r>
  <r>
    <s v="Singapore"/>
    <x v="5"/>
    <s v="SG1"/>
    <m/>
    <x v="3"/>
    <x v="1"/>
    <x v="4"/>
    <x v="1"/>
    <x v="0"/>
    <x v="0"/>
    <x v="0"/>
    <m/>
    <x v="0"/>
    <x v="0"/>
    <n v="-4.6737000000000002"/>
    <m/>
    <x v="4"/>
    <x v="1"/>
    <x v="0"/>
    <x v="4"/>
    <x v="0"/>
  </r>
  <r>
    <s v="Singapore"/>
    <x v="3"/>
    <s v="SG3"/>
    <m/>
    <x v="3"/>
    <x v="0"/>
    <x v="3"/>
    <x v="1"/>
    <x v="0"/>
    <x v="0"/>
    <x v="0"/>
    <m/>
    <x v="0"/>
    <x v="0"/>
    <n v="-0.81010800000000005"/>
    <m/>
    <x v="4"/>
    <x v="3"/>
    <x v="0"/>
    <x v="2"/>
    <x v="1"/>
  </r>
  <r>
    <s v="Singapore"/>
    <x v="0"/>
    <s v="SG4"/>
    <m/>
    <x v="3"/>
    <x v="3"/>
    <x v="3"/>
    <x v="1"/>
    <x v="0"/>
    <x v="0"/>
    <x v="0"/>
    <m/>
    <x v="0"/>
    <x v="0"/>
    <n v="-0.140211"/>
    <m/>
    <x v="0"/>
    <x v="1"/>
    <x v="0"/>
    <x v="5"/>
    <x v="2"/>
  </r>
  <r>
    <s v="Singapore"/>
    <x v="0"/>
    <s v="SG2"/>
    <m/>
    <x v="2"/>
    <x v="3"/>
    <x v="2"/>
    <x v="0"/>
    <x v="0"/>
    <x v="0"/>
    <x v="0"/>
    <m/>
    <x v="0"/>
    <x v="0"/>
    <n v="0.83917841400000004"/>
    <m/>
    <x v="6"/>
    <x v="0"/>
    <x v="0"/>
    <x v="4"/>
    <x v="2"/>
  </r>
  <r>
    <s v="Singapore"/>
    <x v="2"/>
    <s v="SG1"/>
    <m/>
    <x v="1"/>
    <x v="1"/>
    <x v="4"/>
    <x v="4"/>
    <x v="0"/>
    <x v="0"/>
    <x v="0"/>
    <m/>
    <x v="0"/>
    <x v="0"/>
    <n v="-6.2689896000000003"/>
    <m/>
    <x v="3"/>
    <x v="0"/>
    <x v="0"/>
    <x v="5"/>
    <x v="1"/>
  </r>
  <r>
    <s v="Singapore"/>
    <x v="5"/>
    <s v="SG1"/>
    <m/>
    <x v="5"/>
    <x v="4"/>
    <x v="0"/>
    <x v="1"/>
    <x v="0"/>
    <x v="0"/>
    <x v="0"/>
    <m/>
    <x v="0"/>
    <x v="0"/>
    <n v="0.53747549999999999"/>
    <m/>
    <x v="1"/>
    <x v="2"/>
    <x v="0"/>
    <x v="2"/>
    <x v="2"/>
  </r>
  <r>
    <s v="Singapore"/>
    <x v="0"/>
    <s v="SG2"/>
    <m/>
    <x v="4"/>
    <x v="0"/>
    <x v="2"/>
    <x v="1"/>
    <x v="0"/>
    <x v="0"/>
    <x v="0"/>
    <m/>
    <x v="0"/>
    <x v="0"/>
    <n v="0.1308636"/>
    <m/>
    <x v="3"/>
    <x v="2"/>
    <x v="0"/>
    <x v="5"/>
    <x v="0"/>
  </r>
  <r>
    <s v="Singapore"/>
    <x v="1"/>
    <s v="SG2"/>
    <m/>
    <x v="5"/>
    <x v="4"/>
    <x v="1"/>
    <x v="1"/>
    <x v="0"/>
    <x v="0"/>
    <x v="0"/>
    <m/>
    <x v="0"/>
    <x v="0"/>
    <n v="-6.2316000000000003E-2"/>
    <m/>
    <x v="6"/>
    <x v="1"/>
    <x v="0"/>
    <x v="1"/>
    <x v="1"/>
  </r>
  <r>
    <s v="Singapore"/>
    <x v="1"/>
    <s v="SG2"/>
    <m/>
    <x v="3"/>
    <x v="2"/>
    <x v="2"/>
    <x v="4"/>
    <x v="0"/>
    <x v="0"/>
    <x v="0"/>
    <m/>
    <x v="0"/>
    <x v="0"/>
    <n v="-3.0771640800000002"/>
    <m/>
    <x v="0"/>
    <x v="1"/>
    <x v="0"/>
    <x v="4"/>
    <x v="0"/>
  </r>
  <r>
    <s v="Singapore"/>
    <x v="4"/>
    <s v="SG3"/>
    <m/>
    <x v="1"/>
    <x v="3"/>
    <x v="0"/>
    <x v="4"/>
    <x v="0"/>
    <x v="0"/>
    <x v="0"/>
    <m/>
    <x v="0"/>
    <x v="0"/>
    <n v="-0.545265"/>
    <m/>
    <x v="0"/>
    <x v="2"/>
    <x v="0"/>
    <x v="4"/>
    <x v="2"/>
  </r>
  <r>
    <s v="Singapore"/>
    <x v="0"/>
    <s v="SG1"/>
    <m/>
    <x v="5"/>
    <x v="0"/>
    <x v="1"/>
    <x v="5"/>
    <x v="0"/>
    <x v="0"/>
    <x v="0"/>
    <m/>
    <x v="0"/>
    <x v="0"/>
    <n v="0.17136900000000002"/>
    <m/>
    <x v="8"/>
    <x v="3"/>
    <x v="0"/>
    <x v="4"/>
    <x v="1"/>
  </r>
  <r>
    <s v="Singapore"/>
    <x v="2"/>
    <s v="SG3"/>
    <m/>
    <x v="4"/>
    <x v="4"/>
    <x v="4"/>
    <x v="5"/>
    <x v="0"/>
    <x v="0"/>
    <x v="0"/>
    <m/>
    <x v="0"/>
    <x v="0"/>
    <n v="0.29600100000000001"/>
    <m/>
    <x v="7"/>
    <x v="2"/>
    <x v="0"/>
    <x v="3"/>
    <x v="0"/>
  </r>
  <r>
    <s v="Singapore"/>
    <x v="0"/>
    <s v="SG2"/>
    <m/>
    <x v="3"/>
    <x v="1"/>
    <x v="3"/>
    <x v="2"/>
    <x v="0"/>
    <x v="0"/>
    <x v="0"/>
    <m/>
    <x v="0"/>
    <x v="0"/>
    <n v="-1.5579000000000001E-2"/>
    <m/>
    <x v="0"/>
    <x v="1"/>
    <x v="0"/>
    <x v="5"/>
    <x v="1"/>
  </r>
  <r>
    <s v="Singapore"/>
    <x v="1"/>
    <s v="SG2"/>
    <m/>
    <x v="2"/>
    <x v="2"/>
    <x v="4"/>
    <x v="2"/>
    <x v="0"/>
    <x v="0"/>
    <x v="0"/>
    <m/>
    <x v="0"/>
    <x v="0"/>
    <n v="0.28012599900000001"/>
    <m/>
    <x v="0"/>
    <x v="3"/>
    <x v="0"/>
    <x v="1"/>
    <x v="1"/>
  </r>
  <r>
    <s v="Singapore"/>
    <x v="0"/>
    <s v="SG3"/>
    <m/>
    <x v="4"/>
    <x v="0"/>
    <x v="3"/>
    <x v="3"/>
    <x v="0"/>
    <x v="0"/>
    <x v="0"/>
    <m/>
    <x v="0"/>
    <x v="0"/>
    <n v="-5.1410700000000004E-2"/>
    <m/>
    <x v="3"/>
    <x v="3"/>
    <x v="0"/>
    <x v="4"/>
    <x v="2"/>
  </r>
  <r>
    <s v="Singapore"/>
    <x v="3"/>
    <s v="SG4"/>
    <m/>
    <x v="0"/>
    <x v="3"/>
    <x v="4"/>
    <x v="2"/>
    <x v="0"/>
    <x v="0"/>
    <x v="0"/>
    <m/>
    <x v="0"/>
    <x v="0"/>
    <n v="-1.5579000000000001E-2"/>
    <m/>
    <x v="0"/>
    <x v="0"/>
    <x v="0"/>
    <x v="1"/>
    <x v="1"/>
  </r>
  <r>
    <s v="Singapore"/>
    <x v="2"/>
    <s v="SG2"/>
    <m/>
    <x v="4"/>
    <x v="0"/>
    <x v="1"/>
    <x v="5"/>
    <x v="0"/>
    <x v="0"/>
    <x v="0"/>
    <m/>
    <x v="0"/>
    <x v="0"/>
    <n v="1.1365659450000001"/>
    <m/>
    <x v="1"/>
    <x v="2"/>
    <x v="0"/>
    <x v="5"/>
    <x v="1"/>
  </r>
  <r>
    <s v="Singapore"/>
    <x v="1"/>
    <s v="SG2"/>
    <m/>
    <x v="4"/>
    <x v="0"/>
    <x v="3"/>
    <x v="3"/>
    <x v="0"/>
    <x v="0"/>
    <x v="0"/>
    <m/>
    <x v="0"/>
    <x v="0"/>
    <n v="-1.5579000000000001"/>
    <m/>
    <x v="1"/>
    <x v="2"/>
    <x v="0"/>
    <x v="4"/>
    <x v="0"/>
  </r>
  <r>
    <s v="Singapore"/>
    <x v="0"/>
    <s v="SG1"/>
    <m/>
    <x v="1"/>
    <x v="2"/>
    <x v="2"/>
    <x v="4"/>
    <x v="0"/>
    <x v="0"/>
    <x v="0"/>
    <m/>
    <x v="0"/>
    <x v="0"/>
    <n v="0.46737000000000001"/>
    <m/>
    <x v="7"/>
    <x v="2"/>
    <x v="0"/>
    <x v="3"/>
    <x v="1"/>
  </r>
  <r>
    <s v="Singapore"/>
    <x v="2"/>
    <s v="SG3"/>
    <m/>
    <x v="0"/>
    <x v="0"/>
    <x v="1"/>
    <x v="5"/>
    <x v="0"/>
    <x v="0"/>
    <x v="0"/>
    <m/>
    <x v="0"/>
    <x v="0"/>
    <n v="28.291464000000001"/>
    <m/>
    <x v="2"/>
    <x v="2"/>
    <x v="0"/>
    <x v="4"/>
    <x v="1"/>
  </r>
  <r>
    <s v="Singapore"/>
    <x v="4"/>
    <s v="SG3"/>
    <m/>
    <x v="1"/>
    <x v="0"/>
    <x v="1"/>
    <x v="0"/>
    <x v="0"/>
    <x v="0"/>
    <x v="0"/>
    <m/>
    <x v="0"/>
    <x v="0"/>
    <n v="-2.118744"/>
    <m/>
    <x v="0"/>
    <x v="1"/>
    <x v="0"/>
    <x v="5"/>
    <x v="2"/>
  </r>
  <r>
    <s v="Singapore"/>
    <x v="3"/>
    <s v="SG4"/>
    <m/>
    <x v="0"/>
    <x v="2"/>
    <x v="0"/>
    <x v="3"/>
    <x v="0"/>
    <x v="0"/>
    <x v="0"/>
    <m/>
    <x v="0"/>
    <x v="0"/>
    <n v="-6.2316000000000003"/>
    <m/>
    <x v="4"/>
    <x v="1"/>
    <x v="0"/>
    <x v="3"/>
    <x v="1"/>
  </r>
  <r>
    <s v="Singapore"/>
    <x v="0"/>
    <s v="SG3"/>
    <m/>
    <x v="2"/>
    <x v="1"/>
    <x v="4"/>
    <x v="0"/>
    <x v="0"/>
    <x v="0"/>
    <x v="0"/>
    <m/>
    <x v="0"/>
    <x v="0"/>
    <n v="-7.0105500000000001E-2"/>
    <m/>
    <x v="4"/>
    <x v="3"/>
    <x v="0"/>
    <x v="3"/>
    <x v="0"/>
  </r>
  <r>
    <s v="Singapore"/>
    <x v="4"/>
    <s v="SG2"/>
    <m/>
    <x v="4"/>
    <x v="4"/>
    <x v="1"/>
    <x v="4"/>
    <x v="0"/>
    <x v="0"/>
    <x v="0"/>
    <m/>
    <x v="0"/>
    <x v="0"/>
    <n v="-0.35091697500000002"/>
    <m/>
    <x v="1"/>
    <x v="2"/>
    <x v="0"/>
    <x v="3"/>
    <x v="1"/>
  </r>
  <r>
    <s v="Singapore"/>
    <x v="0"/>
    <s v="SG2"/>
    <m/>
    <x v="3"/>
    <x v="0"/>
    <x v="2"/>
    <x v="1"/>
    <x v="0"/>
    <x v="0"/>
    <x v="0"/>
    <m/>
    <x v="0"/>
    <x v="0"/>
    <n v="20.659062636000002"/>
    <m/>
    <x v="7"/>
    <x v="1"/>
    <x v="0"/>
    <x v="0"/>
    <x v="0"/>
  </r>
  <r>
    <s v="Singapore"/>
    <x v="0"/>
    <s v="SG4"/>
    <m/>
    <x v="4"/>
    <x v="1"/>
    <x v="3"/>
    <x v="4"/>
    <x v="0"/>
    <x v="0"/>
    <x v="0"/>
    <m/>
    <x v="0"/>
    <x v="0"/>
    <n v="1.0801232280000002"/>
    <m/>
    <x v="1"/>
    <x v="0"/>
    <x v="0"/>
    <x v="1"/>
    <x v="2"/>
  </r>
  <r>
    <s v="Singapore"/>
    <x v="1"/>
    <s v="SG4"/>
    <m/>
    <x v="0"/>
    <x v="1"/>
    <x v="4"/>
    <x v="4"/>
    <x v="0"/>
    <x v="0"/>
    <x v="0"/>
    <m/>
    <x v="0"/>
    <x v="0"/>
    <n v="-5.2033860000000001"/>
    <m/>
    <x v="4"/>
    <x v="2"/>
    <x v="0"/>
    <x v="0"/>
    <x v="1"/>
  </r>
  <r>
    <s v="Singapore"/>
    <x v="3"/>
    <s v="SG4"/>
    <m/>
    <x v="0"/>
    <x v="3"/>
    <x v="1"/>
    <x v="5"/>
    <x v="0"/>
    <x v="0"/>
    <x v="0"/>
    <m/>
    <x v="0"/>
    <x v="0"/>
    <n v="-7.7895000000000006E-2"/>
    <m/>
    <x v="4"/>
    <x v="1"/>
    <x v="0"/>
    <x v="1"/>
    <x v="0"/>
  </r>
  <r>
    <s v="Singapore"/>
    <x v="0"/>
    <s v="SG4"/>
    <m/>
    <x v="3"/>
    <x v="0"/>
    <x v="3"/>
    <x v="1"/>
    <x v="0"/>
    <x v="0"/>
    <x v="0"/>
    <m/>
    <x v="0"/>
    <x v="0"/>
    <n v="-0.37389600000000001"/>
    <m/>
    <x v="4"/>
    <x v="3"/>
    <x v="0"/>
    <x v="3"/>
    <x v="1"/>
  </r>
  <r>
    <s v="Singapore"/>
    <x v="5"/>
    <s v="SG3"/>
    <m/>
    <x v="3"/>
    <x v="2"/>
    <x v="0"/>
    <x v="4"/>
    <x v="0"/>
    <x v="0"/>
    <x v="0"/>
    <m/>
    <x v="0"/>
    <x v="0"/>
    <n v="-0.38947500000000002"/>
    <m/>
    <x v="4"/>
    <x v="2"/>
    <x v="0"/>
    <x v="3"/>
    <x v="1"/>
  </r>
  <r>
    <s v="Singapore"/>
    <x v="3"/>
    <s v="SG2"/>
    <m/>
    <x v="3"/>
    <x v="0"/>
    <x v="2"/>
    <x v="3"/>
    <x v="0"/>
    <x v="0"/>
    <x v="0"/>
    <m/>
    <x v="0"/>
    <x v="0"/>
    <n v="-1.2463200000000001"/>
    <m/>
    <x v="4"/>
    <x v="1"/>
    <x v="0"/>
    <x v="5"/>
    <x v="2"/>
  </r>
  <r>
    <s v="Singapore"/>
    <x v="4"/>
    <s v="SG3"/>
    <m/>
    <x v="3"/>
    <x v="2"/>
    <x v="3"/>
    <x v="1"/>
    <x v="0"/>
    <x v="0"/>
    <x v="0"/>
    <m/>
    <x v="0"/>
    <x v="0"/>
    <n v="-4.6737000000000001E-2"/>
    <m/>
    <x v="0"/>
    <x v="0"/>
    <x v="0"/>
    <x v="3"/>
    <x v="1"/>
  </r>
  <r>
    <s v="Singapore"/>
    <x v="5"/>
    <s v="SG3"/>
    <m/>
    <x v="0"/>
    <x v="1"/>
    <x v="0"/>
    <x v="3"/>
    <x v="0"/>
    <x v="0"/>
    <x v="0"/>
    <m/>
    <x v="0"/>
    <x v="0"/>
    <n v="-0.45013962600000001"/>
    <m/>
    <x v="3"/>
    <x v="3"/>
    <x v="0"/>
    <x v="1"/>
    <x v="2"/>
  </r>
  <r>
    <s v="Singapore"/>
    <x v="2"/>
    <s v="SG1"/>
    <m/>
    <x v="3"/>
    <x v="2"/>
    <x v="3"/>
    <x v="3"/>
    <x v="0"/>
    <x v="0"/>
    <x v="0"/>
    <m/>
    <x v="0"/>
    <x v="0"/>
    <n v="1.2463200000000001"/>
    <m/>
    <x v="7"/>
    <x v="2"/>
    <x v="0"/>
    <x v="5"/>
    <x v="1"/>
  </r>
  <r>
    <s v="Singapore"/>
    <x v="2"/>
    <s v="SG2"/>
    <m/>
    <x v="4"/>
    <x v="4"/>
    <x v="4"/>
    <x v="4"/>
    <x v="0"/>
    <x v="0"/>
    <x v="0"/>
    <m/>
    <x v="0"/>
    <x v="0"/>
    <n v="-0.76337100000000002"/>
    <m/>
    <x v="0"/>
    <x v="0"/>
    <x v="0"/>
    <x v="2"/>
    <x v="2"/>
  </r>
  <r>
    <s v="Singapore"/>
    <x v="4"/>
    <s v="SG3"/>
    <m/>
    <x v="1"/>
    <x v="0"/>
    <x v="4"/>
    <x v="1"/>
    <x v="0"/>
    <x v="0"/>
    <x v="0"/>
    <m/>
    <x v="0"/>
    <x v="0"/>
    <n v="-0.12463200000000001"/>
    <m/>
    <x v="0"/>
    <x v="1"/>
    <x v="0"/>
    <x v="1"/>
    <x v="1"/>
  </r>
  <r>
    <s v="Singapore"/>
    <x v="1"/>
    <s v="SG1"/>
    <m/>
    <x v="0"/>
    <x v="3"/>
    <x v="1"/>
    <x v="3"/>
    <x v="0"/>
    <x v="0"/>
    <x v="0"/>
    <m/>
    <x v="0"/>
    <x v="0"/>
    <n v="-1.7915850000000002"/>
    <m/>
    <x v="2"/>
    <x v="1"/>
    <x v="0"/>
    <x v="2"/>
    <x v="1"/>
  </r>
  <r>
    <s v="Singapore"/>
    <x v="5"/>
    <s v="SG2"/>
    <m/>
    <x v="3"/>
    <x v="3"/>
    <x v="3"/>
    <x v="3"/>
    <x v="0"/>
    <x v="0"/>
    <x v="0"/>
    <m/>
    <x v="0"/>
    <x v="0"/>
    <n v="1.2151620000000001"/>
    <m/>
    <x v="1"/>
    <x v="3"/>
    <x v="0"/>
    <x v="5"/>
    <x v="1"/>
  </r>
  <r>
    <s v="Singapore"/>
    <x v="4"/>
    <s v="SG3"/>
    <m/>
    <x v="5"/>
    <x v="4"/>
    <x v="4"/>
    <x v="5"/>
    <x v="0"/>
    <x v="0"/>
    <x v="0"/>
    <m/>
    <x v="0"/>
    <x v="0"/>
    <n v="-2.775180744"/>
    <m/>
    <x v="4"/>
    <x v="0"/>
    <x v="0"/>
    <x v="3"/>
    <x v="1"/>
  </r>
  <r>
    <s v="Singapore"/>
    <x v="0"/>
    <s v="SG1"/>
    <m/>
    <x v="1"/>
    <x v="3"/>
    <x v="2"/>
    <x v="1"/>
    <x v="0"/>
    <x v="0"/>
    <x v="0"/>
    <m/>
    <x v="0"/>
    <x v="0"/>
    <n v="0.74467620000000001"/>
    <m/>
    <x v="1"/>
    <x v="3"/>
    <x v="0"/>
    <x v="0"/>
    <x v="1"/>
  </r>
  <r>
    <s v="Singapore"/>
    <x v="1"/>
    <s v="SG1"/>
    <m/>
    <x v="5"/>
    <x v="0"/>
    <x v="2"/>
    <x v="1"/>
    <x v="0"/>
    <x v="0"/>
    <x v="0"/>
    <m/>
    <x v="0"/>
    <x v="0"/>
    <n v="-0.34273800000000004"/>
    <m/>
    <x v="8"/>
    <x v="0"/>
    <x v="0"/>
    <x v="5"/>
    <x v="1"/>
  </r>
  <r>
    <s v="Singapore"/>
    <x v="1"/>
    <s v="SG1"/>
    <m/>
    <x v="3"/>
    <x v="0"/>
    <x v="2"/>
    <x v="0"/>
    <x v="0"/>
    <x v="0"/>
    <x v="0"/>
    <m/>
    <x v="0"/>
    <x v="0"/>
    <n v="-0.15579000000000001"/>
    <m/>
    <x v="0"/>
    <x v="1"/>
    <x v="0"/>
    <x v="0"/>
    <x v="2"/>
  </r>
  <r>
    <s v="Singapore"/>
    <x v="3"/>
    <s v="SG1"/>
    <m/>
    <x v="2"/>
    <x v="2"/>
    <x v="1"/>
    <x v="3"/>
    <x v="0"/>
    <x v="0"/>
    <x v="0"/>
    <m/>
    <x v="0"/>
    <x v="0"/>
    <n v="0.69843772800000004"/>
    <m/>
    <x v="1"/>
    <x v="0"/>
    <x v="0"/>
    <x v="2"/>
    <x v="1"/>
  </r>
  <r>
    <s v="Singapore"/>
    <x v="4"/>
    <s v="SG4"/>
    <m/>
    <x v="4"/>
    <x v="2"/>
    <x v="3"/>
    <x v="0"/>
    <x v="0"/>
    <x v="0"/>
    <x v="0"/>
    <m/>
    <x v="0"/>
    <x v="0"/>
    <n v="-0.12463200000000001"/>
    <m/>
    <x v="4"/>
    <x v="1"/>
    <x v="0"/>
    <x v="1"/>
    <x v="0"/>
  </r>
  <r>
    <s v="Singapore"/>
    <x v="4"/>
    <s v="SG1"/>
    <m/>
    <x v="2"/>
    <x v="1"/>
    <x v="4"/>
    <x v="2"/>
    <x v="0"/>
    <x v="0"/>
    <x v="0"/>
    <m/>
    <x v="0"/>
    <x v="0"/>
    <n v="-0.62316000000000005"/>
    <m/>
    <x v="4"/>
    <x v="3"/>
    <x v="0"/>
    <x v="4"/>
    <x v="2"/>
  </r>
  <r>
    <s v="Singapore"/>
    <x v="2"/>
    <s v="SG3"/>
    <m/>
    <x v="5"/>
    <x v="4"/>
    <x v="1"/>
    <x v="4"/>
    <x v="0"/>
    <x v="0"/>
    <x v="0"/>
    <m/>
    <x v="0"/>
    <x v="0"/>
    <n v="-7.7895000000000006E-2"/>
    <m/>
    <x v="6"/>
    <x v="2"/>
    <x v="0"/>
    <x v="4"/>
    <x v="1"/>
  </r>
  <r>
    <s v="Singapore"/>
    <x v="1"/>
    <s v="SG3"/>
    <m/>
    <x v="1"/>
    <x v="4"/>
    <x v="1"/>
    <x v="3"/>
    <x v="0"/>
    <x v="0"/>
    <x v="0"/>
    <m/>
    <x v="0"/>
    <x v="0"/>
    <n v="-7.7895000000000006E-2"/>
    <m/>
    <x v="0"/>
    <x v="2"/>
    <x v="0"/>
    <x v="3"/>
    <x v="1"/>
  </r>
  <r>
    <s v="Singapore"/>
    <x v="3"/>
    <s v="SG4"/>
    <m/>
    <x v="0"/>
    <x v="2"/>
    <x v="4"/>
    <x v="5"/>
    <x v="0"/>
    <x v="0"/>
    <x v="0"/>
    <m/>
    <x v="0"/>
    <x v="0"/>
    <n v="0.70105499999999998"/>
    <m/>
    <x v="1"/>
    <x v="0"/>
    <x v="0"/>
    <x v="2"/>
    <x v="2"/>
  </r>
  <r>
    <s v="Singapore"/>
    <x v="1"/>
    <s v="SG4"/>
    <m/>
    <x v="2"/>
    <x v="0"/>
    <x v="4"/>
    <x v="4"/>
    <x v="0"/>
    <x v="0"/>
    <x v="0"/>
    <m/>
    <x v="0"/>
    <x v="0"/>
    <n v="-7.0105500000000003"/>
    <m/>
    <x v="4"/>
    <x v="1"/>
    <x v="0"/>
    <x v="0"/>
    <x v="1"/>
  </r>
  <r>
    <s v="Singapore"/>
    <x v="5"/>
    <s v="SG1"/>
    <m/>
    <x v="1"/>
    <x v="2"/>
    <x v="4"/>
    <x v="2"/>
    <x v="0"/>
    <x v="0"/>
    <x v="0"/>
    <m/>
    <x v="0"/>
    <x v="0"/>
    <n v="-3.1158000000000002E-2"/>
    <m/>
    <x v="0"/>
    <x v="1"/>
    <x v="0"/>
    <x v="5"/>
    <x v="0"/>
  </r>
  <r>
    <s v="Singapore"/>
    <x v="0"/>
    <s v="SG3"/>
    <m/>
    <x v="3"/>
    <x v="1"/>
    <x v="1"/>
    <x v="4"/>
    <x v="0"/>
    <x v="0"/>
    <x v="0"/>
    <m/>
    <x v="0"/>
    <x v="0"/>
    <n v="-1.1871198000000001"/>
    <m/>
    <x v="3"/>
    <x v="1"/>
    <x v="0"/>
    <x v="5"/>
    <x v="1"/>
  </r>
  <r>
    <s v="Singapore"/>
    <x v="4"/>
    <s v="SG4"/>
    <m/>
    <x v="4"/>
    <x v="0"/>
    <x v="1"/>
    <x v="3"/>
    <x v="0"/>
    <x v="0"/>
    <x v="0"/>
    <m/>
    <x v="0"/>
    <x v="0"/>
    <n v="0.74467620000000001"/>
    <m/>
    <x v="1"/>
    <x v="3"/>
    <x v="0"/>
    <x v="0"/>
    <x v="0"/>
  </r>
  <r>
    <s v="Singapore"/>
    <x v="2"/>
    <s v="SG4"/>
    <m/>
    <x v="4"/>
    <x v="0"/>
    <x v="1"/>
    <x v="0"/>
    <x v="0"/>
    <x v="0"/>
    <x v="0"/>
    <m/>
    <x v="0"/>
    <x v="0"/>
    <n v="-0.280422"/>
    <m/>
    <x v="0"/>
    <x v="3"/>
    <x v="0"/>
    <x v="3"/>
    <x v="0"/>
  </r>
  <r>
    <s v="Singapore"/>
    <x v="0"/>
    <s v="SG2"/>
    <m/>
    <x v="5"/>
    <x v="3"/>
    <x v="2"/>
    <x v="2"/>
    <x v="0"/>
    <x v="0"/>
    <x v="0"/>
    <m/>
    <x v="0"/>
    <x v="0"/>
    <n v="-2.33685E-2"/>
    <m/>
    <x v="0"/>
    <x v="0"/>
    <x v="0"/>
    <x v="2"/>
    <x v="2"/>
  </r>
  <r>
    <s v="Singapore"/>
    <x v="3"/>
    <s v="SG4"/>
    <m/>
    <x v="4"/>
    <x v="2"/>
    <x v="3"/>
    <x v="1"/>
    <x v="0"/>
    <x v="0"/>
    <x v="0"/>
    <m/>
    <x v="0"/>
    <x v="0"/>
    <n v="-0.12835538100000002"/>
    <m/>
    <x v="4"/>
    <x v="2"/>
    <x v="0"/>
    <x v="5"/>
    <x v="1"/>
  </r>
  <r>
    <s v="Singapore"/>
    <x v="2"/>
    <s v="SG4"/>
    <m/>
    <x v="5"/>
    <x v="1"/>
    <x v="2"/>
    <x v="5"/>
    <x v="0"/>
    <x v="0"/>
    <x v="0"/>
    <m/>
    <x v="0"/>
    <x v="0"/>
    <n v="-0.186948"/>
    <m/>
    <x v="4"/>
    <x v="3"/>
    <x v="0"/>
    <x v="2"/>
    <x v="2"/>
  </r>
  <r>
    <s v="Singapore"/>
    <x v="2"/>
    <s v="SG2"/>
    <m/>
    <x v="2"/>
    <x v="2"/>
    <x v="3"/>
    <x v="4"/>
    <x v="0"/>
    <x v="0"/>
    <x v="0"/>
    <m/>
    <x v="0"/>
    <x v="0"/>
    <n v="-6.8859180000000002"/>
    <m/>
    <x v="0"/>
    <x v="1"/>
    <x v="0"/>
    <x v="2"/>
    <x v="0"/>
  </r>
  <r>
    <s v="Singapore"/>
    <x v="5"/>
    <s v="SG2"/>
    <m/>
    <x v="3"/>
    <x v="2"/>
    <x v="4"/>
    <x v="2"/>
    <x v="0"/>
    <x v="0"/>
    <x v="0"/>
    <m/>
    <x v="0"/>
    <x v="0"/>
    <n v="-0.31158000000000002"/>
    <m/>
    <x v="0"/>
    <x v="3"/>
    <x v="0"/>
    <x v="2"/>
    <x v="2"/>
  </r>
  <r>
    <s v="Singapore"/>
    <x v="4"/>
    <s v="SG2"/>
    <m/>
    <x v="4"/>
    <x v="2"/>
    <x v="3"/>
    <x v="5"/>
    <x v="0"/>
    <x v="0"/>
    <x v="0"/>
    <m/>
    <x v="0"/>
    <x v="0"/>
    <n v="17.915850000000002"/>
    <m/>
    <x v="1"/>
    <x v="1"/>
    <x v="0"/>
    <x v="1"/>
    <x v="2"/>
  </r>
  <r>
    <s v="Singapore"/>
    <x v="4"/>
    <s v="SG2"/>
    <m/>
    <x v="1"/>
    <x v="2"/>
    <x v="2"/>
    <x v="0"/>
    <x v="0"/>
    <x v="0"/>
    <x v="0"/>
    <m/>
    <x v="0"/>
    <x v="0"/>
    <n v="2.6339415300000004"/>
    <m/>
    <x v="8"/>
    <x v="2"/>
    <x v="0"/>
    <x v="1"/>
    <x v="0"/>
  </r>
  <r>
    <s v="Singapore"/>
    <x v="2"/>
    <s v="SG3"/>
    <m/>
    <x v="4"/>
    <x v="4"/>
    <x v="0"/>
    <x v="2"/>
    <x v="0"/>
    <x v="0"/>
    <x v="0"/>
    <m/>
    <x v="0"/>
    <x v="0"/>
    <n v="-2.6484300000000003"/>
    <m/>
    <x v="1"/>
    <x v="0"/>
    <x v="0"/>
    <x v="5"/>
    <x v="0"/>
  </r>
  <r>
    <s v="Singapore"/>
    <x v="0"/>
    <s v="SG2"/>
    <m/>
    <x v="1"/>
    <x v="3"/>
    <x v="4"/>
    <x v="4"/>
    <x v="0"/>
    <x v="0"/>
    <x v="0"/>
    <m/>
    <x v="0"/>
    <x v="0"/>
    <n v="0.69326550000000009"/>
    <m/>
    <x v="1"/>
    <x v="1"/>
    <x v="0"/>
    <x v="4"/>
    <x v="1"/>
  </r>
  <r>
    <s v="Singapore"/>
    <x v="3"/>
    <s v="SG3"/>
    <m/>
    <x v="5"/>
    <x v="0"/>
    <x v="3"/>
    <x v="5"/>
    <x v="0"/>
    <x v="0"/>
    <x v="0"/>
    <m/>
    <x v="0"/>
    <x v="0"/>
    <n v="-1.9629540000000001"/>
    <m/>
    <x v="0"/>
    <x v="1"/>
    <x v="0"/>
    <x v="3"/>
    <x v="1"/>
  </r>
  <r>
    <s v="Singapore"/>
    <x v="2"/>
    <s v="SG1"/>
    <m/>
    <x v="5"/>
    <x v="1"/>
    <x v="1"/>
    <x v="0"/>
    <x v="0"/>
    <x v="0"/>
    <x v="0"/>
    <m/>
    <x v="0"/>
    <x v="0"/>
    <n v="0.233685"/>
    <m/>
    <x v="1"/>
    <x v="1"/>
    <x v="0"/>
    <x v="0"/>
    <x v="0"/>
  </r>
  <r>
    <s v="Singapore"/>
    <x v="4"/>
    <s v="SG2"/>
    <m/>
    <x v="3"/>
    <x v="4"/>
    <x v="0"/>
    <x v="3"/>
    <x v="0"/>
    <x v="0"/>
    <x v="0"/>
    <m/>
    <x v="0"/>
    <x v="0"/>
    <n v="-0.93474000000000002"/>
    <m/>
    <x v="2"/>
    <x v="3"/>
    <x v="0"/>
    <x v="5"/>
    <x v="0"/>
  </r>
  <r>
    <s v="Singapore"/>
    <x v="3"/>
    <s v="SG3"/>
    <m/>
    <x v="5"/>
    <x v="0"/>
    <x v="3"/>
    <x v="2"/>
    <x v="0"/>
    <x v="0"/>
    <x v="0"/>
    <m/>
    <x v="0"/>
    <x v="0"/>
    <n v="-3.1158000000000002E-2"/>
    <m/>
    <x v="0"/>
    <x v="2"/>
    <x v="0"/>
    <x v="3"/>
    <x v="1"/>
  </r>
  <r>
    <s v="Singapore"/>
    <x v="4"/>
    <s v="SG4"/>
    <m/>
    <x v="5"/>
    <x v="2"/>
    <x v="1"/>
    <x v="0"/>
    <x v="0"/>
    <x v="0"/>
    <x v="0"/>
    <m/>
    <x v="0"/>
    <x v="0"/>
    <n v="0.74467620000000001"/>
    <m/>
    <x v="1"/>
    <x v="0"/>
    <x v="0"/>
    <x v="3"/>
    <x v="0"/>
  </r>
  <r>
    <s v="Singapore"/>
    <x v="3"/>
    <s v="SG3"/>
    <m/>
    <x v="3"/>
    <x v="2"/>
    <x v="1"/>
    <x v="2"/>
    <x v="0"/>
    <x v="0"/>
    <x v="0"/>
    <m/>
    <x v="0"/>
    <x v="0"/>
    <n v="-0.74093724000000005"/>
    <m/>
    <x v="3"/>
    <x v="3"/>
    <x v="0"/>
    <x v="1"/>
    <x v="1"/>
  </r>
  <r>
    <s v="Singapore"/>
    <x v="3"/>
    <s v="SG3"/>
    <m/>
    <x v="0"/>
    <x v="4"/>
    <x v="3"/>
    <x v="2"/>
    <x v="0"/>
    <x v="0"/>
    <x v="0"/>
    <m/>
    <x v="0"/>
    <x v="0"/>
    <n v="-4.6737000000000001E-2"/>
    <m/>
    <x v="0"/>
    <x v="0"/>
    <x v="0"/>
    <x v="5"/>
    <x v="0"/>
  </r>
  <r>
    <s v="Singapore"/>
    <x v="0"/>
    <s v="SG1"/>
    <m/>
    <x v="0"/>
    <x v="0"/>
    <x v="3"/>
    <x v="3"/>
    <x v="0"/>
    <x v="0"/>
    <x v="0"/>
    <m/>
    <x v="0"/>
    <x v="0"/>
    <n v="-2.1031650000000002"/>
    <m/>
    <x v="3"/>
    <x v="1"/>
    <x v="0"/>
    <x v="4"/>
    <x v="0"/>
  </r>
  <r>
    <s v="Singapore"/>
    <x v="1"/>
    <s v="SG2"/>
    <m/>
    <x v="2"/>
    <x v="3"/>
    <x v="0"/>
    <x v="2"/>
    <x v="0"/>
    <x v="0"/>
    <x v="0"/>
    <m/>
    <x v="0"/>
    <x v="0"/>
    <n v="-1.7604270000000002"/>
    <m/>
    <x v="1"/>
    <x v="1"/>
    <x v="0"/>
    <x v="4"/>
    <x v="0"/>
  </r>
  <r>
    <s v="Singapore"/>
    <x v="3"/>
    <s v="SG2"/>
    <m/>
    <x v="2"/>
    <x v="3"/>
    <x v="3"/>
    <x v="1"/>
    <x v="0"/>
    <x v="0"/>
    <x v="0"/>
    <m/>
    <x v="0"/>
    <x v="0"/>
    <n v="-1.5579000000000001E-2"/>
    <m/>
    <x v="0"/>
    <x v="1"/>
    <x v="0"/>
    <x v="4"/>
    <x v="2"/>
  </r>
  <r>
    <s v="Singapore"/>
    <x v="1"/>
    <s v="SG1"/>
    <m/>
    <x v="3"/>
    <x v="2"/>
    <x v="2"/>
    <x v="2"/>
    <x v="0"/>
    <x v="0"/>
    <x v="0"/>
    <m/>
    <x v="0"/>
    <x v="0"/>
    <n v="-3.1158000000000002E-2"/>
    <m/>
    <x v="0"/>
    <x v="2"/>
    <x v="0"/>
    <x v="3"/>
    <x v="0"/>
  </r>
  <r>
    <s v="Singapore"/>
    <x v="4"/>
    <s v="SG1"/>
    <m/>
    <x v="5"/>
    <x v="3"/>
    <x v="1"/>
    <x v="0"/>
    <x v="0"/>
    <x v="0"/>
    <x v="0"/>
    <m/>
    <x v="0"/>
    <x v="0"/>
    <n v="-0.12463200000000001"/>
    <m/>
    <x v="0"/>
    <x v="2"/>
    <x v="0"/>
    <x v="3"/>
    <x v="0"/>
  </r>
  <r>
    <s v="Singapore"/>
    <x v="3"/>
    <s v="SG4"/>
    <m/>
    <x v="0"/>
    <x v="1"/>
    <x v="0"/>
    <x v="3"/>
    <x v="0"/>
    <x v="0"/>
    <x v="0"/>
    <m/>
    <x v="0"/>
    <x v="0"/>
    <n v="4.424436"/>
    <m/>
    <x v="11"/>
    <x v="1"/>
    <x v="0"/>
    <x v="2"/>
    <x v="2"/>
  </r>
  <r>
    <s v="Singapore"/>
    <x v="1"/>
    <s v="SG3"/>
    <m/>
    <x v="0"/>
    <x v="0"/>
    <x v="1"/>
    <x v="0"/>
    <x v="0"/>
    <x v="0"/>
    <x v="0"/>
    <m/>
    <x v="0"/>
    <x v="0"/>
    <n v="-0.1838322"/>
    <m/>
    <x v="4"/>
    <x v="1"/>
    <x v="0"/>
    <x v="0"/>
    <x v="0"/>
  </r>
  <r>
    <s v="Singapore"/>
    <x v="0"/>
    <s v="SG4"/>
    <m/>
    <x v="3"/>
    <x v="3"/>
    <x v="3"/>
    <x v="2"/>
    <x v="0"/>
    <x v="0"/>
    <x v="0"/>
    <m/>
    <x v="0"/>
    <x v="0"/>
    <n v="1.829145969"/>
    <m/>
    <x v="1"/>
    <x v="3"/>
    <x v="0"/>
    <x v="2"/>
    <x v="1"/>
  </r>
  <r>
    <s v="Singapore"/>
    <x v="1"/>
    <s v="SG1"/>
    <m/>
    <x v="0"/>
    <x v="1"/>
    <x v="3"/>
    <x v="3"/>
    <x v="0"/>
    <x v="0"/>
    <x v="0"/>
    <m/>
    <x v="0"/>
    <x v="0"/>
    <n v="11.392424172000002"/>
    <m/>
    <x v="7"/>
    <x v="0"/>
    <x v="0"/>
    <x v="4"/>
    <x v="1"/>
  </r>
  <r>
    <s v="Singapore"/>
    <x v="2"/>
    <s v="SG3"/>
    <m/>
    <x v="3"/>
    <x v="2"/>
    <x v="0"/>
    <x v="2"/>
    <x v="0"/>
    <x v="0"/>
    <x v="0"/>
    <m/>
    <x v="0"/>
    <x v="0"/>
    <n v="-0.38947500000000002"/>
    <m/>
    <x v="4"/>
    <x v="0"/>
    <x v="0"/>
    <x v="3"/>
    <x v="2"/>
  </r>
  <r>
    <s v="Singapore"/>
    <x v="3"/>
    <s v="SG4"/>
    <m/>
    <x v="5"/>
    <x v="3"/>
    <x v="4"/>
    <x v="4"/>
    <x v="0"/>
    <x v="0"/>
    <x v="0"/>
    <m/>
    <x v="0"/>
    <x v="0"/>
    <n v="-0.15579000000000001"/>
    <m/>
    <x v="4"/>
    <x v="0"/>
    <x v="0"/>
    <x v="2"/>
    <x v="0"/>
  </r>
  <r>
    <s v="Singapore"/>
    <x v="0"/>
    <s v="SG3"/>
    <m/>
    <x v="3"/>
    <x v="1"/>
    <x v="0"/>
    <x v="1"/>
    <x v="0"/>
    <x v="0"/>
    <x v="0"/>
    <m/>
    <x v="0"/>
    <x v="0"/>
    <n v="-0.20252700000000001"/>
    <m/>
    <x v="8"/>
    <x v="3"/>
    <x v="0"/>
    <x v="1"/>
    <x v="0"/>
  </r>
  <r>
    <s v="Singapore"/>
    <x v="0"/>
    <s v="SG3"/>
    <m/>
    <x v="5"/>
    <x v="3"/>
    <x v="2"/>
    <x v="3"/>
    <x v="0"/>
    <x v="0"/>
    <x v="0"/>
    <m/>
    <x v="0"/>
    <x v="0"/>
    <n v="3.8200642739999999"/>
    <m/>
    <x v="5"/>
    <x v="1"/>
    <x v="0"/>
    <x v="1"/>
    <x v="2"/>
  </r>
  <r>
    <s v="Singapore"/>
    <x v="5"/>
    <s v="SG2"/>
    <m/>
    <x v="1"/>
    <x v="2"/>
    <x v="3"/>
    <x v="4"/>
    <x v="0"/>
    <x v="0"/>
    <x v="0"/>
    <m/>
    <x v="0"/>
    <x v="0"/>
    <n v="-0.12463200000000001"/>
    <m/>
    <x v="4"/>
    <x v="0"/>
    <x v="0"/>
    <x v="2"/>
    <x v="1"/>
  </r>
  <r>
    <s v="Singapore"/>
    <x v="3"/>
    <s v="SG4"/>
    <m/>
    <x v="2"/>
    <x v="1"/>
    <x v="3"/>
    <x v="5"/>
    <x v="0"/>
    <x v="0"/>
    <x v="0"/>
    <m/>
    <x v="0"/>
    <x v="0"/>
    <n v="-0.12626779500000002"/>
    <m/>
    <x v="4"/>
    <x v="3"/>
    <x v="0"/>
    <x v="0"/>
    <x v="2"/>
  </r>
  <r>
    <s v="Singapore"/>
    <x v="2"/>
    <s v="SG4"/>
    <m/>
    <x v="4"/>
    <x v="2"/>
    <x v="0"/>
    <x v="4"/>
    <x v="0"/>
    <x v="0"/>
    <x v="0"/>
    <m/>
    <x v="0"/>
    <x v="0"/>
    <n v="0.77895000000000003"/>
    <m/>
    <x v="4"/>
    <x v="3"/>
    <x v="0"/>
    <x v="3"/>
    <x v="2"/>
  </r>
  <r>
    <s v="Singapore"/>
    <x v="5"/>
    <s v="SG1"/>
    <m/>
    <x v="4"/>
    <x v="3"/>
    <x v="2"/>
    <x v="5"/>
    <x v="0"/>
    <x v="0"/>
    <x v="0"/>
    <m/>
    <x v="0"/>
    <x v="0"/>
    <n v="7.7895000000000003"/>
    <m/>
    <x v="7"/>
    <x v="3"/>
    <x v="0"/>
    <x v="0"/>
    <x v="2"/>
  </r>
  <r>
    <s v="Singapore"/>
    <x v="3"/>
    <s v="SG4"/>
    <m/>
    <x v="5"/>
    <x v="0"/>
    <x v="1"/>
    <x v="0"/>
    <x v="0"/>
    <x v="0"/>
    <x v="0"/>
    <m/>
    <x v="0"/>
    <x v="0"/>
    <n v="-0.70105499999999998"/>
    <m/>
    <x v="4"/>
    <x v="1"/>
    <x v="0"/>
    <x v="2"/>
    <x v="2"/>
  </r>
  <r>
    <s v="Singapore"/>
    <x v="3"/>
    <s v="SG1"/>
    <m/>
    <x v="3"/>
    <x v="2"/>
    <x v="1"/>
    <x v="5"/>
    <x v="0"/>
    <x v="0"/>
    <x v="0"/>
    <m/>
    <x v="0"/>
    <x v="0"/>
    <n v="111.9740625"/>
    <m/>
    <x v="5"/>
    <x v="3"/>
    <x v="0"/>
    <x v="2"/>
    <x v="0"/>
  </r>
  <r>
    <s v="Singapore"/>
    <x v="4"/>
    <s v="SG4"/>
    <m/>
    <x v="2"/>
    <x v="4"/>
    <x v="0"/>
    <x v="5"/>
    <x v="0"/>
    <x v="0"/>
    <x v="0"/>
    <m/>
    <x v="0"/>
    <x v="0"/>
    <n v="-0.233685"/>
    <m/>
    <x v="0"/>
    <x v="1"/>
    <x v="0"/>
    <x v="0"/>
    <x v="1"/>
  </r>
  <r>
    <s v="Singapore"/>
    <x v="5"/>
    <s v="SG4"/>
    <m/>
    <x v="4"/>
    <x v="3"/>
    <x v="3"/>
    <x v="4"/>
    <x v="0"/>
    <x v="0"/>
    <x v="0"/>
    <m/>
    <x v="0"/>
    <x v="0"/>
    <n v="0.39218574600000006"/>
    <m/>
    <x v="8"/>
    <x v="1"/>
    <x v="0"/>
    <x v="4"/>
    <x v="0"/>
  </r>
  <r>
    <s v="Singapore"/>
    <x v="0"/>
    <s v="SG2"/>
    <m/>
    <x v="4"/>
    <x v="4"/>
    <x v="1"/>
    <x v="4"/>
    <x v="0"/>
    <x v="0"/>
    <x v="0"/>
    <m/>
    <x v="0"/>
    <x v="0"/>
    <n v="-4.6737000000000001E-2"/>
    <m/>
    <x v="0"/>
    <x v="1"/>
    <x v="0"/>
    <x v="0"/>
    <x v="1"/>
  </r>
  <r>
    <s v="Singapore"/>
    <x v="4"/>
    <s v="SG2"/>
    <m/>
    <x v="5"/>
    <x v="0"/>
    <x v="2"/>
    <x v="3"/>
    <x v="0"/>
    <x v="0"/>
    <x v="0"/>
    <m/>
    <x v="0"/>
    <x v="0"/>
    <n v="2.8556307000000003"/>
    <m/>
    <x v="1"/>
    <x v="2"/>
    <x v="0"/>
    <x v="4"/>
    <x v="0"/>
  </r>
  <r>
    <s v="Singapore"/>
    <x v="3"/>
    <s v="SG3"/>
    <m/>
    <x v="4"/>
    <x v="1"/>
    <x v="0"/>
    <x v="3"/>
    <x v="0"/>
    <x v="0"/>
    <x v="0"/>
    <m/>
    <x v="0"/>
    <x v="0"/>
    <n v="-0.1838322"/>
    <m/>
    <x v="4"/>
    <x v="2"/>
    <x v="0"/>
    <x v="4"/>
    <x v="2"/>
  </r>
  <r>
    <s v="Singapore"/>
    <x v="1"/>
    <s v="SG2"/>
    <m/>
    <x v="4"/>
    <x v="1"/>
    <x v="0"/>
    <x v="2"/>
    <x v="0"/>
    <x v="0"/>
    <x v="0"/>
    <m/>
    <x v="0"/>
    <x v="0"/>
    <n v="-0.140211"/>
    <m/>
    <x v="0"/>
    <x v="3"/>
    <x v="0"/>
    <x v="3"/>
    <x v="0"/>
  </r>
  <r>
    <s v="Singapore"/>
    <x v="3"/>
    <s v="SG3"/>
    <m/>
    <x v="0"/>
    <x v="0"/>
    <x v="1"/>
    <x v="5"/>
    <x v="0"/>
    <x v="0"/>
    <x v="0"/>
    <m/>
    <x v="0"/>
    <x v="0"/>
    <n v="-0.30379050000000002"/>
    <m/>
    <x v="7"/>
    <x v="1"/>
    <x v="0"/>
    <x v="1"/>
    <x v="2"/>
  </r>
  <r>
    <s v="Singapore"/>
    <x v="4"/>
    <s v="SG2"/>
    <m/>
    <x v="1"/>
    <x v="3"/>
    <x v="2"/>
    <x v="4"/>
    <x v="0"/>
    <x v="0"/>
    <x v="0"/>
    <m/>
    <x v="0"/>
    <x v="0"/>
    <n v="-0.12463200000000001"/>
    <m/>
    <x v="0"/>
    <x v="1"/>
    <x v="0"/>
    <x v="2"/>
    <x v="1"/>
  </r>
  <r>
    <s v="Singapore"/>
    <x v="4"/>
    <s v="SG3"/>
    <m/>
    <x v="4"/>
    <x v="1"/>
    <x v="3"/>
    <x v="3"/>
    <x v="0"/>
    <x v="0"/>
    <x v="0"/>
    <m/>
    <x v="0"/>
    <x v="0"/>
    <n v="0.28012599900000001"/>
    <m/>
    <x v="0"/>
    <x v="0"/>
    <x v="0"/>
    <x v="5"/>
    <x v="0"/>
  </r>
  <r>
    <s v="Singapore"/>
    <x v="3"/>
    <s v="SG1"/>
    <m/>
    <x v="4"/>
    <x v="3"/>
    <x v="0"/>
    <x v="0"/>
    <x v="0"/>
    <x v="0"/>
    <x v="0"/>
    <m/>
    <x v="0"/>
    <x v="0"/>
    <n v="1.4658125310000001"/>
    <m/>
    <x v="7"/>
    <x v="3"/>
    <x v="0"/>
    <x v="5"/>
    <x v="0"/>
  </r>
  <r>
    <s v="Singapore"/>
    <x v="0"/>
    <s v="SG4"/>
    <m/>
    <x v="1"/>
    <x v="1"/>
    <x v="0"/>
    <x v="3"/>
    <x v="0"/>
    <x v="0"/>
    <x v="0"/>
    <m/>
    <x v="0"/>
    <x v="0"/>
    <n v="-0.12463200000000001"/>
    <m/>
    <x v="0"/>
    <x v="1"/>
    <x v="0"/>
    <x v="1"/>
    <x v="0"/>
  </r>
  <r>
    <s v="Singapore"/>
    <x v="4"/>
    <s v="SG4"/>
    <m/>
    <x v="1"/>
    <x v="3"/>
    <x v="3"/>
    <x v="3"/>
    <x v="0"/>
    <x v="0"/>
    <x v="0"/>
    <m/>
    <x v="0"/>
    <x v="0"/>
    <n v="-3.1158000000000002E-2"/>
    <m/>
    <x v="0"/>
    <x v="3"/>
    <x v="0"/>
    <x v="2"/>
    <x v="2"/>
  </r>
  <r>
    <s v="Singapore"/>
    <x v="2"/>
    <s v="SG1"/>
    <m/>
    <x v="0"/>
    <x v="2"/>
    <x v="4"/>
    <x v="2"/>
    <x v="0"/>
    <x v="0"/>
    <x v="0"/>
    <m/>
    <x v="0"/>
    <x v="0"/>
    <n v="-0.70105499999999998"/>
    <m/>
    <x v="0"/>
    <x v="3"/>
    <x v="0"/>
    <x v="4"/>
    <x v="1"/>
  </r>
  <r>
    <s v="Singapore"/>
    <x v="0"/>
    <s v="SG4"/>
    <m/>
    <x v="2"/>
    <x v="1"/>
    <x v="1"/>
    <x v="4"/>
    <x v="0"/>
    <x v="0"/>
    <x v="0"/>
    <m/>
    <x v="0"/>
    <x v="0"/>
    <n v="-1.9347404310000003"/>
    <m/>
    <x v="4"/>
    <x v="0"/>
    <x v="0"/>
    <x v="0"/>
    <x v="1"/>
  </r>
  <r>
    <s v="Singapore"/>
    <x v="2"/>
    <s v="SG1"/>
    <m/>
    <x v="0"/>
    <x v="4"/>
    <x v="2"/>
    <x v="0"/>
    <x v="0"/>
    <x v="0"/>
    <x v="0"/>
    <m/>
    <x v="0"/>
    <x v="0"/>
    <n v="-0.1838322"/>
    <m/>
    <x v="4"/>
    <x v="1"/>
    <x v="0"/>
    <x v="4"/>
    <x v="1"/>
  </r>
  <r>
    <s v="Singapore"/>
    <x v="5"/>
    <s v="SG2"/>
    <m/>
    <x v="0"/>
    <x v="0"/>
    <x v="4"/>
    <x v="2"/>
    <x v="0"/>
    <x v="0"/>
    <x v="0"/>
    <m/>
    <x v="0"/>
    <x v="0"/>
    <n v="-2.8042199999999999"/>
    <m/>
    <x v="2"/>
    <x v="3"/>
    <x v="0"/>
    <x v="5"/>
    <x v="0"/>
  </r>
  <r>
    <s v="Singapore"/>
    <x v="4"/>
    <s v="SG3"/>
    <m/>
    <x v="1"/>
    <x v="3"/>
    <x v="4"/>
    <x v="1"/>
    <x v="0"/>
    <x v="0"/>
    <x v="0"/>
    <m/>
    <x v="0"/>
    <x v="0"/>
    <n v="1.900638"/>
    <m/>
    <x v="1"/>
    <x v="3"/>
    <x v="0"/>
    <x v="4"/>
    <x v="0"/>
  </r>
  <r>
    <s v="Singapore"/>
    <x v="3"/>
    <s v="SG1"/>
    <m/>
    <x v="4"/>
    <x v="1"/>
    <x v="4"/>
    <x v="1"/>
    <x v="0"/>
    <x v="0"/>
    <x v="0"/>
    <m/>
    <x v="0"/>
    <x v="0"/>
    <n v="6.0758100000000006"/>
    <m/>
    <x v="2"/>
    <x v="3"/>
    <x v="0"/>
    <x v="1"/>
    <x v="1"/>
  </r>
  <r>
    <s v="Singapore"/>
    <x v="5"/>
    <s v="SG1"/>
    <m/>
    <x v="5"/>
    <x v="1"/>
    <x v="0"/>
    <x v="2"/>
    <x v="0"/>
    <x v="0"/>
    <x v="0"/>
    <m/>
    <x v="0"/>
    <x v="0"/>
    <n v="0.40505400000000003"/>
    <m/>
    <x v="8"/>
    <x v="1"/>
    <x v="0"/>
    <x v="0"/>
    <x v="2"/>
  </r>
  <r>
    <s v="Singapore"/>
    <x v="0"/>
    <s v="SG3"/>
    <m/>
    <x v="2"/>
    <x v="1"/>
    <x v="1"/>
    <x v="3"/>
    <x v="0"/>
    <x v="0"/>
    <x v="0"/>
    <m/>
    <x v="0"/>
    <x v="0"/>
    <n v="0.15968475000000001"/>
    <m/>
    <x v="7"/>
    <x v="0"/>
    <x v="0"/>
    <x v="0"/>
    <x v="1"/>
  </r>
  <r>
    <s v="Singapore"/>
    <x v="3"/>
    <s v="SG3"/>
    <m/>
    <x v="5"/>
    <x v="3"/>
    <x v="4"/>
    <x v="1"/>
    <x v="0"/>
    <x v="0"/>
    <x v="0"/>
    <m/>
    <x v="0"/>
    <x v="0"/>
    <n v="-0.69650593199999999"/>
    <m/>
    <x v="0"/>
    <x v="3"/>
    <x v="0"/>
    <x v="0"/>
    <x v="0"/>
  </r>
  <r>
    <s v="Singapore"/>
    <x v="0"/>
    <s v="SG4"/>
    <m/>
    <x v="2"/>
    <x v="3"/>
    <x v="3"/>
    <x v="3"/>
    <x v="0"/>
    <x v="0"/>
    <x v="0"/>
    <m/>
    <x v="0"/>
    <x v="0"/>
    <n v="-2.8732349699999999"/>
    <m/>
    <x v="0"/>
    <x v="1"/>
    <x v="0"/>
    <x v="1"/>
    <x v="0"/>
  </r>
  <r>
    <s v="Singapore"/>
    <x v="5"/>
    <s v="SG1"/>
    <m/>
    <x v="5"/>
    <x v="4"/>
    <x v="1"/>
    <x v="5"/>
    <x v="0"/>
    <x v="0"/>
    <x v="0"/>
    <m/>
    <x v="0"/>
    <x v="0"/>
    <n v="-0.16202160000000002"/>
    <m/>
    <x v="2"/>
    <x v="1"/>
    <x v="0"/>
    <x v="3"/>
    <x v="0"/>
  </r>
  <r>
    <s v="Singapore"/>
    <x v="4"/>
    <s v="SG2"/>
    <m/>
    <x v="3"/>
    <x v="3"/>
    <x v="3"/>
    <x v="5"/>
    <x v="0"/>
    <x v="0"/>
    <x v="0"/>
    <m/>
    <x v="0"/>
    <x v="0"/>
    <n v="-0.81010800000000005"/>
    <m/>
    <x v="4"/>
    <x v="1"/>
    <x v="0"/>
    <x v="5"/>
    <x v="1"/>
  </r>
  <r>
    <s v="Singapore"/>
    <x v="1"/>
    <s v="SG2"/>
    <m/>
    <x v="2"/>
    <x v="3"/>
    <x v="3"/>
    <x v="3"/>
    <x v="0"/>
    <x v="0"/>
    <x v="0"/>
    <m/>
    <x v="0"/>
    <x v="0"/>
    <n v="-2.219150655"/>
    <m/>
    <x v="4"/>
    <x v="1"/>
    <x v="0"/>
    <x v="5"/>
    <x v="2"/>
  </r>
  <r>
    <s v="Singapore"/>
    <x v="1"/>
    <s v="SG4"/>
    <m/>
    <x v="1"/>
    <x v="1"/>
    <x v="4"/>
    <x v="4"/>
    <x v="0"/>
    <x v="0"/>
    <x v="0"/>
    <m/>
    <x v="0"/>
    <x v="0"/>
    <n v="-0.17136900000000002"/>
    <m/>
    <x v="0"/>
    <x v="0"/>
    <x v="0"/>
    <x v="4"/>
    <x v="0"/>
  </r>
  <r>
    <s v="Singapore"/>
    <x v="5"/>
    <s v="SG3"/>
    <m/>
    <x v="4"/>
    <x v="0"/>
    <x v="1"/>
    <x v="5"/>
    <x v="0"/>
    <x v="0"/>
    <x v="0"/>
    <m/>
    <x v="0"/>
    <x v="0"/>
    <n v="6.2316000000000003E-3"/>
    <m/>
    <x v="6"/>
    <x v="2"/>
    <x v="0"/>
    <x v="2"/>
    <x v="1"/>
  </r>
  <r>
    <s v="Singapore"/>
    <x v="3"/>
    <s v="SG3"/>
    <m/>
    <x v="1"/>
    <x v="1"/>
    <x v="0"/>
    <x v="3"/>
    <x v="0"/>
    <x v="0"/>
    <x v="0"/>
    <m/>
    <x v="0"/>
    <x v="0"/>
    <n v="-0.17136900000000002"/>
    <m/>
    <x v="0"/>
    <x v="3"/>
    <x v="0"/>
    <x v="4"/>
    <x v="1"/>
  </r>
  <r>
    <s v="Singapore"/>
    <x v="2"/>
    <s v="SG3"/>
    <m/>
    <x v="0"/>
    <x v="1"/>
    <x v="1"/>
    <x v="5"/>
    <x v="0"/>
    <x v="0"/>
    <x v="0"/>
    <m/>
    <x v="0"/>
    <x v="0"/>
    <n v="-7.7895000000000006E-2"/>
    <m/>
    <x v="4"/>
    <x v="1"/>
    <x v="0"/>
    <x v="5"/>
    <x v="1"/>
  </r>
  <r>
    <s v="Singapore"/>
    <x v="4"/>
    <s v="SG2"/>
    <m/>
    <x v="1"/>
    <x v="3"/>
    <x v="1"/>
    <x v="2"/>
    <x v="0"/>
    <x v="0"/>
    <x v="0"/>
    <m/>
    <x v="0"/>
    <x v="0"/>
    <n v="-1.2463200000000001"/>
    <m/>
    <x v="4"/>
    <x v="1"/>
    <x v="0"/>
    <x v="0"/>
    <x v="1"/>
  </r>
  <r>
    <s v="Singapore"/>
    <x v="1"/>
    <s v="SG2"/>
    <m/>
    <x v="3"/>
    <x v="3"/>
    <x v="4"/>
    <x v="3"/>
    <x v="0"/>
    <x v="0"/>
    <x v="0"/>
    <m/>
    <x v="0"/>
    <x v="0"/>
    <n v="0.12463200000000001"/>
    <m/>
    <x v="0"/>
    <x v="3"/>
    <x v="0"/>
    <x v="2"/>
    <x v="0"/>
  </r>
  <r>
    <s v="Singapore"/>
    <x v="1"/>
    <s v="SG2"/>
    <m/>
    <x v="5"/>
    <x v="2"/>
    <x v="3"/>
    <x v="4"/>
    <x v="0"/>
    <x v="0"/>
    <x v="0"/>
    <m/>
    <x v="0"/>
    <x v="0"/>
    <n v="8.8800300000000006E-3"/>
    <m/>
    <x v="8"/>
    <x v="3"/>
    <x v="0"/>
    <x v="0"/>
    <x v="0"/>
  </r>
  <r>
    <s v="Singapore"/>
    <x v="3"/>
    <s v="SG1"/>
    <m/>
    <x v="4"/>
    <x v="1"/>
    <x v="2"/>
    <x v="4"/>
    <x v="0"/>
    <x v="0"/>
    <x v="0"/>
    <m/>
    <x v="0"/>
    <x v="0"/>
    <n v="0.74467620000000001"/>
    <m/>
    <x v="1"/>
    <x v="3"/>
    <x v="0"/>
    <x v="2"/>
    <x v="2"/>
  </r>
  <r>
    <s v="Singapore"/>
    <x v="1"/>
    <s v="SG1"/>
    <m/>
    <x v="5"/>
    <x v="1"/>
    <x v="0"/>
    <x v="4"/>
    <x v="0"/>
    <x v="0"/>
    <x v="0"/>
    <m/>
    <x v="0"/>
    <x v="0"/>
    <n v="-8.5655523060000007"/>
    <m/>
    <x v="7"/>
    <x v="0"/>
    <x v="0"/>
    <x v="0"/>
    <x v="0"/>
  </r>
  <r>
    <s v="Singapore"/>
    <x v="4"/>
    <s v="SG1"/>
    <m/>
    <x v="4"/>
    <x v="2"/>
    <x v="2"/>
    <x v="5"/>
    <x v="0"/>
    <x v="0"/>
    <x v="0"/>
    <m/>
    <x v="0"/>
    <x v="0"/>
    <n v="-7.0105500000000001E-2"/>
    <m/>
    <x v="4"/>
    <x v="1"/>
    <x v="0"/>
    <x v="2"/>
    <x v="1"/>
  </r>
  <r>
    <s v="Singapore"/>
    <x v="0"/>
    <s v="SG3"/>
    <m/>
    <x v="5"/>
    <x v="1"/>
    <x v="0"/>
    <x v="5"/>
    <x v="0"/>
    <x v="0"/>
    <x v="0"/>
    <m/>
    <x v="0"/>
    <x v="0"/>
    <n v="-0.66989700000000008"/>
    <m/>
    <x v="4"/>
    <x v="0"/>
    <x v="0"/>
    <x v="4"/>
    <x v="0"/>
  </r>
  <r>
    <s v="Singapore"/>
    <x v="5"/>
    <s v="SG3"/>
    <m/>
    <x v="2"/>
    <x v="3"/>
    <x v="0"/>
    <x v="4"/>
    <x v="0"/>
    <x v="0"/>
    <x v="0"/>
    <m/>
    <x v="0"/>
    <x v="0"/>
    <n v="-0.1838322"/>
    <m/>
    <x v="4"/>
    <x v="3"/>
    <x v="0"/>
    <x v="2"/>
    <x v="1"/>
  </r>
  <r>
    <s v="Singapore"/>
    <x v="2"/>
    <s v="SG1"/>
    <m/>
    <x v="5"/>
    <x v="3"/>
    <x v="4"/>
    <x v="4"/>
    <x v="0"/>
    <x v="0"/>
    <x v="0"/>
    <m/>
    <x v="0"/>
    <x v="0"/>
    <n v="-0.52681946400000002"/>
    <m/>
    <x v="4"/>
    <x v="3"/>
    <x v="0"/>
    <x v="4"/>
    <x v="2"/>
  </r>
  <r>
    <s v="Singapore"/>
    <x v="2"/>
    <s v="SG4"/>
    <m/>
    <x v="0"/>
    <x v="4"/>
    <x v="3"/>
    <x v="2"/>
    <x v="0"/>
    <x v="0"/>
    <x v="0"/>
    <m/>
    <x v="0"/>
    <x v="0"/>
    <n v="0.52968599999999999"/>
    <m/>
    <x v="8"/>
    <x v="2"/>
    <x v="0"/>
    <x v="2"/>
    <x v="2"/>
  </r>
  <r>
    <s v="Singapore"/>
    <x v="1"/>
    <s v="SG3"/>
    <m/>
    <x v="3"/>
    <x v="3"/>
    <x v="0"/>
    <x v="4"/>
    <x v="0"/>
    <x v="0"/>
    <x v="0"/>
    <m/>
    <x v="0"/>
    <x v="0"/>
    <n v="-18.694800000000001"/>
    <m/>
    <x v="7"/>
    <x v="1"/>
    <x v="0"/>
    <x v="2"/>
    <x v="0"/>
  </r>
  <r>
    <s v="Singapore"/>
    <x v="5"/>
    <s v="SG2"/>
    <m/>
    <x v="0"/>
    <x v="3"/>
    <x v="4"/>
    <x v="0"/>
    <x v="0"/>
    <x v="0"/>
    <x v="0"/>
    <m/>
    <x v="0"/>
    <x v="0"/>
    <n v="-1.3680075690000002"/>
    <m/>
    <x v="4"/>
    <x v="0"/>
    <x v="0"/>
    <x v="0"/>
    <x v="0"/>
  </r>
  <r>
    <s v="Singapore"/>
    <x v="3"/>
    <s v="SG2"/>
    <m/>
    <x v="1"/>
    <x v="2"/>
    <x v="4"/>
    <x v="5"/>
    <x v="0"/>
    <x v="0"/>
    <x v="0"/>
    <m/>
    <x v="0"/>
    <x v="0"/>
    <n v="-7.7895000000000003"/>
    <m/>
    <x v="1"/>
    <x v="0"/>
    <x v="0"/>
    <x v="5"/>
    <x v="2"/>
  </r>
  <r>
    <s v="Singapore"/>
    <x v="2"/>
    <s v="SG4"/>
    <m/>
    <x v="1"/>
    <x v="2"/>
    <x v="4"/>
    <x v="2"/>
    <x v="0"/>
    <x v="0"/>
    <x v="0"/>
    <m/>
    <x v="0"/>
    <x v="0"/>
    <n v="-8.1119853000000006"/>
    <m/>
    <x v="4"/>
    <x v="3"/>
    <x v="0"/>
    <x v="5"/>
    <x v="2"/>
  </r>
  <r>
    <s v="Singapore"/>
    <x v="3"/>
    <s v="SG4"/>
    <m/>
    <x v="0"/>
    <x v="4"/>
    <x v="2"/>
    <x v="3"/>
    <x v="0"/>
    <x v="0"/>
    <x v="0"/>
    <m/>
    <x v="0"/>
    <x v="0"/>
    <n v="-1.8694488420000002"/>
    <m/>
    <x v="3"/>
    <x v="1"/>
    <x v="0"/>
    <x v="0"/>
    <x v="0"/>
  </r>
  <r>
    <s v="Singapore"/>
    <x v="0"/>
    <s v="SG4"/>
    <m/>
    <x v="4"/>
    <x v="2"/>
    <x v="0"/>
    <x v="2"/>
    <x v="0"/>
    <x v="0"/>
    <x v="0"/>
    <m/>
    <x v="0"/>
    <x v="0"/>
    <n v="-0.62316000000000005"/>
    <m/>
    <x v="0"/>
    <x v="1"/>
    <x v="0"/>
    <x v="4"/>
    <x v="2"/>
  </r>
  <r>
    <s v="Singapore"/>
    <x v="2"/>
    <s v="SG4"/>
    <m/>
    <x v="3"/>
    <x v="1"/>
    <x v="3"/>
    <x v="5"/>
    <x v="0"/>
    <x v="0"/>
    <x v="0"/>
    <m/>
    <x v="0"/>
    <x v="0"/>
    <n v="0.21810600000000002"/>
    <m/>
    <x v="4"/>
    <x v="0"/>
    <x v="0"/>
    <x v="1"/>
    <x v="2"/>
  </r>
  <r>
    <s v="Singapore"/>
    <x v="2"/>
    <s v="SG4"/>
    <m/>
    <x v="5"/>
    <x v="2"/>
    <x v="2"/>
    <x v="2"/>
    <x v="0"/>
    <x v="0"/>
    <x v="0"/>
    <m/>
    <x v="0"/>
    <x v="0"/>
    <n v="-1.89565272"/>
    <m/>
    <x v="3"/>
    <x v="1"/>
    <x v="0"/>
    <x v="4"/>
    <x v="1"/>
  </r>
  <r>
    <s v="Singapore"/>
    <x v="1"/>
    <s v="SG4"/>
    <m/>
    <x v="5"/>
    <x v="1"/>
    <x v="3"/>
    <x v="4"/>
    <x v="0"/>
    <x v="0"/>
    <x v="0"/>
    <m/>
    <x v="0"/>
    <x v="0"/>
    <n v="0.17984397600000002"/>
    <m/>
    <x v="1"/>
    <x v="3"/>
    <x v="0"/>
    <x v="4"/>
    <x v="2"/>
  </r>
  <r>
    <s v="Singapore"/>
    <x v="1"/>
    <s v="SG2"/>
    <m/>
    <x v="1"/>
    <x v="2"/>
    <x v="0"/>
    <x v="4"/>
    <x v="0"/>
    <x v="0"/>
    <x v="0"/>
    <m/>
    <x v="0"/>
    <x v="0"/>
    <n v="-4.6737000000000001E-2"/>
    <m/>
    <x v="0"/>
    <x v="2"/>
    <x v="0"/>
    <x v="3"/>
    <x v="1"/>
  </r>
  <r>
    <s v="Singapore"/>
    <x v="3"/>
    <s v="SG3"/>
    <m/>
    <x v="0"/>
    <x v="1"/>
    <x v="2"/>
    <x v="5"/>
    <x v="0"/>
    <x v="0"/>
    <x v="0"/>
    <m/>
    <x v="0"/>
    <x v="0"/>
    <n v="18.662644944"/>
    <m/>
    <x v="5"/>
    <x v="3"/>
    <x v="0"/>
    <x v="2"/>
    <x v="2"/>
  </r>
  <r>
    <s v="Singapore"/>
    <x v="5"/>
    <s v="SG3"/>
    <m/>
    <x v="2"/>
    <x v="1"/>
    <x v="3"/>
    <x v="5"/>
    <x v="0"/>
    <x v="0"/>
    <x v="0"/>
    <m/>
    <x v="0"/>
    <x v="0"/>
    <n v="5.6084400000000006E-2"/>
    <m/>
    <x v="3"/>
    <x v="1"/>
    <x v="0"/>
    <x v="4"/>
    <x v="2"/>
  </r>
  <r>
    <s v="Singapore"/>
    <x v="4"/>
    <s v="SG3"/>
    <m/>
    <x v="5"/>
    <x v="2"/>
    <x v="1"/>
    <x v="3"/>
    <x v="0"/>
    <x v="0"/>
    <x v="0"/>
    <m/>
    <x v="0"/>
    <x v="0"/>
    <n v="-0.68703390000000009"/>
    <m/>
    <x v="3"/>
    <x v="2"/>
    <x v="0"/>
    <x v="2"/>
    <x v="2"/>
  </r>
  <r>
    <s v="Singapore"/>
    <x v="4"/>
    <s v="SG2"/>
    <m/>
    <x v="2"/>
    <x v="2"/>
    <x v="2"/>
    <x v="2"/>
    <x v="0"/>
    <x v="0"/>
    <x v="0"/>
    <m/>
    <x v="0"/>
    <x v="0"/>
    <n v="1.7136900000000002"/>
    <m/>
    <x v="4"/>
    <x v="3"/>
    <x v="0"/>
    <x v="3"/>
    <x v="0"/>
  </r>
  <r>
    <s v="Singapore"/>
    <x v="4"/>
    <s v="SG3"/>
    <m/>
    <x v="1"/>
    <x v="2"/>
    <x v="0"/>
    <x v="5"/>
    <x v="0"/>
    <x v="0"/>
    <x v="0"/>
    <m/>
    <x v="0"/>
    <x v="0"/>
    <n v="-0.233685"/>
    <m/>
    <x v="0"/>
    <x v="0"/>
    <x v="0"/>
    <x v="0"/>
    <x v="1"/>
  </r>
  <r>
    <s v="Singapore"/>
    <x v="3"/>
    <s v="SG1"/>
    <m/>
    <x v="5"/>
    <x v="4"/>
    <x v="4"/>
    <x v="5"/>
    <x v="0"/>
    <x v="0"/>
    <x v="0"/>
    <m/>
    <x v="0"/>
    <x v="0"/>
    <n v="0.94252950000000002"/>
    <m/>
    <x v="1"/>
    <x v="1"/>
    <x v="0"/>
    <x v="1"/>
    <x v="2"/>
  </r>
  <r>
    <s v="Singapore"/>
    <x v="5"/>
    <s v="SG3"/>
    <m/>
    <x v="5"/>
    <x v="0"/>
    <x v="0"/>
    <x v="5"/>
    <x v="0"/>
    <x v="0"/>
    <x v="0"/>
    <m/>
    <x v="0"/>
    <x v="0"/>
    <n v="-3.6398775600000004"/>
    <m/>
    <x v="0"/>
    <x v="3"/>
    <x v="0"/>
    <x v="0"/>
    <x v="2"/>
  </r>
  <r>
    <s v="Singapore"/>
    <x v="1"/>
    <s v="SG2"/>
    <m/>
    <x v="5"/>
    <x v="3"/>
    <x v="3"/>
    <x v="0"/>
    <x v="0"/>
    <x v="0"/>
    <x v="0"/>
    <m/>
    <x v="0"/>
    <x v="0"/>
    <n v="-0.1324215"/>
    <m/>
    <x v="4"/>
    <x v="3"/>
    <x v="0"/>
    <x v="5"/>
    <x v="0"/>
  </r>
  <r>
    <s v="Singapore"/>
    <x v="3"/>
    <s v="SG1"/>
    <m/>
    <x v="2"/>
    <x v="0"/>
    <x v="4"/>
    <x v="1"/>
    <x v="0"/>
    <x v="0"/>
    <x v="0"/>
    <m/>
    <x v="0"/>
    <x v="0"/>
    <n v="-4.6737000000000002"/>
    <m/>
    <x v="4"/>
    <x v="3"/>
    <x v="0"/>
    <x v="2"/>
    <x v="2"/>
  </r>
  <r>
    <s v="Singapore"/>
    <x v="5"/>
    <s v="SG4"/>
    <m/>
    <x v="0"/>
    <x v="0"/>
    <x v="3"/>
    <x v="2"/>
    <x v="0"/>
    <x v="0"/>
    <x v="0"/>
    <m/>
    <x v="0"/>
    <x v="0"/>
    <n v="1.2385305"/>
    <m/>
    <x v="1"/>
    <x v="1"/>
    <x v="0"/>
    <x v="2"/>
    <x v="1"/>
  </r>
  <r>
    <s v="Singapore"/>
    <x v="4"/>
    <s v="SG1"/>
    <m/>
    <x v="3"/>
    <x v="0"/>
    <x v="4"/>
    <x v="5"/>
    <x v="0"/>
    <x v="0"/>
    <x v="0"/>
    <m/>
    <x v="0"/>
    <x v="0"/>
    <n v="-0.186948"/>
    <m/>
    <x v="0"/>
    <x v="0"/>
    <x v="0"/>
    <x v="0"/>
    <x v="2"/>
  </r>
  <r>
    <s v="Singapore"/>
    <x v="5"/>
    <s v="SG3"/>
    <m/>
    <x v="5"/>
    <x v="1"/>
    <x v="2"/>
    <x v="1"/>
    <x v="0"/>
    <x v="0"/>
    <x v="0"/>
    <m/>
    <x v="0"/>
    <x v="0"/>
    <n v="0.62316000000000005"/>
    <m/>
    <x v="1"/>
    <x v="3"/>
    <x v="0"/>
    <x v="4"/>
    <x v="1"/>
  </r>
  <r>
    <s v="Singapore"/>
    <x v="0"/>
    <s v="SG3"/>
    <m/>
    <x v="4"/>
    <x v="1"/>
    <x v="4"/>
    <x v="1"/>
    <x v="0"/>
    <x v="0"/>
    <x v="0"/>
    <m/>
    <x v="0"/>
    <x v="0"/>
    <n v="-1.822743"/>
    <m/>
    <x v="4"/>
    <x v="3"/>
    <x v="0"/>
    <x v="5"/>
    <x v="1"/>
  </r>
  <r>
    <s v="Singapore"/>
    <x v="2"/>
    <s v="SG3"/>
    <m/>
    <x v="4"/>
    <x v="4"/>
    <x v="0"/>
    <x v="1"/>
    <x v="0"/>
    <x v="0"/>
    <x v="0"/>
    <m/>
    <x v="0"/>
    <x v="0"/>
    <n v="0.15579000000000001"/>
    <m/>
    <x v="1"/>
    <x v="2"/>
    <x v="0"/>
    <x v="1"/>
    <x v="2"/>
  </r>
  <r>
    <s v="Singapore"/>
    <x v="2"/>
    <s v="SG3"/>
    <m/>
    <x v="3"/>
    <x v="2"/>
    <x v="4"/>
    <x v="4"/>
    <x v="0"/>
    <x v="0"/>
    <x v="0"/>
    <m/>
    <x v="0"/>
    <x v="0"/>
    <n v="-3.1158000000000002E-2"/>
    <m/>
    <x v="0"/>
    <x v="1"/>
    <x v="0"/>
    <x v="2"/>
    <x v="0"/>
  </r>
  <r>
    <s v="Singapore"/>
    <x v="3"/>
    <s v="SG2"/>
    <m/>
    <x v="0"/>
    <x v="2"/>
    <x v="2"/>
    <x v="4"/>
    <x v="0"/>
    <x v="0"/>
    <x v="0"/>
    <m/>
    <x v="0"/>
    <x v="0"/>
    <n v="-3.3398260200000003"/>
    <m/>
    <x v="7"/>
    <x v="1"/>
    <x v="0"/>
    <x v="2"/>
    <x v="2"/>
  </r>
  <r>
    <s v="Singapore"/>
    <x v="0"/>
    <s v="SG1"/>
    <m/>
    <x v="0"/>
    <x v="4"/>
    <x v="4"/>
    <x v="1"/>
    <x v="0"/>
    <x v="0"/>
    <x v="0"/>
    <m/>
    <x v="0"/>
    <x v="0"/>
    <n v="-7.6960260000000003E-2"/>
    <m/>
    <x v="0"/>
    <x v="0"/>
    <x v="0"/>
    <x v="4"/>
    <x v="0"/>
  </r>
  <r>
    <s v="Singapore"/>
    <x v="1"/>
    <s v="SG4"/>
    <m/>
    <x v="0"/>
    <x v="0"/>
    <x v="1"/>
    <x v="0"/>
    <x v="0"/>
    <x v="0"/>
    <x v="0"/>
    <m/>
    <x v="0"/>
    <x v="0"/>
    <n v="2.6484300000000003"/>
    <m/>
    <x v="1"/>
    <x v="2"/>
    <x v="0"/>
    <x v="4"/>
    <x v="1"/>
  </r>
  <r>
    <s v="Singapore"/>
    <x v="1"/>
    <s v="SG1"/>
    <m/>
    <x v="2"/>
    <x v="0"/>
    <x v="1"/>
    <x v="0"/>
    <x v="0"/>
    <x v="0"/>
    <x v="0"/>
    <m/>
    <x v="0"/>
    <x v="0"/>
    <n v="9.3474000000000002E-2"/>
    <m/>
    <x v="8"/>
    <x v="1"/>
    <x v="0"/>
    <x v="2"/>
    <x v="0"/>
  </r>
  <r>
    <s v="Singapore"/>
    <x v="0"/>
    <s v="SG3"/>
    <m/>
    <x v="2"/>
    <x v="4"/>
    <x v="3"/>
    <x v="3"/>
    <x v="0"/>
    <x v="0"/>
    <x v="0"/>
    <m/>
    <x v="0"/>
    <x v="0"/>
    <n v="0.86940167400000001"/>
    <m/>
    <x v="1"/>
    <x v="1"/>
    <x v="0"/>
    <x v="1"/>
    <x v="1"/>
  </r>
  <r>
    <s v="Singapore"/>
    <x v="5"/>
    <s v="SG1"/>
    <m/>
    <x v="1"/>
    <x v="2"/>
    <x v="3"/>
    <x v="5"/>
    <x v="0"/>
    <x v="0"/>
    <x v="0"/>
    <m/>
    <x v="0"/>
    <x v="0"/>
    <n v="-7.7895000000000006E-2"/>
    <m/>
    <x v="0"/>
    <x v="2"/>
    <x v="0"/>
    <x v="3"/>
    <x v="2"/>
  </r>
  <r>
    <s v="Singapore"/>
    <x v="4"/>
    <s v="SG3"/>
    <m/>
    <x v="3"/>
    <x v="3"/>
    <x v="1"/>
    <x v="3"/>
    <x v="0"/>
    <x v="0"/>
    <x v="0"/>
    <m/>
    <x v="0"/>
    <x v="0"/>
    <n v="0.28821150000000001"/>
    <m/>
    <x v="7"/>
    <x v="3"/>
    <x v="0"/>
    <x v="0"/>
    <x v="2"/>
  </r>
  <r>
    <s v="Singapore"/>
    <x v="5"/>
    <s v="SG1"/>
    <m/>
    <x v="5"/>
    <x v="0"/>
    <x v="4"/>
    <x v="3"/>
    <x v="0"/>
    <x v="0"/>
    <x v="0"/>
    <m/>
    <x v="0"/>
    <x v="0"/>
    <n v="0.24926400000000001"/>
    <m/>
    <x v="0"/>
    <x v="0"/>
    <x v="0"/>
    <x v="3"/>
    <x v="2"/>
  </r>
  <r>
    <s v="Singapore"/>
    <x v="0"/>
    <s v="SG2"/>
    <m/>
    <x v="2"/>
    <x v="2"/>
    <x v="4"/>
    <x v="5"/>
    <x v="0"/>
    <x v="0"/>
    <x v="0"/>
    <m/>
    <x v="0"/>
    <x v="0"/>
    <n v="-0.77895000000000003"/>
    <m/>
    <x v="1"/>
    <x v="1"/>
    <x v="0"/>
    <x v="2"/>
    <x v="2"/>
  </r>
  <r>
    <s v="Singapore"/>
    <x v="2"/>
    <s v="SG4"/>
    <m/>
    <x v="3"/>
    <x v="0"/>
    <x v="0"/>
    <x v="0"/>
    <x v="0"/>
    <x v="0"/>
    <x v="0"/>
    <m/>
    <x v="0"/>
    <x v="0"/>
    <n v="-2.775180744"/>
    <m/>
    <x v="4"/>
    <x v="2"/>
    <x v="0"/>
    <x v="5"/>
    <x v="0"/>
  </r>
  <r>
    <s v="Singapore"/>
    <x v="5"/>
    <s v="SG4"/>
    <m/>
    <x v="5"/>
    <x v="2"/>
    <x v="1"/>
    <x v="4"/>
    <x v="0"/>
    <x v="0"/>
    <x v="0"/>
    <m/>
    <x v="0"/>
    <x v="0"/>
    <n v="-3.1158000000000002E-2"/>
    <m/>
    <x v="0"/>
    <x v="3"/>
    <x v="0"/>
    <x v="4"/>
    <x v="1"/>
  </r>
  <r>
    <s v="Singapore"/>
    <x v="0"/>
    <s v="SG2"/>
    <m/>
    <x v="4"/>
    <x v="4"/>
    <x v="2"/>
    <x v="1"/>
    <x v="0"/>
    <x v="0"/>
    <x v="0"/>
    <m/>
    <x v="0"/>
    <x v="0"/>
    <n v="-0.1838322"/>
    <m/>
    <x v="4"/>
    <x v="3"/>
    <x v="0"/>
    <x v="5"/>
    <x v="1"/>
  </r>
  <r>
    <s v="Singapore"/>
    <x v="1"/>
    <s v="SG2"/>
    <m/>
    <x v="1"/>
    <x v="0"/>
    <x v="1"/>
    <x v="3"/>
    <x v="0"/>
    <x v="0"/>
    <x v="0"/>
    <m/>
    <x v="0"/>
    <x v="0"/>
    <n v="-0.10126350000000001"/>
    <m/>
    <x v="0"/>
    <x v="1"/>
    <x v="0"/>
    <x v="2"/>
    <x v="0"/>
  </r>
  <r>
    <s v="Singapore"/>
    <x v="0"/>
    <s v="SG4"/>
    <m/>
    <x v="0"/>
    <x v="0"/>
    <x v="0"/>
    <x v="3"/>
    <x v="0"/>
    <x v="0"/>
    <x v="0"/>
    <m/>
    <x v="0"/>
    <x v="0"/>
    <n v="-6.2316000000000003"/>
    <m/>
    <x v="4"/>
    <x v="2"/>
    <x v="0"/>
    <x v="4"/>
    <x v="0"/>
  </r>
  <r>
    <s v="Singapore"/>
    <x v="0"/>
    <s v="SG3"/>
    <m/>
    <x v="2"/>
    <x v="1"/>
    <x v="2"/>
    <x v="1"/>
    <x v="0"/>
    <x v="0"/>
    <x v="0"/>
    <m/>
    <x v="0"/>
    <x v="0"/>
    <n v="-2.8556307000000003"/>
    <m/>
    <x v="1"/>
    <x v="1"/>
    <x v="0"/>
    <x v="4"/>
    <x v="2"/>
  </r>
  <r>
    <s v="Singapore"/>
    <x v="3"/>
    <s v="SG1"/>
    <m/>
    <x v="1"/>
    <x v="1"/>
    <x v="2"/>
    <x v="3"/>
    <x v="0"/>
    <x v="0"/>
    <x v="0"/>
    <m/>
    <x v="0"/>
    <x v="0"/>
    <n v="-0.12463200000000001"/>
    <m/>
    <x v="0"/>
    <x v="3"/>
    <x v="0"/>
    <x v="0"/>
    <x v="2"/>
  </r>
  <r>
    <s v="Singapore"/>
    <x v="5"/>
    <s v="SG4"/>
    <m/>
    <x v="5"/>
    <x v="0"/>
    <x v="4"/>
    <x v="1"/>
    <x v="0"/>
    <x v="0"/>
    <x v="0"/>
    <m/>
    <x v="0"/>
    <x v="0"/>
    <n v="-1.8694800000000001E-2"/>
    <m/>
    <x v="3"/>
    <x v="2"/>
    <x v="0"/>
    <x v="3"/>
    <x v="0"/>
  </r>
  <r>
    <s v="Singapore"/>
    <x v="1"/>
    <s v="SG3"/>
    <m/>
    <x v="3"/>
    <x v="1"/>
    <x v="0"/>
    <x v="1"/>
    <x v="0"/>
    <x v="0"/>
    <x v="0"/>
    <m/>
    <x v="0"/>
    <x v="0"/>
    <n v="0.37389600000000001"/>
    <m/>
    <x v="1"/>
    <x v="2"/>
    <x v="0"/>
    <x v="5"/>
    <x v="2"/>
  </r>
  <r>
    <s v="Singapore"/>
    <x v="1"/>
    <s v="SG3"/>
    <m/>
    <x v="0"/>
    <x v="3"/>
    <x v="3"/>
    <x v="1"/>
    <x v="0"/>
    <x v="0"/>
    <x v="0"/>
    <m/>
    <x v="0"/>
    <x v="0"/>
    <n v="0.1838322"/>
    <m/>
    <x v="4"/>
    <x v="0"/>
    <x v="0"/>
    <x v="0"/>
    <x v="0"/>
  </r>
  <r>
    <s v="Singapore"/>
    <x v="4"/>
    <s v="SG4"/>
    <m/>
    <x v="3"/>
    <x v="1"/>
    <x v="0"/>
    <x v="4"/>
    <x v="0"/>
    <x v="0"/>
    <x v="0"/>
    <m/>
    <x v="0"/>
    <x v="0"/>
    <n v="-4.6737000000000001E-2"/>
    <m/>
    <x v="0"/>
    <x v="2"/>
    <x v="0"/>
    <x v="3"/>
    <x v="1"/>
  </r>
  <r>
    <s v="Singapore"/>
    <x v="0"/>
    <s v="SG1"/>
    <m/>
    <x v="3"/>
    <x v="3"/>
    <x v="4"/>
    <x v="2"/>
    <x v="0"/>
    <x v="0"/>
    <x v="0"/>
    <m/>
    <x v="0"/>
    <x v="0"/>
    <n v="-96.030513900000003"/>
    <m/>
    <x v="3"/>
    <x v="1"/>
    <x v="0"/>
    <x v="1"/>
    <x v="1"/>
  </r>
  <r>
    <s v="Singapore"/>
    <x v="4"/>
    <s v="SG4"/>
    <m/>
    <x v="5"/>
    <x v="2"/>
    <x v="1"/>
    <x v="0"/>
    <x v="0"/>
    <x v="0"/>
    <x v="0"/>
    <m/>
    <x v="0"/>
    <x v="0"/>
    <n v="-1.6638372000000001"/>
    <m/>
    <x v="3"/>
    <x v="3"/>
    <x v="0"/>
    <x v="0"/>
    <x v="0"/>
  </r>
  <r>
    <s v="Singapore"/>
    <x v="0"/>
    <s v="SG4"/>
    <m/>
    <x v="3"/>
    <x v="1"/>
    <x v="4"/>
    <x v="4"/>
    <x v="0"/>
    <x v="0"/>
    <x v="0"/>
    <m/>
    <x v="0"/>
    <x v="0"/>
    <n v="-7.7895000000000006E-2"/>
    <m/>
    <x v="0"/>
    <x v="2"/>
    <x v="0"/>
    <x v="1"/>
    <x v="2"/>
  </r>
  <r>
    <s v="Singapore"/>
    <x v="3"/>
    <s v="SG3"/>
    <m/>
    <x v="5"/>
    <x v="1"/>
    <x v="0"/>
    <x v="5"/>
    <x v="0"/>
    <x v="0"/>
    <x v="0"/>
    <m/>
    <x v="0"/>
    <x v="0"/>
    <n v="-1.5579000000000001E-2"/>
    <m/>
    <x v="0"/>
    <x v="0"/>
    <x v="0"/>
    <x v="2"/>
    <x v="0"/>
  </r>
  <r>
    <s v="Singapore"/>
    <x v="2"/>
    <s v="SG3"/>
    <m/>
    <x v="5"/>
    <x v="0"/>
    <x v="0"/>
    <x v="0"/>
    <x v="0"/>
    <x v="0"/>
    <x v="0"/>
    <m/>
    <x v="0"/>
    <x v="0"/>
    <n v="-0.21810600000000002"/>
    <m/>
    <x v="4"/>
    <x v="3"/>
    <x v="0"/>
    <x v="0"/>
    <x v="2"/>
  </r>
  <r>
    <s v="Singapore"/>
    <x v="5"/>
    <s v="SG2"/>
    <m/>
    <x v="4"/>
    <x v="2"/>
    <x v="0"/>
    <x v="2"/>
    <x v="0"/>
    <x v="0"/>
    <x v="0"/>
    <m/>
    <x v="0"/>
    <x v="0"/>
    <n v="-1.5579000000000001E-2"/>
    <m/>
    <x v="0"/>
    <x v="3"/>
    <x v="0"/>
    <x v="4"/>
    <x v="2"/>
  </r>
  <r>
    <s v="Singapore"/>
    <x v="3"/>
    <s v="SG4"/>
    <m/>
    <x v="3"/>
    <x v="3"/>
    <x v="4"/>
    <x v="5"/>
    <x v="0"/>
    <x v="0"/>
    <x v="0"/>
    <m/>
    <x v="0"/>
    <x v="0"/>
    <n v="-0.37389600000000001"/>
    <m/>
    <x v="6"/>
    <x v="1"/>
    <x v="0"/>
    <x v="5"/>
    <x v="0"/>
  </r>
  <r>
    <s v="Singapore"/>
    <x v="4"/>
    <s v="SG4"/>
    <m/>
    <x v="4"/>
    <x v="3"/>
    <x v="2"/>
    <x v="5"/>
    <x v="0"/>
    <x v="0"/>
    <x v="0"/>
    <m/>
    <x v="0"/>
    <x v="0"/>
    <n v="-7.7895000000000004E-3"/>
    <m/>
    <x v="0"/>
    <x v="2"/>
    <x v="0"/>
    <x v="0"/>
    <x v="0"/>
  </r>
  <r>
    <s v="Singapore"/>
    <x v="0"/>
    <s v="SG3"/>
    <m/>
    <x v="2"/>
    <x v="1"/>
    <x v="3"/>
    <x v="3"/>
    <x v="0"/>
    <x v="0"/>
    <x v="0"/>
    <m/>
    <x v="0"/>
    <x v="0"/>
    <n v="0.46737000000000001"/>
    <m/>
    <x v="0"/>
    <x v="1"/>
    <x v="0"/>
    <x v="2"/>
    <x v="0"/>
  </r>
  <r>
    <s v="Singapore"/>
    <x v="1"/>
    <s v="SG3"/>
    <m/>
    <x v="0"/>
    <x v="0"/>
    <x v="3"/>
    <x v="5"/>
    <x v="0"/>
    <x v="0"/>
    <x v="0"/>
    <m/>
    <x v="0"/>
    <x v="0"/>
    <n v="-0.140211"/>
    <m/>
    <x v="4"/>
    <x v="1"/>
    <x v="0"/>
    <x v="5"/>
    <x v="0"/>
  </r>
  <r>
    <s v="Singapore"/>
    <x v="3"/>
    <s v="SG1"/>
    <m/>
    <x v="4"/>
    <x v="0"/>
    <x v="3"/>
    <x v="3"/>
    <x v="0"/>
    <x v="0"/>
    <x v="0"/>
    <m/>
    <x v="0"/>
    <x v="0"/>
    <n v="-0.81010800000000005"/>
    <m/>
    <x v="4"/>
    <x v="1"/>
    <x v="0"/>
    <x v="1"/>
    <x v="0"/>
  </r>
  <r>
    <s v="Singapore"/>
    <x v="4"/>
    <s v="SG4"/>
    <m/>
    <x v="2"/>
    <x v="0"/>
    <x v="1"/>
    <x v="3"/>
    <x v="0"/>
    <x v="0"/>
    <x v="0"/>
    <m/>
    <x v="0"/>
    <x v="0"/>
    <n v="-4.6737000000000001E-2"/>
    <m/>
    <x v="0"/>
    <x v="1"/>
    <x v="0"/>
    <x v="0"/>
    <x v="1"/>
  </r>
  <r>
    <s v="Singapore"/>
    <x v="4"/>
    <s v="SG4"/>
    <m/>
    <x v="4"/>
    <x v="0"/>
    <x v="0"/>
    <x v="0"/>
    <x v="0"/>
    <x v="0"/>
    <x v="0"/>
    <m/>
    <x v="0"/>
    <x v="0"/>
    <n v="-0.12463200000000001"/>
    <m/>
    <x v="4"/>
    <x v="2"/>
    <x v="0"/>
    <x v="0"/>
    <x v="1"/>
  </r>
  <r>
    <s v="Singapore"/>
    <x v="5"/>
    <s v="SG1"/>
    <m/>
    <x v="2"/>
    <x v="4"/>
    <x v="0"/>
    <x v="3"/>
    <x v="0"/>
    <x v="0"/>
    <x v="0"/>
    <m/>
    <x v="0"/>
    <x v="0"/>
    <n v="4.36212"/>
    <m/>
    <x v="1"/>
    <x v="2"/>
    <x v="0"/>
    <x v="1"/>
    <x v="0"/>
  </r>
  <r>
    <s v="Singapore"/>
    <x v="3"/>
    <s v="SG2"/>
    <m/>
    <x v="1"/>
    <x v="3"/>
    <x v="0"/>
    <x v="3"/>
    <x v="0"/>
    <x v="0"/>
    <x v="0"/>
    <m/>
    <x v="0"/>
    <x v="0"/>
    <n v="-6.2316000000000003"/>
    <m/>
    <x v="4"/>
    <x v="1"/>
    <x v="0"/>
    <x v="4"/>
    <x v="1"/>
  </r>
  <r>
    <s v="Singapore"/>
    <x v="5"/>
    <s v="SG4"/>
    <m/>
    <x v="2"/>
    <x v="0"/>
    <x v="2"/>
    <x v="4"/>
    <x v="0"/>
    <x v="0"/>
    <x v="0"/>
    <m/>
    <x v="0"/>
    <x v="0"/>
    <n v="-2.0252700000000002E-2"/>
    <m/>
    <x v="6"/>
    <x v="2"/>
    <x v="0"/>
    <x v="0"/>
    <x v="1"/>
  </r>
  <r>
    <s v="Singapore"/>
    <x v="1"/>
    <s v="SG2"/>
    <m/>
    <x v="4"/>
    <x v="4"/>
    <x v="0"/>
    <x v="2"/>
    <x v="0"/>
    <x v="0"/>
    <x v="0"/>
    <m/>
    <x v="0"/>
    <x v="0"/>
    <n v="5.5850715000000006"/>
    <m/>
    <x v="1"/>
    <x v="2"/>
    <x v="0"/>
    <x v="5"/>
    <x v="1"/>
  </r>
  <r>
    <s v="Singapore"/>
    <x v="2"/>
    <s v="SG2"/>
    <m/>
    <x v="0"/>
    <x v="1"/>
    <x v="0"/>
    <x v="1"/>
    <x v="0"/>
    <x v="0"/>
    <x v="0"/>
    <m/>
    <x v="0"/>
    <x v="0"/>
    <n v="7.0105500000000001E-2"/>
    <m/>
    <x v="1"/>
    <x v="3"/>
    <x v="0"/>
    <x v="4"/>
    <x v="2"/>
  </r>
  <r>
    <s v="Singapore"/>
    <x v="1"/>
    <s v="SG4"/>
    <m/>
    <x v="2"/>
    <x v="0"/>
    <x v="0"/>
    <x v="3"/>
    <x v="0"/>
    <x v="0"/>
    <x v="0"/>
    <m/>
    <x v="0"/>
    <x v="0"/>
    <n v="123.83809416"/>
    <m/>
    <x v="7"/>
    <x v="2"/>
    <x v="0"/>
    <x v="4"/>
    <x v="1"/>
  </r>
  <r>
    <s v="Singapore"/>
    <x v="2"/>
    <s v="SG3"/>
    <m/>
    <x v="1"/>
    <x v="4"/>
    <x v="2"/>
    <x v="2"/>
    <x v="0"/>
    <x v="0"/>
    <x v="0"/>
    <m/>
    <x v="0"/>
    <x v="0"/>
    <n v="-7.7895000000000004E-3"/>
    <m/>
    <x v="0"/>
    <x v="0"/>
    <x v="0"/>
    <x v="2"/>
    <x v="2"/>
  </r>
  <r>
    <s v="Singapore"/>
    <x v="1"/>
    <s v="SG3"/>
    <m/>
    <x v="0"/>
    <x v="0"/>
    <x v="0"/>
    <x v="2"/>
    <x v="0"/>
    <x v="0"/>
    <x v="0"/>
    <m/>
    <x v="0"/>
    <x v="0"/>
    <n v="-1.011139416"/>
    <m/>
    <x v="3"/>
    <x v="2"/>
    <x v="0"/>
    <x v="3"/>
    <x v="1"/>
  </r>
  <r>
    <s v="Singapore"/>
    <x v="5"/>
    <s v="SG2"/>
    <m/>
    <x v="2"/>
    <x v="2"/>
    <x v="1"/>
    <x v="0"/>
    <x v="0"/>
    <x v="0"/>
    <x v="0"/>
    <m/>
    <x v="0"/>
    <x v="0"/>
    <n v="-4.0505400000000004E-2"/>
    <m/>
    <x v="3"/>
    <x v="0"/>
    <x v="0"/>
    <x v="4"/>
    <x v="1"/>
  </r>
  <r>
    <s v="Singapore"/>
    <x v="4"/>
    <s v="SG1"/>
    <m/>
    <x v="5"/>
    <x v="1"/>
    <x v="3"/>
    <x v="1"/>
    <x v="0"/>
    <x v="0"/>
    <x v="0"/>
    <m/>
    <x v="0"/>
    <x v="0"/>
    <n v="-6.2316000000000003E-2"/>
    <m/>
    <x v="0"/>
    <x v="2"/>
    <x v="0"/>
    <x v="5"/>
    <x v="1"/>
  </r>
  <r>
    <s v="Singapore"/>
    <x v="0"/>
    <s v="SG2"/>
    <m/>
    <x v="1"/>
    <x v="0"/>
    <x v="3"/>
    <x v="0"/>
    <x v="0"/>
    <x v="0"/>
    <x v="0"/>
    <m/>
    <x v="0"/>
    <x v="0"/>
    <n v="-13.889379555000001"/>
    <m/>
    <x v="6"/>
    <x v="3"/>
    <x v="0"/>
    <x v="3"/>
    <x v="1"/>
  </r>
  <r>
    <s v="Singapore"/>
    <x v="5"/>
    <s v="SG4"/>
    <m/>
    <x v="5"/>
    <x v="2"/>
    <x v="2"/>
    <x v="1"/>
    <x v="0"/>
    <x v="0"/>
    <x v="0"/>
    <m/>
    <x v="0"/>
    <x v="0"/>
    <n v="3.7389600000000002E-2"/>
    <m/>
    <x v="3"/>
    <x v="3"/>
    <x v="0"/>
    <x v="1"/>
    <x v="2"/>
  </r>
  <r>
    <s v="Singapore"/>
    <x v="1"/>
    <s v="SG4"/>
    <m/>
    <x v="2"/>
    <x v="2"/>
    <x v="0"/>
    <x v="3"/>
    <x v="0"/>
    <x v="0"/>
    <x v="0"/>
    <m/>
    <x v="0"/>
    <x v="0"/>
    <n v="0.12463200000000001"/>
    <m/>
    <x v="0"/>
    <x v="3"/>
    <x v="0"/>
    <x v="1"/>
    <x v="0"/>
  </r>
  <r>
    <s v="Singapore"/>
    <x v="1"/>
    <s v="SG2"/>
    <m/>
    <x v="5"/>
    <x v="0"/>
    <x v="0"/>
    <x v="4"/>
    <x v="0"/>
    <x v="0"/>
    <x v="0"/>
    <m/>
    <x v="0"/>
    <x v="0"/>
    <n v="0.15579000000000001"/>
    <m/>
    <x v="1"/>
    <x v="3"/>
    <x v="0"/>
    <x v="3"/>
    <x v="2"/>
  </r>
  <r>
    <s v="Singapore"/>
    <x v="0"/>
    <s v="SG3"/>
    <m/>
    <x v="1"/>
    <x v="2"/>
    <x v="2"/>
    <x v="4"/>
    <x v="0"/>
    <x v="0"/>
    <x v="0"/>
    <m/>
    <x v="0"/>
    <x v="0"/>
    <n v="-2.33685E-2"/>
    <m/>
    <x v="0"/>
    <x v="2"/>
    <x v="0"/>
    <x v="5"/>
    <x v="0"/>
  </r>
  <r>
    <s v="Singapore"/>
    <x v="4"/>
    <s v="SG4"/>
    <m/>
    <x v="1"/>
    <x v="1"/>
    <x v="3"/>
    <x v="1"/>
    <x v="0"/>
    <x v="0"/>
    <x v="0"/>
    <m/>
    <x v="0"/>
    <x v="0"/>
    <n v="1.2151620000000001"/>
    <m/>
    <x v="1"/>
    <x v="3"/>
    <x v="0"/>
    <x v="5"/>
    <x v="2"/>
  </r>
  <r>
    <s v="Singapore"/>
    <x v="1"/>
    <s v="SG3"/>
    <m/>
    <x v="1"/>
    <x v="3"/>
    <x v="3"/>
    <x v="3"/>
    <x v="0"/>
    <x v="0"/>
    <x v="0"/>
    <m/>
    <x v="0"/>
    <x v="0"/>
    <n v="-0.170013627"/>
    <m/>
    <x v="3"/>
    <x v="1"/>
    <x v="0"/>
    <x v="0"/>
    <x v="0"/>
  </r>
  <r>
    <s v="Singapore"/>
    <x v="5"/>
    <s v="SG3"/>
    <m/>
    <x v="2"/>
    <x v="2"/>
    <x v="4"/>
    <x v="0"/>
    <x v="0"/>
    <x v="0"/>
    <x v="0"/>
    <m/>
    <x v="0"/>
    <x v="0"/>
    <n v="-4.6737000000000001E-2"/>
    <m/>
    <x v="0"/>
    <x v="0"/>
    <x v="0"/>
    <x v="3"/>
    <x v="1"/>
  </r>
  <r>
    <s v="Singapore"/>
    <x v="2"/>
    <s v="SG1"/>
    <m/>
    <x v="5"/>
    <x v="2"/>
    <x v="2"/>
    <x v="0"/>
    <x v="0"/>
    <x v="0"/>
    <x v="0"/>
    <m/>
    <x v="0"/>
    <x v="0"/>
    <n v="-7.7895000000000006E-2"/>
    <m/>
    <x v="1"/>
    <x v="1"/>
    <x v="0"/>
    <x v="1"/>
    <x v="2"/>
  </r>
  <r>
    <s v="Singapore"/>
    <x v="5"/>
    <s v="SG3"/>
    <m/>
    <x v="5"/>
    <x v="0"/>
    <x v="2"/>
    <x v="2"/>
    <x v="0"/>
    <x v="0"/>
    <x v="0"/>
    <m/>
    <x v="0"/>
    <x v="0"/>
    <n v="-0.60758100000000004"/>
    <m/>
    <x v="4"/>
    <x v="1"/>
    <x v="0"/>
    <x v="4"/>
    <x v="1"/>
  </r>
  <r>
    <s v="Singapore"/>
    <x v="1"/>
    <s v="SG4"/>
    <m/>
    <x v="3"/>
    <x v="0"/>
    <x v="2"/>
    <x v="3"/>
    <x v="0"/>
    <x v="0"/>
    <x v="0"/>
    <m/>
    <x v="0"/>
    <x v="0"/>
    <n v="-0.77895000000000003"/>
    <m/>
    <x v="4"/>
    <x v="3"/>
    <x v="0"/>
    <x v="1"/>
    <x v="2"/>
  </r>
  <r>
    <s v="Singapore"/>
    <x v="5"/>
    <s v="SG3"/>
    <m/>
    <x v="1"/>
    <x v="1"/>
    <x v="3"/>
    <x v="0"/>
    <x v="0"/>
    <x v="0"/>
    <x v="0"/>
    <m/>
    <x v="0"/>
    <x v="0"/>
    <n v="-0.10905300000000001"/>
    <m/>
    <x v="4"/>
    <x v="3"/>
    <x v="0"/>
    <x v="0"/>
    <x v="0"/>
  </r>
  <r>
    <s v="Singapore"/>
    <x v="2"/>
    <s v="SG3"/>
    <m/>
    <x v="3"/>
    <x v="4"/>
    <x v="0"/>
    <x v="2"/>
    <x v="0"/>
    <x v="0"/>
    <x v="0"/>
    <m/>
    <x v="0"/>
    <x v="0"/>
    <n v="-0.38947500000000002"/>
    <m/>
    <x v="4"/>
    <x v="0"/>
    <x v="0"/>
    <x v="4"/>
    <x v="2"/>
  </r>
  <r>
    <s v="Singapore"/>
    <x v="5"/>
    <s v="SG2"/>
    <m/>
    <x v="0"/>
    <x v="4"/>
    <x v="3"/>
    <x v="5"/>
    <x v="0"/>
    <x v="0"/>
    <x v="0"/>
    <m/>
    <x v="0"/>
    <x v="0"/>
    <n v="-4.1981666040000007"/>
    <m/>
    <x v="8"/>
    <x v="1"/>
    <x v="0"/>
    <x v="4"/>
    <x v="0"/>
  </r>
  <r>
    <s v="Singapore"/>
    <x v="5"/>
    <s v="SG4"/>
    <m/>
    <x v="0"/>
    <x v="4"/>
    <x v="0"/>
    <x v="0"/>
    <x v="0"/>
    <x v="0"/>
    <x v="0"/>
    <m/>
    <x v="0"/>
    <x v="0"/>
    <n v="-0.8880030000000001"/>
    <m/>
    <x v="4"/>
    <x v="3"/>
    <x v="0"/>
    <x v="4"/>
    <x v="1"/>
  </r>
  <r>
    <s v="Singapore"/>
    <x v="1"/>
    <s v="SG1"/>
    <m/>
    <x v="2"/>
    <x v="2"/>
    <x v="2"/>
    <x v="4"/>
    <x v="0"/>
    <x v="0"/>
    <x v="0"/>
    <m/>
    <x v="0"/>
    <x v="0"/>
    <n v="-9.3474000000000002E-2"/>
    <m/>
    <x v="0"/>
    <x v="3"/>
    <x v="0"/>
    <x v="4"/>
    <x v="1"/>
  </r>
  <r>
    <s v="Singapore"/>
    <x v="3"/>
    <s v="SG3"/>
    <m/>
    <x v="0"/>
    <x v="2"/>
    <x v="1"/>
    <x v="5"/>
    <x v="0"/>
    <x v="0"/>
    <x v="0"/>
    <m/>
    <x v="0"/>
    <x v="0"/>
    <n v="0.233685"/>
    <m/>
    <x v="1"/>
    <x v="1"/>
    <x v="0"/>
    <x v="4"/>
    <x v="0"/>
  </r>
  <r>
    <s v="Singapore"/>
    <x v="2"/>
    <s v="SG4"/>
    <m/>
    <x v="5"/>
    <x v="3"/>
    <x v="0"/>
    <x v="4"/>
    <x v="0"/>
    <x v="0"/>
    <x v="0"/>
    <m/>
    <x v="0"/>
    <x v="0"/>
    <n v="-15.461191602"/>
    <m/>
    <x v="2"/>
    <x v="0"/>
    <x v="0"/>
    <x v="5"/>
    <x v="1"/>
  </r>
  <r>
    <s v="Singapore"/>
    <x v="0"/>
    <s v="SG4"/>
    <m/>
    <x v="4"/>
    <x v="1"/>
    <x v="2"/>
    <x v="0"/>
    <x v="0"/>
    <x v="0"/>
    <x v="0"/>
    <m/>
    <x v="0"/>
    <x v="0"/>
    <n v="0.91916100000000001"/>
    <m/>
    <x v="7"/>
    <x v="3"/>
    <x v="0"/>
    <x v="0"/>
    <x v="2"/>
  </r>
  <r>
    <s v="Singapore"/>
    <x v="5"/>
    <s v="SG3"/>
    <m/>
    <x v="5"/>
    <x v="4"/>
    <x v="2"/>
    <x v="4"/>
    <x v="0"/>
    <x v="0"/>
    <x v="0"/>
    <m/>
    <x v="0"/>
    <x v="0"/>
    <n v="-4.6737000000000001E-2"/>
    <m/>
    <x v="0"/>
    <x v="0"/>
    <x v="0"/>
    <x v="5"/>
    <x v="2"/>
  </r>
  <r>
    <s v="Singapore"/>
    <x v="4"/>
    <s v="SG4"/>
    <m/>
    <x v="0"/>
    <x v="2"/>
    <x v="4"/>
    <x v="3"/>
    <x v="0"/>
    <x v="0"/>
    <x v="0"/>
    <m/>
    <x v="0"/>
    <x v="0"/>
    <n v="10.806622614"/>
    <m/>
    <x v="7"/>
    <x v="1"/>
    <x v="0"/>
    <x v="4"/>
    <x v="1"/>
  </r>
  <r>
    <s v="Singapore"/>
    <x v="3"/>
    <s v="SG4"/>
    <m/>
    <x v="4"/>
    <x v="3"/>
    <x v="2"/>
    <x v="2"/>
    <x v="0"/>
    <x v="0"/>
    <x v="0"/>
    <m/>
    <x v="0"/>
    <x v="0"/>
    <n v="0.37389600000000001"/>
    <m/>
    <x v="4"/>
    <x v="1"/>
    <x v="0"/>
    <x v="4"/>
    <x v="0"/>
  </r>
  <r>
    <s v="Singapore"/>
    <x v="1"/>
    <s v="SG3"/>
    <m/>
    <x v="1"/>
    <x v="3"/>
    <x v="3"/>
    <x v="5"/>
    <x v="0"/>
    <x v="0"/>
    <x v="0"/>
    <m/>
    <x v="0"/>
    <x v="0"/>
    <n v="6.0841136069999999"/>
    <m/>
    <x v="1"/>
    <x v="1"/>
    <x v="0"/>
    <x v="5"/>
    <x v="2"/>
  </r>
  <r>
    <s v="Singapore"/>
    <x v="1"/>
    <s v="SG1"/>
    <m/>
    <x v="0"/>
    <x v="2"/>
    <x v="2"/>
    <x v="2"/>
    <x v="0"/>
    <x v="0"/>
    <x v="0"/>
    <m/>
    <x v="0"/>
    <x v="0"/>
    <n v="-11.920941747000001"/>
    <m/>
    <x v="7"/>
    <x v="1"/>
    <x v="0"/>
    <x v="4"/>
    <x v="0"/>
  </r>
  <r>
    <s v="Singapore"/>
    <x v="2"/>
    <s v="SG3"/>
    <m/>
    <x v="2"/>
    <x v="3"/>
    <x v="3"/>
    <x v="4"/>
    <x v="0"/>
    <x v="0"/>
    <x v="0"/>
    <m/>
    <x v="0"/>
    <x v="0"/>
    <n v="-4.6737000000000001E-2"/>
    <m/>
    <x v="0"/>
    <x v="2"/>
    <x v="0"/>
    <x v="3"/>
    <x v="0"/>
  </r>
  <r>
    <s v="Singapore"/>
    <x v="3"/>
    <s v="SG4"/>
    <m/>
    <x v="1"/>
    <x v="2"/>
    <x v="3"/>
    <x v="2"/>
    <x v="0"/>
    <x v="0"/>
    <x v="0"/>
    <m/>
    <x v="0"/>
    <x v="0"/>
    <n v="-1.3709520000000002"/>
    <m/>
    <x v="7"/>
    <x v="3"/>
    <x v="0"/>
    <x v="5"/>
    <x v="1"/>
  </r>
  <r>
    <s v="Singapore"/>
    <x v="2"/>
    <s v="SG3"/>
    <m/>
    <x v="3"/>
    <x v="4"/>
    <x v="0"/>
    <x v="5"/>
    <x v="0"/>
    <x v="0"/>
    <x v="0"/>
    <m/>
    <x v="0"/>
    <x v="0"/>
    <n v="-1.5579000000000001E-2"/>
    <m/>
    <x v="0"/>
    <x v="1"/>
    <x v="0"/>
    <x v="1"/>
    <x v="0"/>
  </r>
  <r>
    <s v="Singapore"/>
    <x v="1"/>
    <s v="SG4"/>
    <m/>
    <x v="1"/>
    <x v="4"/>
    <x v="2"/>
    <x v="0"/>
    <x v="0"/>
    <x v="0"/>
    <x v="0"/>
    <m/>
    <x v="0"/>
    <x v="0"/>
    <n v="-1.2463200000000001"/>
    <m/>
    <x v="4"/>
    <x v="2"/>
    <x v="0"/>
    <x v="1"/>
    <x v="2"/>
  </r>
  <r>
    <s v="Singapore"/>
    <x v="4"/>
    <s v="SG1"/>
    <m/>
    <x v="5"/>
    <x v="4"/>
    <x v="0"/>
    <x v="1"/>
    <x v="0"/>
    <x v="0"/>
    <x v="0"/>
    <m/>
    <x v="0"/>
    <x v="0"/>
    <n v="-0.77895000000000003"/>
    <m/>
    <x v="4"/>
    <x v="0"/>
    <x v="0"/>
    <x v="3"/>
    <x v="1"/>
  </r>
  <r>
    <s v="Singapore"/>
    <x v="0"/>
    <s v="SG2"/>
    <m/>
    <x v="3"/>
    <x v="4"/>
    <x v="3"/>
    <x v="0"/>
    <x v="0"/>
    <x v="0"/>
    <x v="0"/>
    <m/>
    <x v="0"/>
    <x v="0"/>
    <n v="0.70105499999999998"/>
    <m/>
    <x v="1"/>
    <x v="2"/>
    <x v="0"/>
    <x v="4"/>
    <x v="1"/>
  </r>
  <r>
    <s v="Singapore"/>
    <x v="0"/>
    <s v="SG4"/>
    <m/>
    <x v="1"/>
    <x v="2"/>
    <x v="4"/>
    <x v="5"/>
    <x v="0"/>
    <x v="0"/>
    <x v="0"/>
    <m/>
    <x v="0"/>
    <x v="0"/>
    <n v="0.44400150000000005"/>
    <m/>
    <x v="1"/>
    <x v="0"/>
    <x v="0"/>
    <x v="4"/>
    <x v="1"/>
  </r>
  <r>
    <s v="Singapore"/>
    <x v="0"/>
    <s v="SG4"/>
    <m/>
    <x v="1"/>
    <x v="4"/>
    <x v="2"/>
    <x v="2"/>
    <x v="0"/>
    <x v="0"/>
    <x v="0"/>
    <m/>
    <x v="0"/>
    <x v="0"/>
    <n v="-2.3368500000000001"/>
    <m/>
    <x v="4"/>
    <x v="0"/>
    <x v="0"/>
    <x v="3"/>
    <x v="1"/>
  </r>
  <r>
    <s v="Singapore"/>
    <x v="0"/>
    <s v="SG1"/>
    <m/>
    <x v="2"/>
    <x v="3"/>
    <x v="2"/>
    <x v="2"/>
    <x v="0"/>
    <x v="0"/>
    <x v="0"/>
    <m/>
    <x v="0"/>
    <x v="0"/>
    <n v="-0.233685"/>
    <m/>
    <x v="0"/>
    <x v="0"/>
    <x v="0"/>
    <x v="1"/>
    <x v="2"/>
  </r>
  <r>
    <s v="Singapore"/>
    <x v="3"/>
    <s v="SG1"/>
    <m/>
    <x v="2"/>
    <x v="3"/>
    <x v="3"/>
    <x v="2"/>
    <x v="0"/>
    <x v="0"/>
    <x v="0"/>
    <m/>
    <x v="0"/>
    <x v="0"/>
    <n v="0.12463200000000001"/>
    <m/>
    <x v="0"/>
    <x v="0"/>
    <x v="0"/>
    <x v="0"/>
    <x v="2"/>
  </r>
  <r>
    <s v="Singapore"/>
    <x v="0"/>
    <s v="SG2"/>
    <m/>
    <x v="5"/>
    <x v="2"/>
    <x v="0"/>
    <x v="4"/>
    <x v="0"/>
    <x v="0"/>
    <x v="0"/>
    <m/>
    <x v="0"/>
    <x v="0"/>
    <n v="-4.6737000000000001E-2"/>
    <m/>
    <x v="0"/>
    <x v="0"/>
    <x v="0"/>
    <x v="2"/>
    <x v="1"/>
  </r>
  <r>
    <s v="Singapore"/>
    <x v="4"/>
    <s v="SG4"/>
    <m/>
    <x v="2"/>
    <x v="4"/>
    <x v="1"/>
    <x v="2"/>
    <x v="0"/>
    <x v="0"/>
    <x v="0"/>
    <m/>
    <x v="0"/>
    <x v="0"/>
    <n v="-0.37389600000000001"/>
    <m/>
    <x v="4"/>
    <x v="2"/>
    <x v="0"/>
    <x v="1"/>
    <x v="1"/>
  </r>
  <r>
    <s v="Singapore"/>
    <x v="4"/>
    <s v="SG4"/>
    <m/>
    <x v="2"/>
    <x v="3"/>
    <x v="2"/>
    <x v="0"/>
    <x v="0"/>
    <x v="0"/>
    <x v="0"/>
    <m/>
    <x v="0"/>
    <x v="0"/>
    <n v="2.6185183200000002"/>
    <m/>
    <x v="1"/>
    <x v="3"/>
    <x v="0"/>
    <x v="2"/>
    <x v="0"/>
  </r>
  <r>
    <s v="Singapore"/>
    <x v="3"/>
    <s v="SG2"/>
    <m/>
    <x v="3"/>
    <x v="2"/>
    <x v="3"/>
    <x v="2"/>
    <x v="0"/>
    <x v="0"/>
    <x v="0"/>
    <m/>
    <x v="0"/>
    <x v="0"/>
    <n v="1.137267"/>
    <m/>
    <x v="1"/>
    <x v="0"/>
    <x v="0"/>
    <x v="3"/>
    <x v="1"/>
  </r>
  <r>
    <s v="Singapore"/>
    <x v="0"/>
    <s v="SG4"/>
    <m/>
    <x v="4"/>
    <x v="2"/>
    <x v="4"/>
    <x v="0"/>
    <x v="0"/>
    <x v="0"/>
    <x v="0"/>
    <m/>
    <x v="0"/>
    <x v="0"/>
    <n v="-0.70105499999999998"/>
    <m/>
    <x v="4"/>
    <x v="3"/>
    <x v="0"/>
    <x v="3"/>
    <x v="2"/>
  </r>
  <r>
    <s v="Singapore"/>
    <x v="4"/>
    <s v="SG4"/>
    <m/>
    <x v="1"/>
    <x v="4"/>
    <x v="3"/>
    <x v="5"/>
    <x v="0"/>
    <x v="0"/>
    <x v="0"/>
    <m/>
    <x v="0"/>
    <x v="0"/>
    <n v="0.12463200000000001"/>
    <m/>
    <x v="0"/>
    <x v="1"/>
    <x v="0"/>
    <x v="1"/>
    <x v="0"/>
  </r>
  <r>
    <s v="Singapore"/>
    <x v="2"/>
    <s v="SG2"/>
    <m/>
    <x v="5"/>
    <x v="3"/>
    <x v="4"/>
    <x v="1"/>
    <x v="0"/>
    <x v="0"/>
    <x v="0"/>
    <m/>
    <x v="0"/>
    <x v="0"/>
    <n v="-7.7895000000000006E-2"/>
    <m/>
    <x v="4"/>
    <x v="0"/>
    <x v="0"/>
    <x v="5"/>
    <x v="1"/>
  </r>
  <r>
    <s v="Singapore"/>
    <x v="4"/>
    <s v="SG4"/>
    <m/>
    <x v="4"/>
    <x v="2"/>
    <x v="4"/>
    <x v="1"/>
    <x v="0"/>
    <x v="0"/>
    <x v="0"/>
    <m/>
    <x v="0"/>
    <x v="0"/>
    <n v="0.15579000000000001"/>
    <m/>
    <x v="1"/>
    <x v="0"/>
    <x v="0"/>
    <x v="3"/>
    <x v="0"/>
  </r>
  <r>
    <s v="Singapore"/>
    <x v="0"/>
    <s v="SG2"/>
    <m/>
    <x v="0"/>
    <x v="2"/>
    <x v="2"/>
    <x v="4"/>
    <x v="0"/>
    <x v="0"/>
    <x v="0"/>
    <m/>
    <x v="0"/>
    <x v="0"/>
    <n v="1.1450565000000001"/>
    <m/>
    <x v="1"/>
    <x v="1"/>
    <x v="0"/>
    <x v="4"/>
    <x v="2"/>
  </r>
  <r>
    <s v="Singapore"/>
    <x v="5"/>
    <s v="SG3"/>
    <m/>
    <x v="1"/>
    <x v="2"/>
    <x v="0"/>
    <x v="0"/>
    <x v="0"/>
    <x v="0"/>
    <x v="0"/>
    <m/>
    <x v="0"/>
    <x v="0"/>
    <n v="-0.233685"/>
    <m/>
    <x v="0"/>
    <x v="2"/>
    <x v="0"/>
    <x v="1"/>
    <x v="0"/>
  </r>
  <r>
    <s v="Singapore"/>
    <x v="4"/>
    <s v="SG2"/>
    <m/>
    <x v="3"/>
    <x v="3"/>
    <x v="2"/>
    <x v="1"/>
    <x v="0"/>
    <x v="0"/>
    <x v="0"/>
    <m/>
    <x v="0"/>
    <x v="0"/>
    <n v="10.757439711"/>
    <m/>
    <x v="5"/>
    <x v="3"/>
    <x v="0"/>
    <x v="1"/>
    <x v="2"/>
  </r>
  <r>
    <s v="Singapore"/>
    <x v="3"/>
    <s v="SG2"/>
    <m/>
    <x v="0"/>
    <x v="1"/>
    <x v="1"/>
    <x v="0"/>
    <x v="0"/>
    <x v="0"/>
    <x v="0"/>
    <m/>
    <x v="0"/>
    <x v="0"/>
    <n v="1.059372"/>
    <m/>
    <x v="1"/>
    <x v="2"/>
    <x v="0"/>
    <x v="5"/>
    <x v="2"/>
  </r>
  <r>
    <s v="Singapore"/>
    <x v="0"/>
    <s v="SG3"/>
    <m/>
    <x v="4"/>
    <x v="2"/>
    <x v="3"/>
    <x v="3"/>
    <x v="0"/>
    <x v="0"/>
    <x v="0"/>
    <m/>
    <x v="0"/>
    <x v="0"/>
    <n v="4.6737000000000002"/>
    <m/>
    <x v="2"/>
    <x v="3"/>
    <x v="0"/>
    <x v="5"/>
    <x v="0"/>
  </r>
  <r>
    <s v="Singapore"/>
    <x v="2"/>
    <s v="SG4"/>
    <m/>
    <x v="3"/>
    <x v="0"/>
    <x v="4"/>
    <x v="0"/>
    <x v="0"/>
    <x v="0"/>
    <x v="0"/>
    <m/>
    <x v="0"/>
    <x v="0"/>
    <n v="-3.1158000000000002E-2"/>
    <m/>
    <x v="0"/>
    <x v="1"/>
    <x v="0"/>
    <x v="3"/>
    <x v="1"/>
  </r>
  <r>
    <s v="Singapore"/>
    <x v="1"/>
    <s v="SG2"/>
    <m/>
    <x v="1"/>
    <x v="1"/>
    <x v="2"/>
    <x v="4"/>
    <x v="0"/>
    <x v="0"/>
    <x v="0"/>
    <m/>
    <x v="0"/>
    <x v="0"/>
    <n v="1.1450565000000001"/>
    <m/>
    <x v="1"/>
    <x v="3"/>
    <x v="0"/>
    <x v="2"/>
    <x v="1"/>
  </r>
  <r>
    <s v="Singapore"/>
    <x v="0"/>
    <s v="SG4"/>
    <m/>
    <x v="4"/>
    <x v="1"/>
    <x v="3"/>
    <x v="0"/>
    <x v="0"/>
    <x v="0"/>
    <x v="0"/>
    <m/>
    <x v="0"/>
    <x v="0"/>
    <n v="-1.053872613"/>
    <m/>
    <x v="4"/>
    <x v="2"/>
    <x v="0"/>
    <x v="5"/>
    <x v="0"/>
  </r>
  <r>
    <s v="Singapore"/>
    <x v="1"/>
    <s v="SG4"/>
    <m/>
    <x v="2"/>
    <x v="0"/>
    <x v="1"/>
    <x v="3"/>
    <x v="0"/>
    <x v="0"/>
    <x v="0"/>
    <m/>
    <x v="0"/>
    <x v="0"/>
    <n v="0.51410699999999998"/>
    <m/>
    <x v="1"/>
    <x v="2"/>
    <x v="0"/>
    <x v="5"/>
    <x v="1"/>
  </r>
  <r>
    <s v="Singapore"/>
    <x v="3"/>
    <s v="SG1"/>
    <m/>
    <x v="2"/>
    <x v="4"/>
    <x v="3"/>
    <x v="2"/>
    <x v="0"/>
    <x v="0"/>
    <x v="0"/>
    <m/>
    <x v="0"/>
    <x v="0"/>
    <n v="-0.12463200000000001"/>
    <m/>
    <x v="4"/>
    <x v="2"/>
    <x v="0"/>
    <x v="1"/>
    <x v="0"/>
  </r>
  <r>
    <s v="Singapore"/>
    <x v="3"/>
    <s v="SG1"/>
    <m/>
    <x v="4"/>
    <x v="2"/>
    <x v="3"/>
    <x v="5"/>
    <x v="0"/>
    <x v="0"/>
    <x v="0"/>
    <m/>
    <x v="0"/>
    <x v="0"/>
    <n v="0.15579000000000001"/>
    <m/>
    <x v="1"/>
    <x v="2"/>
    <x v="0"/>
    <x v="3"/>
    <x v="1"/>
  </r>
  <r>
    <s v="Singapore"/>
    <x v="3"/>
    <s v="SG1"/>
    <m/>
    <x v="4"/>
    <x v="2"/>
    <x v="3"/>
    <x v="4"/>
    <x v="0"/>
    <x v="0"/>
    <x v="0"/>
    <m/>
    <x v="0"/>
    <x v="0"/>
    <n v="0.15579000000000001"/>
    <m/>
    <x v="1"/>
    <x v="1"/>
    <x v="0"/>
    <x v="2"/>
    <x v="2"/>
  </r>
  <r>
    <s v="Singapore"/>
    <x v="1"/>
    <s v="SG1"/>
    <m/>
    <x v="2"/>
    <x v="1"/>
    <x v="3"/>
    <x v="3"/>
    <x v="0"/>
    <x v="0"/>
    <x v="0"/>
    <m/>
    <x v="0"/>
    <x v="0"/>
    <n v="-0.15423210000000001"/>
    <m/>
    <x v="3"/>
    <x v="3"/>
    <x v="0"/>
    <x v="4"/>
    <x v="0"/>
  </r>
  <r>
    <s v="Singapore"/>
    <x v="5"/>
    <s v="SG3"/>
    <m/>
    <x v="4"/>
    <x v="3"/>
    <x v="3"/>
    <x v="0"/>
    <x v="0"/>
    <x v="0"/>
    <x v="0"/>
    <m/>
    <x v="0"/>
    <x v="0"/>
    <n v="-2.6484300000000003"/>
    <m/>
    <x v="1"/>
    <x v="3"/>
    <x v="0"/>
    <x v="5"/>
    <x v="2"/>
  </r>
  <r>
    <s v="Singapore"/>
    <x v="1"/>
    <s v="SG2"/>
    <m/>
    <x v="0"/>
    <x v="2"/>
    <x v="3"/>
    <x v="1"/>
    <x v="0"/>
    <x v="0"/>
    <x v="0"/>
    <m/>
    <x v="0"/>
    <x v="0"/>
    <n v="-0.1760427"/>
    <m/>
    <x v="3"/>
    <x v="2"/>
    <x v="0"/>
    <x v="5"/>
    <x v="1"/>
  </r>
  <r>
    <s v="Singapore"/>
    <x v="1"/>
    <s v="SG2"/>
    <m/>
    <x v="0"/>
    <x v="0"/>
    <x v="3"/>
    <x v="5"/>
    <x v="0"/>
    <x v="0"/>
    <x v="0"/>
    <m/>
    <x v="0"/>
    <x v="0"/>
    <n v="0.65949022800000001"/>
    <m/>
    <x v="1"/>
    <x v="3"/>
    <x v="0"/>
    <x v="4"/>
    <x v="0"/>
  </r>
  <r>
    <s v="Singapore"/>
    <x v="2"/>
    <s v="SG4"/>
    <m/>
    <x v="0"/>
    <x v="0"/>
    <x v="1"/>
    <x v="1"/>
    <x v="0"/>
    <x v="0"/>
    <x v="0"/>
    <m/>
    <x v="0"/>
    <x v="0"/>
    <n v="5.2033860000000001"/>
    <m/>
    <x v="1"/>
    <x v="3"/>
    <x v="0"/>
    <x v="0"/>
    <x v="1"/>
  </r>
  <r>
    <s v="Singapore"/>
    <x v="0"/>
    <s v="SG3"/>
    <m/>
    <x v="2"/>
    <x v="4"/>
    <x v="0"/>
    <x v="4"/>
    <x v="0"/>
    <x v="0"/>
    <x v="0"/>
    <m/>
    <x v="0"/>
    <x v="0"/>
    <n v="-0.10905300000000001"/>
    <m/>
    <x v="4"/>
    <x v="2"/>
    <x v="0"/>
    <x v="1"/>
    <x v="1"/>
  </r>
  <r>
    <s v="Singapore"/>
    <x v="0"/>
    <s v="SG2"/>
    <m/>
    <x v="4"/>
    <x v="2"/>
    <x v="3"/>
    <x v="5"/>
    <x v="0"/>
    <x v="0"/>
    <x v="0"/>
    <m/>
    <x v="0"/>
    <x v="0"/>
    <n v="-0.85684500000000008"/>
    <m/>
    <x v="1"/>
    <x v="1"/>
    <x v="0"/>
    <x v="5"/>
    <x v="2"/>
  </r>
  <r>
    <s v="Singapore"/>
    <x v="0"/>
    <s v="SG2"/>
    <m/>
    <x v="3"/>
    <x v="3"/>
    <x v="2"/>
    <x v="4"/>
    <x v="0"/>
    <x v="0"/>
    <x v="0"/>
    <m/>
    <x v="0"/>
    <x v="0"/>
    <n v="-0.44400150000000005"/>
    <m/>
    <x v="1"/>
    <x v="2"/>
    <x v="0"/>
    <x v="0"/>
    <x v="1"/>
  </r>
  <r>
    <s v="Singapore"/>
    <x v="0"/>
    <s v="SG3"/>
    <m/>
    <x v="2"/>
    <x v="1"/>
    <x v="3"/>
    <x v="5"/>
    <x v="0"/>
    <x v="0"/>
    <x v="0"/>
    <m/>
    <x v="0"/>
    <x v="0"/>
    <n v="-0.1838322"/>
    <m/>
    <x v="4"/>
    <x v="0"/>
    <x v="0"/>
    <x v="5"/>
    <x v="1"/>
  </r>
  <r>
    <s v="Singapore"/>
    <x v="0"/>
    <s v="SG4"/>
    <m/>
    <x v="0"/>
    <x v="0"/>
    <x v="4"/>
    <x v="1"/>
    <x v="0"/>
    <x v="0"/>
    <x v="0"/>
    <m/>
    <x v="0"/>
    <x v="0"/>
    <n v="-0.15579000000000001"/>
    <m/>
    <x v="0"/>
    <x v="1"/>
    <x v="0"/>
    <x v="1"/>
    <x v="1"/>
  </r>
  <r>
    <s v="Singapore"/>
    <x v="3"/>
    <s v="SG2"/>
    <m/>
    <x v="2"/>
    <x v="2"/>
    <x v="2"/>
    <x v="0"/>
    <x v="0"/>
    <x v="0"/>
    <x v="0"/>
    <m/>
    <x v="0"/>
    <x v="0"/>
    <n v="-0.12463200000000001"/>
    <m/>
    <x v="6"/>
    <x v="1"/>
    <x v="0"/>
    <x v="5"/>
    <x v="2"/>
  </r>
  <r>
    <s v="Singapore"/>
    <x v="2"/>
    <s v="SG4"/>
    <m/>
    <x v="3"/>
    <x v="2"/>
    <x v="4"/>
    <x v="1"/>
    <x v="0"/>
    <x v="0"/>
    <x v="0"/>
    <m/>
    <x v="0"/>
    <x v="0"/>
    <n v="16.357950000000002"/>
    <m/>
    <x v="1"/>
    <x v="3"/>
    <x v="0"/>
    <x v="1"/>
    <x v="1"/>
  </r>
  <r>
    <s v="Singapore"/>
    <x v="1"/>
    <s v="SG2"/>
    <m/>
    <x v="3"/>
    <x v="4"/>
    <x v="2"/>
    <x v="4"/>
    <x v="0"/>
    <x v="0"/>
    <x v="0"/>
    <m/>
    <x v="0"/>
    <x v="0"/>
    <n v="-0.29600100000000001"/>
    <m/>
    <x v="0"/>
    <x v="1"/>
    <x v="0"/>
    <x v="2"/>
    <x v="2"/>
  </r>
  <r>
    <s v="Singapore"/>
    <x v="4"/>
    <s v="SG2"/>
    <m/>
    <x v="0"/>
    <x v="3"/>
    <x v="1"/>
    <x v="1"/>
    <x v="0"/>
    <x v="0"/>
    <x v="0"/>
    <m/>
    <x v="0"/>
    <x v="0"/>
    <n v="-7.0105500000000001E-2"/>
    <m/>
    <x v="4"/>
    <x v="0"/>
    <x v="0"/>
    <x v="2"/>
    <x v="2"/>
  </r>
  <r>
    <s v="Singapore"/>
    <x v="5"/>
    <s v="SG1"/>
    <m/>
    <x v="4"/>
    <x v="3"/>
    <x v="2"/>
    <x v="1"/>
    <x v="0"/>
    <x v="0"/>
    <x v="0"/>
    <m/>
    <x v="0"/>
    <x v="0"/>
    <n v="1.2307410000000001"/>
    <m/>
    <x v="1"/>
    <x v="0"/>
    <x v="0"/>
    <x v="1"/>
    <x v="2"/>
  </r>
  <r>
    <s v="Singapore"/>
    <x v="1"/>
    <s v="SG1"/>
    <m/>
    <x v="0"/>
    <x v="1"/>
    <x v="0"/>
    <x v="3"/>
    <x v="0"/>
    <x v="0"/>
    <x v="0"/>
    <m/>
    <x v="0"/>
    <x v="0"/>
    <n v="1.7654901750000001"/>
    <m/>
    <x v="5"/>
    <x v="3"/>
    <x v="0"/>
    <x v="0"/>
    <x v="2"/>
  </r>
  <r>
    <s v="Singapore"/>
    <x v="3"/>
    <s v="SG2"/>
    <m/>
    <x v="4"/>
    <x v="3"/>
    <x v="1"/>
    <x v="0"/>
    <x v="0"/>
    <x v="0"/>
    <x v="0"/>
    <m/>
    <x v="0"/>
    <x v="0"/>
    <n v="-1.168425"/>
    <m/>
    <x v="1"/>
    <x v="2"/>
    <x v="0"/>
    <x v="0"/>
    <x v="1"/>
  </r>
  <r>
    <s v="Singapore"/>
    <x v="0"/>
    <s v="SG4"/>
    <m/>
    <x v="2"/>
    <x v="3"/>
    <x v="3"/>
    <x v="4"/>
    <x v="0"/>
    <x v="0"/>
    <x v="0"/>
    <m/>
    <x v="0"/>
    <x v="0"/>
    <n v="-0.12463200000000001"/>
    <m/>
    <x v="4"/>
    <x v="0"/>
    <x v="0"/>
    <x v="4"/>
    <x v="2"/>
  </r>
  <r>
    <s v="Singapore"/>
    <x v="1"/>
    <s v="SG1"/>
    <m/>
    <x v="3"/>
    <x v="0"/>
    <x v="2"/>
    <x v="4"/>
    <x v="0"/>
    <x v="0"/>
    <x v="0"/>
    <m/>
    <x v="0"/>
    <x v="0"/>
    <n v="-2.33685E-2"/>
    <m/>
    <x v="0"/>
    <x v="2"/>
    <x v="0"/>
    <x v="5"/>
    <x v="0"/>
  </r>
  <r>
    <s v="Singapore"/>
    <x v="2"/>
    <s v="SG4"/>
    <m/>
    <x v="1"/>
    <x v="1"/>
    <x v="2"/>
    <x v="1"/>
    <x v="0"/>
    <x v="0"/>
    <x v="0"/>
    <m/>
    <x v="0"/>
    <x v="0"/>
    <n v="1.137267"/>
    <m/>
    <x v="1"/>
    <x v="2"/>
    <x v="0"/>
    <x v="1"/>
    <x v="1"/>
  </r>
  <r>
    <s v="Singapore"/>
    <x v="2"/>
    <s v="SG3"/>
    <m/>
    <x v="3"/>
    <x v="3"/>
    <x v="3"/>
    <x v="5"/>
    <x v="0"/>
    <x v="0"/>
    <x v="0"/>
    <m/>
    <x v="0"/>
    <x v="0"/>
    <n v="5.8608198E-2"/>
    <m/>
    <x v="8"/>
    <x v="0"/>
    <x v="0"/>
    <x v="5"/>
    <x v="1"/>
  </r>
  <r>
    <s v="Singapore"/>
    <x v="0"/>
    <s v="SG2"/>
    <m/>
    <x v="2"/>
    <x v="4"/>
    <x v="4"/>
    <x v="1"/>
    <x v="0"/>
    <x v="0"/>
    <x v="0"/>
    <m/>
    <x v="0"/>
    <x v="0"/>
    <n v="-4.3014709530000008"/>
    <m/>
    <x v="3"/>
    <x v="1"/>
    <x v="0"/>
    <x v="3"/>
    <x v="1"/>
  </r>
  <r>
    <s v="Singapore"/>
    <x v="3"/>
    <s v="SG1"/>
    <m/>
    <x v="1"/>
    <x v="4"/>
    <x v="3"/>
    <x v="5"/>
    <x v="0"/>
    <x v="0"/>
    <x v="0"/>
    <m/>
    <x v="0"/>
    <x v="0"/>
    <n v="-0.12463200000000001"/>
    <m/>
    <x v="0"/>
    <x v="0"/>
    <x v="0"/>
    <x v="1"/>
    <x v="0"/>
  </r>
  <r>
    <s v="Singapore"/>
    <x v="4"/>
    <s v="SG2"/>
    <m/>
    <x v="1"/>
    <x v="4"/>
    <x v="2"/>
    <x v="0"/>
    <x v="0"/>
    <x v="0"/>
    <x v="0"/>
    <m/>
    <x v="0"/>
    <x v="0"/>
    <n v="-4.6737000000000001E-2"/>
    <m/>
    <x v="0"/>
    <x v="3"/>
    <x v="0"/>
    <x v="1"/>
    <x v="1"/>
  </r>
  <r>
    <s v="Singapore"/>
    <x v="2"/>
    <s v="SG2"/>
    <m/>
    <x v="3"/>
    <x v="1"/>
    <x v="4"/>
    <x v="4"/>
    <x v="0"/>
    <x v="0"/>
    <x v="0"/>
    <m/>
    <x v="0"/>
    <x v="0"/>
    <n v="-3.9882240000000002"/>
    <m/>
    <x v="4"/>
    <x v="3"/>
    <x v="0"/>
    <x v="1"/>
    <x v="2"/>
  </r>
  <r>
    <s v="Singapore"/>
    <x v="1"/>
    <s v="SG2"/>
    <m/>
    <x v="2"/>
    <x v="4"/>
    <x v="3"/>
    <x v="2"/>
    <x v="0"/>
    <x v="0"/>
    <x v="0"/>
    <m/>
    <x v="0"/>
    <x v="0"/>
    <n v="0.1838322"/>
    <m/>
    <x v="4"/>
    <x v="3"/>
    <x v="0"/>
    <x v="4"/>
    <x v="1"/>
  </r>
  <r>
    <s v="Singapore"/>
    <x v="1"/>
    <s v="SG3"/>
    <m/>
    <x v="4"/>
    <x v="4"/>
    <x v="0"/>
    <x v="0"/>
    <x v="0"/>
    <x v="0"/>
    <x v="0"/>
    <m/>
    <x v="0"/>
    <x v="0"/>
    <n v="3.4444078469999999"/>
    <m/>
    <x v="5"/>
    <x v="1"/>
    <x v="0"/>
    <x v="5"/>
    <x v="1"/>
  </r>
  <r>
    <s v="Singapore"/>
    <x v="4"/>
    <s v="SG2"/>
    <m/>
    <x v="4"/>
    <x v="4"/>
    <x v="3"/>
    <x v="0"/>
    <x v="0"/>
    <x v="0"/>
    <x v="0"/>
    <m/>
    <x v="0"/>
    <x v="0"/>
    <n v="1.0801232280000002"/>
    <m/>
    <x v="1"/>
    <x v="1"/>
    <x v="0"/>
    <x v="1"/>
    <x v="2"/>
  </r>
  <r>
    <s v="Singapore"/>
    <x v="1"/>
    <s v="SG1"/>
    <m/>
    <x v="0"/>
    <x v="3"/>
    <x v="4"/>
    <x v="1"/>
    <x v="0"/>
    <x v="0"/>
    <x v="0"/>
    <m/>
    <x v="0"/>
    <x v="0"/>
    <n v="29.032494714000002"/>
    <m/>
    <x v="5"/>
    <x v="0"/>
    <x v="0"/>
    <x v="2"/>
    <x v="2"/>
  </r>
  <r>
    <s v="Singapore"/>
    <x v="2"/>
    <s v="SG4"/>
    <m/>
    <x v="0"/>
    <x v="4"/>
    <x v="1"/>
    <x v="0"/>
    <x v="0"/>
    <x v="0"/>
    <x v="0"/>
    <m/>
    <x v="0"/>
    <x v="0"/>
    <n v="2.2901130000000003"/>
    <m/>
    <x v="1"/>
    <x v="2"/>
    <x v="0"/>
    <x v="0"/>
    <x v="1"/>
  </r>
  <r>
    <s v="Singapore"/>
    <x v="5"/>
    <s v="SG1"/>
    <m/>
    <x v="2"/>
    <x v="1"/>
    <x v="0"/>
    <x v="0"/>
    <x v="0"/>
    <x v="0"/>
    <x v="0"/>
    <m/>
    <x v="0"/>
    <x v="0"/>
    <n v="-0.1838322"/>
    <m/>
    <x v="4"/>
    <x v="0"/>
    <x v="0"/>
    <x v="3"/>
    <x v="0"/>
  </r>
  <r>
    <s v="Singapore"/>
    <x v="4"/>
    <s v="SG3"/>
    <m/>
    <x v="3"/>
    <x v="4"/>
    <x v="2"/>
    <x v="0"/>
    <x v="0"/>
    <x v="0"/>
    <x v="0"/>
    <m/>
    <x v="0"/>
    <x v="0"/>
    <n v="-0.1838322"/>
    <m/>
    <x v="4"/>
    <x v="2"/>
    <x v="0"/>
    <x v="4"/>
    <x v="2"/>
  </r>
  <r>
    <s v="Singapore"/>
    <x v="4"/>
    <s v="SG2"/>
    <m/>
    <x v="4"/>
    <x v="2"/>
    <x v="3"/>
    <x v="3"/>
    <x v="0"/>
    <x v="0"/>
    <x v="0"/>
    <m/>
    <x v="0"/>
    <x v="0"/>
    <n v="-0.99705600000000005"/>
    <m/>
    <x v="4"/>
    <x v="2"/>
    <x v="0"/>
    <x v="4"/>
    <x v="1"/>
  </r>
  <r>
    <s v="Singapore"/>
    <x v="3"/>
    <s v="SG3"/>
    <m/>
    <x v="3"/>
    <x v="1"/>
    <x v="3"/>
    <x v="0"/>
    <x v="0"/>
    <x v="0"/>
    <x v="0"/>
    <m/>
    <x v="0"/>
    <x v="0"/>
    <n v="17.29269"/>
    <m/>
    <x v="7"/>
    <x v="2"/>
    <x v="0"/>
    <x v="3"/>
    <x v="2"/>
  </r>
  <r>
    <s v="Singapore"/>
    <x v="0"/>
    <s v="SG2"/>
    <m/>
    <x v="3"/>
    <x v="0"/>
    <x v="3"/>
    <x v="0"/>
    <x v="0"/>
    <x v="0"/>
    <x v="0"/>
    <m/>
    <x v="0"/>
    <x v="0"/>
    <n v="-7.7895000000000006E-2"/>
    <m/>
    <x v="0"/>
    <x v="3"/>
    <x v="0"/>
    <x v="3"/>
    <x v="0"/>
  </r>
  <r>
    <s v="Singapore"/>
    <x v="4"/>
    <s v="SG4"/>
    <m/>
    <x v="4"/>
    <x v="0"/>
    <x v="0"/>
    <x v="1"/>
    <x v="0"/>
    <x v="0"/>
    <x v="0"/>
    <m/>
    <x v="0"/>
    <x v="0"/>
    <n v="-0.12463200000000001"/>
    <m/>
    <x v="4"/>
    <x v="0"/>
    <x v="0"/>
    <x v="1"/>
    <x v="1"/>
  </r>
  <r>
    <s v="Singapore"/>
    <x v="1"/>
    <s v="SG3"/>
    <m/>
    <x v="0"/>
    <x v="3"/>
    <x v="1"/>
    <x v="0"/>
    <x v="0"/>
    <x v="0"/>
    <x v="0"/>
    <m/>
    <x v="0"/>
    <x v="0"/>
    <n v="11.29524237"/>
    <m/>
    <x v="7"/>
    <x v="3"/>
    <x v="0"/>
    <x v="2"/>
    <x v="0"/>
  </r>
  <r>
    <s v="Singapore"/>
    <x v="0"/>
    <s v="SG3"/>
    <m/>
    <x v="1"/>
    <x v="4"/>
    <x v="0"/>
    <x v="1"/>
    <x v="0"/>
    <x v="0"/>
    <x v="0"/>
    <m/>
    <x v="0"/>
    <x v="0"/>
    <n v="-0.12463200000000001"/>
    <m/>
    <x v="4"/>
    <x v="0"/>
    <x v="0"/>
    <x v="1"/>
    <x v="1"/>
  </r>
  <r>
    <s v="Singapore"/>
    <x v="3"/>
    <s v="SG1"/>
    <m/>
    <x v="3"/>
    <x v="2"/>
    <x v="1"/>
    <x v="5"/>
    <x v="0"/>
    <x v="0"/>
    <x v="0"/>
    <m/>
    <x v="0"/>
    <x v="0"/>
    <n v="3.4351695000000002"/>
    <m/>
    <x v="1"/>
    <x v="3"/>
    <x v="0"/>
    <x v="5"/>
    <x v="1"/>
  </r>
  <r>
    <s v="Singapore"/>
    <x v="4"/>
    <s v="SG4"/>
    <m/>
    <x v="3"/>
    <x v="3"/>
    <x v="0"/>
    <x v="5"/>
    <x v="0"/>
    <x v="0"/>
    <x v="0"/>
    <m/>
    <x v="0"/>
    <x v="0"/>
    <n v="-0.38947500000000002"/>
    <m/>
    <x v="4"/>
    <x v="3"/>
    <x v="0"/>
    <x v="3"/>
    <x v="0"/>
  </r>
  <r>
    <s v="Singapore"/>
    <x v="1"/>
    <s v="SG1"/>
    <m/>
    <x v="0"/>
    <x v="4"/>
    <x v="1"/>
    <x v="4"/>
    <x v="0"/>
    <x v="0"/>
    <x v="0"/>
    <m/>
    <x v="0"/>
    <x v="0"/>
    <n v="503.08258296600002"/>
    <m/>
    <x v="1"/>
    <x v="0"/>
    <x v="0"/>
    <x v="4"/>
    <x v="0"/>
  </r>
  <r>
    <s v="Singapore"/>
    <x v="3"/>
    <s v="SG1"/>
    <m/>
    <x v="3"/>
    <x v="1"/>
    <x v="1"/>
    <x v="2"/>
    <x v="0"/>
    <x v="0"/>
    <x v="0"/>
    <m/>
    <x v="0"/>
    <x v="0"/>
    <n v="-2.1031650000000002"/>
    <m/>
    <x v="4"/>
    <x v="0"/>
    <x v="0"/>
    <x v="4"/>
    <x v="1"/>
  </r>
  <r>
    <s v="Singapore"/>
    <x v="1"/>
    <s v="SG1"/>
    <m/>
    <x v="2"/>
    <x v="2"/>
    <x v="2"/>
    <x v="0"/>
    <x v="0"/>
    <x v="0"/>
    <x v="0"/>
    <m/>
    <x v="0"/>
    <x v="0"/>
    <n v="-0.81010800000000005"/>
    <m/>
    <x v="4"/>
    <x v="0"/>
    <x v="0"/>
    <x v="1"/>
    <x v="0"/>
  </r>
  <r>
    <s v="Singapore"/>
    <x v="1"/>
    <s v="SG2"/>
    <m/>
    <x v="0"/>
    <x v="1"/>
    <x v="2"/>
    <x v="4"/>
    <x v="0"/>
    <x v="0"/>
    <x v="0"/>
    <m/>
    <x v="0"/>
    <x v="0"/>
    <n v="1.6357950000000001"/>
    <m/>
    <x v="4"/>
    <x v="2"/>
    <x v="0"/>
    <x v="2"/>
    <x v="2"/>
  </r>
  <r>
    <s v="Singapore"/>
    <x v="1"/>
    <s v="SG1"/>
    <m/>
    <x v="5"/>
    <x v="4"/>
    <x v="1"/>
    <x v="3"/>
    <x v="0"/>
    <x v="0"/>
    <x v="0"/>
    <m/>
    <x v="0"/>
    <x v="0"/>
    <n v="0.27581061600000001"/>
    <m/>
    <x v="8"/>
    <x v="3"/>
    <x v="0"/>
    <x v="0"/>
    <x v="1"/>
  </r>
  <r>
    <s v="Singapore"/>
    <x v="3"/>
    <s v="SG3"/>
    <m/>
    <x v="1"/>
    <x v="1"/>
    <x v="0"/>
    <x v="5"/>
    <x v="0"/>
    <x v="0"/>
    <x v="0"/>
    <m/>
    <x v="0"/>
    <x v="0"/>
    <n v="-1.5579000000000001E-2"/>
    <m/>
    <x v="0"/>
    <x v="3"/>
    <x v="0"/>
    <x v="4"/>
    <x v="1"/>
  </r>
  <r>
    <s v="Singapore"/>
    <x v="1"/>
    <s v="SG1"/>
    <m/>
    <x v="4"/>
    <x v="1"/>
    <x v="2"/>
    <x v="4"/>
    <x v="0"/>
    <x v="0"/>
    <x v="0"/>
    <m/>
    <x v="0"/>
    <x v="0"/>
    <n v="-0.15579000000000001"/>
    <m/>
    <x v="7"/>
    <x v="1"/>
    <x v="0"/>
    <x v="2"/>
    <x v="1"/>
  </r>
  <r>
    <s v="Singapore"/>
    <x v="5"/>
    <s v="SG2"/>
    <m/>
    <x v="2"/>
    <x v="2"/>
    <x v="0"/>
    <x v="1"/>
    <x v="0"/>
    <x v="0"/>
    <x v="0"/>
    <m/>
    <x v="0"/>
    <x v="0"/>
    <n v="0.74779200000000001"/>
    <m/>
    <x v="1"/>
    <x v="3"/>
    <x v="0"/>
    <x v="2"/>
    <x v="2"/>
  </r>
  <r>
    <s v="Singapore"/>
    <x v="1"/>
    <s v="SG4"/>
    <m/>
    <x v="3"/>
    <x v="4"/>
    <x v="0"/>
    <x v="0"/>
    <x v="0"/>
    <x v="0"/>
    <x v="0"/>
    <m/>
    <x v="0"/>
    <x v="0"/>
    <n v="-1.9629540000000001"/>
    <m/>
    <x v="3"/>
    <x v="0"/>
    <x v="0"/>
    <x v="5"/>
    <x v="1"/>
  </r>
  <r>
    <s v="Singapore"/>
    <x v="0"/>
    <s v="SG2"/>
    <m/>
    <x v="0"/>
    <x v="1"/>
    <x v="1"/>
    <x v="0"/>
    <x v="0"/>
    <x v="0"/>
    <x v="0"/>
    <m/>
    <x v="0"/>
    <x v="0"/>
    <n v="0.66846373199999998"/>
    <m/>
    <x v="8"/>
    <x v="3"/>
    <x v="0"/>
    <x v="2"/>
    <x v="1"/>
  </r>
  <r>
    <s v="Singapore"/>
    <x v="0"/>
    <s v="SG4"/>
    <m/>
    <x v="0"/>
    <x v="0"/>
    <x v="2"/>
    <x v="3"/>
    <x v="0"/>
    <x v="0"/>
    <x v="0"/>
    <m/>
    <x v="0"/>
    <x v="0"/>
    <n v="-0.280422"/>
    <m/>
    <x v="0"/>
    <x v="2"/>
    <x v="0"/>
    <x v="4"/>
    <x v="2"/>
  </r>
  <r>
    <s v="Singapore"/>
    <x v="0"/>
    <s v="SG1"/>
    <m/>
    <x v="3"/>
    <x v="3"/>
    <x v="1"/>
    <x v="4"/>
    <x v="0"/>
    <x v="0"/>
    <x v="0"/>
    <m/>
    <x v="0"/>
    <x v="0"/>
    <n v="-10.9053"/>
    <m/>
    <x v="8"/>
    <x v="1"/>
    <x v="0"/>
    <x v="5"/>
    <x v="0"/>
  </r>
  <r>
    <s v="Singapore"/>
    <x v="3"/>
    <s v="SG2"/>
    <m/>
    <x v="4"/>
    <x v="4"/>
    <x v="2"/>
    <x v="5"/>
    <x v="0"/>
    <x v="0"/>
    <x v="0"/>
    <m/>
    <x v="0"/>
    <x v="0"/>
    <n v="0.77895000000000003"/>
    <m/>
    <x v="4"/>
    <x v="0"/>
    <x v="0"/>
    <x v="3"/>
    <x v="0"/>
  </r>
  <r>
    <s v="Singapore"/>
    <x v="1"/>
    <s v="SG3"/>
    <m/>
    <x v="0"/>
    <x v="4"/>
    <x v="0"/>
    <x v="4"/>
    <x v="0"/>
    <x v="0"/>
    <x v="0"/>
    <m/>
    <x v="0"/>
    <x v="0"/>
    <n v="0.77895000000000003"/>
    <m/>
    <x v="4"/>
    <x v="0"/>
    <x v="0"/>
    <x v="4"/>
    <x v="2"/>
  </r>
  <r>
    <s v="Singapore"/>
    <x v="1"/>
    <s v="SG2"/>
    <m/>
    <x v="2"/>
    <x v="1"/>
    <x v="1"/>
    <x v="0"/>
    <x v="0"/>
    <x v="0"/>
    <x v="0"/>
    <m/>
    <x v="0"/>
    <x v="0"/>
    <n v="-0.37389600000000001"/>
    <m/>
    <x v="0"/>
    <x v="0"/>
    <x v="0"/>
    <x v="3"/>
    <x v="2"/>
  </r>
  <r>
    <s v="Singapore"/>
    <x v="4"/>
    <s v="SG3"/>
    <m/>
    <x v="5"/>
    <x v="2"/>
    <x v="1"/>
    <x v="1"/>
    <x v="0"/>
    <x v="0"/>
    <x v="0"/>
    <m/>
    <x v="0"/>
    <x v="0"/>
    <n v="-2.8821150000000002"/>
    <m/>
    <x v="4"/>
    <x v="2"/>
    <x v="0"/>
    <x v="3"/>
    <x v="2"/>
  </r>
  <r>
    <s v="Singapore"/>
    <x v="0"/>
    <s v="SG1"/>
    <m/>
    <x v="0"/>
    <x v="3"/>
    <x v="3"/>
    <x v="5"/>
    <x v="0"/>
    <x v="0"/>
    <x v="0"/>
    <m/>
    <x v="0"/>
    <x v="0"/>
    <n v="2.7263250000000001"/>
    <m/>
    <x v="1"/>
    <x v="2"/>
    <x v="0"/>
    <x v="2"/>
    <x v="1"/>
  </r>
  <r>
    <s v="Singapore"/>
    <x v="5"/>
    <s v="SG4"/>
    <m/>
    <x v="2"/>
    <x v="0"/>
    <x v="0"/>
    <x v="1"/>
    <x v="0"/>
    <x v="0"/>
    <x v="0"/>
    <m/>
    <x v="0"/>
    <x v="0"/>
    <n v="-9.3474000000000002E-2"/>
    <m/>
    <x v="0"/>
    <x v="0"/>
    <x v="0"/>
    <x v="3"/>
    <x v="0"/>
  </r>
  <r>
    <s v="Singapore"/>
    <x v="1"/>
    <s v="SG2"/>
    <m/>
    <x v="3"/>
    <x v="2"/>
    <x v="4"/>
    <x v="5"/>
    <x v="0"/>
    <x v="0"/>
    <x v="0"/>
    <m/>
    <x v="0"/>
    <x v="0"/>
    <n v="0.15579000000000001"/>
    <m/>
    <x v="1"/>
    <x v="3"/>
    <x v="0"/>
    <x v="2"/>
    <x v="0"/>
  </r>
  <r>
    <s v="Singapore"/>
    <x v="1"/>
    <s v="SG2"/>
    <m/>
    <x v="4"/>
    <x v="0"/>
    <x v="2"/>
    <x v="4"/>
    <x v="0"/>
    <x v="0"/>
    <x v="0"/>
    <m/>
    <x v="0"/>
    <x v="0"/>
    <n v="0.77895000000000003"/>
    <m/>
    <x v="4"/>
    <x v="1"/>
    <x v="0"/>
    <x v="0"/>
    <x v="1"/>
  </r>
  <r>
    <s v="Singapore"/>
    <x v="5"/>
    <s v="SG4"/>
    <m/>
    <x v="2"/>
    <x v="0"/>
    <x v="2"/>
    <x v="4"/>
    <x v="0"/>
    <x v="0"/>
    <x v="0"/>
    <m/>
    <x v="0"/>
    <x v="0"/>
    <n v="0.34273800000000004"/>
    <m/>
    <x v="8"/>
    <x v="2"/>
    <x v="0"/>
    <x v="0"/>
    <x v="1"/>
  </r>
  <r>
    <s v="Singapore"/>
    <x v="5"/>
    <s v="SG1"/>
    <m/>
    <x v="1"/>
    <x v="3"/>
    <x v="4"/>
    <x v="5"/>
    <x v="0"/>
    <x v="0"/>
    <x v="0"/>
    <m/>
    <x v="0"/>
    <x v="0"/>
    <n v="-0.93474000000000002"/>
    <m/>
    <x v="4"/>
    <x v="2"/>
    <x v="0"/>
    <x v="1"/>
    <x v="2"/>
  </r>
  <r>
    <s v="Singapore"/>
    <x v="2"/>
    <s v="SG3"/>
    <m/>
    <x v="4"/>
    <x v="1"/>
    <x v="2"/>
    <x v="5"/>
    <x v="0"/>
    <x v="0"/>
    <x v="0"/>
    <m/>
    <x v="0"/>
    <x v="0"/>
    <n v="-0.1838322"/>
    <m/>
    <x v="4"/>
    <x v="0"/>
    <x v="0"/>
    <x v="5"/>
    <x v="0"/>
  </r>
  <r>
    <s v="Singapore"/>
    <x v="2"/>
    <s v="SG1"/>
    <m/>
    <x v="2"/>
    <x v="2"/>
    <x v="2"/>
    <x v="2"/>
    <x v="0"/>
    <x v="0"/>
    <x v="0"/>
    <m/>
    <x v="0"/>
    <x v="0"/>
    <n v="5.3965656000000006"/>
    <m/>
    <x v="1"/>
    <x v="2"/>
    <x v="0"/>
    <x v="0"/>
    <x v="0"/>
  </r>
  <r>
    <s v="Singapore"/>
    <x v="2"/>
    <s v="SG4"/>
    <m/>
    <x v="0"/>
    <x v="4"/>
    <x v="3"/>
    <x v="1"/>
    <x v="0"/>
    <x v="0"/>
    <x v="0"/>
    <m/>
    <x v="0"/>
    <x v="0"/>
    <n v="11.905970328"/>
    <m/>
    <x v="7"/>
    <x v="0"/>
    <x v="0"/>
    <x v="0"/>
    <x v="2"/>
  </r>
  <r>
    <s v="Singapore"/>
    <x v="1"/>
    <s v="SG3"/>
    <m/>
    <x v="2"/>
    <x v="4"/>
    <x v="3"/>
    <x v="0"/>
    <x v="0"/>
    <x v="0"/>
    <x v="0"/>
    <m/>
    <x v="0"/>
    <x v="0"/>
    <n v="-0.12463200000000001"/>
    <m/>
    <x v="0"/>
    <x v="2"/>
    <x v="0"/>
    <x v="3"/>
    <x v="0"/>
  </r>
  <r>
    <s v="Singapore"/>
    <x v="0"/>
    <s v="SG4"/>
    <m/>
    <x v="4"/>
    <x v="1"/>
    <x v="4"/>
    <x v="0"/>
    <x v="0"/>
    <x v="0"/>
    <x v="0"/>
    <m/>
    <x v="0"/>
    <x v="0"/>
    <n v="-0.233685"/>
    <m/>
    <x v="0"/>
    <x v="0"/>
    <x v="0"/>
    <x v="4"/>
    <x v="1"/>
  </r>
  <r>
    <s v="Singapore"/>
    <x v="1"/>
    <s v="SG4"/>
    <m/>
    <x v="4"/>
    <x v="2"/>
    <x v="1"/>
    <x v="2"/>
    <x v="0"/>
    <x v="0"/>
    <x v="0"/>
    <m/>
    <x v="0"/>
    <x v="0"/>
    <n v="-4.6737000000000001E-2"/>
    <m/>
    <x v="0"/>
    <x v="3"/>
    <x v="0"/>
    <x v="3"/>
    <x v="0"/>
  </r>
  <r>
    <s v="Singapore"/>
    <x v="0"/>
    <s v="SG2"/>
    <m/>
    <x v="0"/>
    <x v="0"/>
    <x v="2"/>
    <x v="0"/>
    <x v="0"/>
    <x v="0"/>
    <x v="0"/>
    <m/>
    <x v="0"/>
    <x v="0"/>
    <n v="-4.6737000000000001E-2"/>
    <m/>
    <x v="0"/>
    <x v="3"/>
    <x v="0"/>
    <x v="0"/>
    <x v="0"/>
  </r>
  <r>
    <s v="Singapore"/>
    <x v="4"/>
    <s v="SG3"/>
    <m/>
    <x v="0"/>
    <x v="1"/>
    <x v="0"/>
    <x v="0"/>
    <x v="0"/>
    <x v="0"/>
    <x v="0"/>
    <m/>
    <x v="0"/>
    <x v="0"/>
    <n v="-0.20252700000000001"/>
    <m/>
    <x v="2"/>
    <x v="1"/>
    <x v="0"/>
    <x v="5"/>
    <x v="1"/>
  </r>
  <r>
    <s v="Singapore"/>
    <x v="5"/>
    <s v="SG2"/>
    <m/>
    <x v="2"/>
    <x v="0"/>
    <x v="1"/>
    <x v="5"/>
    <x v="0"/>
    <x v="0"/>
    <x v="0"/>
    <m/>
    <x v="0"/>
    <x v="0"/>
    <n v="-0.17136900000000002"/>
    <m/>
    <x v="4"/>
    <x v="2"/>
    <x v="0"/>
    <x v="3"/>
    <x v="1"/>
  </r>
  <r>
    <s v="Singapore"/>
    <x v="2"/>
    <s v="SG2"/>
    <m/>
    <x v="3"/>
    <x v="3"/>
    <x v="4"/>
    <x v="5"/>
    <x v="0"/>
    <x v="0"/>
    <x v="0"/>
    <m/>
    <x v="0"/>
    <x v="0"/>
    <n v="-0.24926400000000001"/>
    <m/>
    <x v="4"/>
    <x v="2"/>
    <x v="0"/>
    <x v="0"/>
    <x v="0"/>
  </r>
  <r>
    <s v="Singapore"/>
    <x v="5"/>
    <s v="SG1"/>
    <m/>
    <x v="1"/>
    <x v="3"/>
    <x v="2"/>
    <x v="3"/>
    <x v="0"/>
    <x v="0"/>
    <x v="0"/>
    <m/>
    <x v="0"/>
    <x v="0"/>
    <n v="-4.6737000000000001E-2"/>
    <m/>
    <x v="0"/>
    <x v="3"/>
    <x v="0"/>
    <x v="1"/>
    <x v="1"/>
  </r>
  <r>
    <s v="Singapore"/>
    <x v="3"/>
    <s v="SG3"/>
    <m/>
    <x v="3"/>
    <x v="2"/>
    <x v="2"/>
    <x v="1"/>
    <x v="0"/>
    <x v="0"/>
    <x v="0"/>
    <m/>
    <x v="0"/>
    <x v="0"/>
    <n v="-2.8042199999999999"/>
    <m/>
    <x v="4"/>
    <x v="3"/>
    <x v="0"/>
    <x v="5"/>
    <x v="0"/>
  </r>
  <r>
    <s v="Singapore"/>
    <x v="3"/>
    <s v="SG4"/>
    <m/>
    <x v="5"/>
    <x v="2"/>
    <x v="0"/>
    <x v="0"/>
    <x v="0"/>
    <x v="0"/>
    <x v="0"/>
    <m/>
    <x v="0"/>
    <x v="0"/>
    <n v="-7.0105500000000001E-2"/>
    <m/>
    <x v="4"/>
    <x v="2"/>
    <x v="0"/>
    <x v="2"/>
    <x v="1"/>
  </r>
  <r>
    <s v="Singapore"/>
    <x v="1"/>
    <s v="SG4"/>
    <m/>
    <x v="5"/>
    <x v="0"/>
    <x v="2"/>
    <x v="1"/>
    <x v="0"/>
    <x v="0"/>
    <x v="0"/>
    <m/>
    <x v="0"/>
    <x v="0"/>
    <n v="12.091080006"/>
    <m/>
    <x v="7"/>
    <x v="1"/>
    <x v="0"/>
    <x v="2"/>
    <x v="0"/>
  </r>
  <r>
    <s v="Singapore"/>
    <x v="0"/>
    <s v="SG2"/>
    <m/>
    <x v="3"/>
    <x v="3"/>
    <x v="2"/>
    <x v="2"/>
    <x v="0"/>
    <x v="0"/>
    <x v="0"/>
    <m/>
    <x v="0"/>
    <x v="0"/>
    <n v="175.31048700000002"/>
    <m/>
    <x v="5"/>
    <x v="0"/>
    <x v="0"/>
    <x v="5"/>
    <x v="2"/>
  </r>
  <r>
    <s v="Singapore"/>
    <x v="1"/>
    <s v="SG1"/>
    <m/>
    <x v="0"/>
    <x v="0"/>
    <x v="0"/>
    <x v="1"/>
    <x v="0"/>
    <x v="0"/>
    <x v="0"/>
    <m/>
    <x v="0"/>
    <x v="0"/>
    <n v="0.77895000000000003"/>
    <m/>
    <x v="4"/>
    <x v="3"/>
    <x v="0"/>
    <x v="0"/>
    <x v="0"/>
  </r>
  <r>
    <s v="Singapore"/>
    <x v="0"/>
    <s v="SG3"/>
    <m/>
    <x v="4"/>
    <x v="3"/>
    <x v="1"/>
    <x v="5"/>
    <x v="0"/>
    <x v="0"/>
    <x v="0"/>
    <m/>
    <x v="0"/>
    <x v="0"/>
    <n v="5.3279245260000003"/>
    <m/>
    <x v="7"/>
    <x v="2"/>
    <x v="0"/>
    <x v="5"/>
    <x v="0"/>
  </r>
  <r>
    <s v="Singapore"/>
    <x v="2"/>
    <s v="SG2"/>
    <m/>
    <x v="2"/>
    <x v="4"/>
    <x v="4"/>
    <x v="2"/>
    <x v="0"/>
    <x v="0"/>
    <x v="0"/>
    <m/>
    <x v="0"/>
    <x v="0"/>
    <n v="0.264843"/>
    <m/>
    <x v="1"/>
    <x v="3"/>
    <x v="0"/>
    <x v="0"/>
    <x v="2"/>
  </r>
  <r>
    <s v="Singapore"/>
    <x v="3"/>
    <s v="SG3"/>
    <m/>
    <x v="0"/>
    <x v="3"/>
    <x v="1"/>
    <x v="5"/>
    <x v="0"/>
    <x v="0"/>
    <x v="0"/>
    <m/>
    <x v="0"/>
    <x v="0"/>
    <n v="0.70105499999999998"/>
    <m/>
    <x v="1"/>
    <x v="1"/>
    <x v="0"/>
    <x v="3"/>
    <x v="0"/>
  </r>
  <r>
    <s v="Singapore"/>
    <x v="2"/>
    <s v="SG1"/>
    <m/>
    <x v="3"/>
    <x v="3"/>
    <x v="1"/>
    <x v="3"/>
    <x v="0"/>
    <x v="0"/>
    <x v="0"/>
    <m/>
    <x v="0"/>
    <x v="0"/>
    <n v="-0.42063300000000003"/>
    <m/>
    <x v="4"/>
    <x v="1"/>
    <x v="0"/>
    <x v="3"/>
    <x v="1"/>
  </r>
  <r>
    <s v="Singapore"/>
    <x v="5"/>
    <s v="SG2"/>
    <m/>
    <x v="1"/>
    <x v="3"/>
    <x v="3"/>
    <x v="3"/>
    <x v="0"/>
    <x v="0"/>
    <x v="0"/>
    <m/>
    <x v="0"/>
    <x v="0"/>
    <n v="-2.775180744"/>
    <m/>
    <x v="4"/>
    <x v="2"/>
    <x v="0"/>
    <x v="4"/>
    <x v="2"/>
  </r>
  <r>
    <s v="Singapore"/>
    <x v="2"/>
    <s v="SG3"/>
    <m/>
    <x v="5"/>
    <x v="0"/>
    <x v="2"/>
    <x v="2"/>
    <x v="0"/>
    <x v="0"/>
    <x v="0"/>
    <m/>
    <x v="0"/>
    <x v="0"/>
    <n v="-0.186948"/>
    <m/>
    <x v="6"/>
    <x v="3"/>
    <x v="0"/>
    <x v="4"/>
    <x v="1"/>
  </r>
  <r>
    <s v="Singapore"/>
    <x v="5"/>
    <s v="SG3"/>
    <m/>
    <x v="4"/>
    <x v="4"/>
    <x v="2"/>
    <x v="3"/>
    <x v="0"/>
    <x v="0"/>
    <x v="0"/>
    <m/>
    <x v="0"/>
    <x v="0"/>
    <n v="-4.6737000000000001E-2"/>
    <m/>
    <x v="0"/>
    <x v="2"/>
    <x v="0"/>
    <x v="3"/>
    <x v="2"/>
  </r>
  <r>
    <s v="Singapore"/>
    <x v="1"/>
    <s v="SG2"/>
    <m/>
    <x v="0"/>
    <x v="4"/>
    <x v="1"/>
    <x v="4"/>
    <x v="0"/>
    <x v="0"/>
    <x v="0"/>
    <m/>
    <x v="0"/>
    <x v="0"/>
    <n v="-0.233685"/>
    <m/>
    <x v="1"/>
    <x v="0"/>
    <x v="0"/>
    <x v="5"/>
    <x v="2"/>
  </r>
  <r>
    <s v="Singapore"/>
    <x v="3"/>
    <s v="SG4"/>
    <m/>
    <x v="5"/>
    <x v="4"/>
    <x v="0"/>
    <x v="2"/>
    <x v="0"/>
    <x v="0"/>
    <x v="0"/>
    <m/>
    <x v="0"/>
    <x v="0"/>
    <n v="-6.0758100000000002E-2"/>
    <m/>
    <x v="2"/>
    <x v="2"/>
    <x v="0"/>
    <x v="0"/>
    <x v="2"/>
  </r>
  <r>
    <s v="Singapore"/>
    <x v="3"/>
    <s v="SG4"/>
    <m/>
    <x v="3"/>
    <x v="1"/>
    <x v="3"/>
    <x v="0"/>
    <x v="0"/>
    <x v="0"/>
    <x v="0"/>
    <m/>
    <x v="0"/>
    <x v="0"/>
    <n v="-0.15579000000000001"/>
    <m/>
    <x v="0"/>
    <x v="2"/>
    <x v="0"/>
    <x v="2"/>
    <x v="0"/>
  </r>
  <r>
    <s v="Singapore"/>
    <x v="0"/>
    <s v="SG3"/>
    <m/>
    <x v="0"/>
    <x v="2"/>
    <x v="1"/>
    <x v="2"/>
    <x v="0"/>
    <x v="0"/>
    <x v="0"/>
    <m/>
    <x v="0"/>
    <x v="0"/>
    <n v="12.425810400000001"/>
    <m/>
    <x v="4"/>
    <x v="0"/>
    <x v="0"/>
    <x v="4"/>
    <x v="2"/>
  </r>
  <r>
    <s v="Singapore"/>
    <x v="5"/>
    <s v="SG3"/>
    <m/>
    <x v="1"/>
    <x v="1"/>
    <x v="2"/>
    <x v="5"/>
    <x v="0"/>
    <x v="0"/>
    <x v="0"/>
    <m/>
    <x v="0"/>
    <x v="0"/>
    <n v="-6.2316000000000003E-2"/>
    <m/>
    <x v="0"/>
    <x v="1"/>
    <x v="0"/>
    <x v="1"/>
    <x v="1"/>
  </r>
  <r>
    <s v="Singapore"/>
    <x v="0"/>
    <s v="SG3"/>
    <m/>
    <x v="0"/>
    <x v="2"/>
    <x v="2"/>
    <x v="1"/>
    <x v="0"/>
    <x v="0"/>
    <x v="0"/>
    <m/>
    <x v="0"/>
    <x v="0"/>
    <n v="-0.15579000000000001"/>
    <m/>
    <x v="0"/>
    <x v="0"/>
    <x v="0"/>
    <x v="4"/>
    <x v="0"/>
  </r>
  <r>
    <s v="Singapore"/>
    <x v="4"/>
    <s v="SG4"/>
    <m/>
    <x v="3"/>
    <x v="1"/>
    <x v="2"/>
    <x v="4"/>
    <x v="0"/>
    <x v="0"/>
    <x v="0"/>
    <m/>
    <x v="0"/>
    <x v="0"/>
    <n v="-2.0252700000000002E-2"/>
    <m/>
    <x v="2"/>
    <x v="0"/>
    <x v="0"/>
    <x v="2"/>
    <x v="2"/>
  </r>
  <r>
    <s v="Singapore"/>
    <x v="5"/>
    <s v="SG2"/>
    <m/>
    <x v="0"/>
    <x v="3"/>
    <x v="0"/>
    <x v="1"/>
    <x v="0"/>
    <x v="0"/>
    <x v="0"/>
    <m/>
    <x v="0"/>
    <x v="0"/>
    <n v="0.75329138699999998"/>
    <m/>
    <x v="3"/>
    <x v="2"/>
    <x v="0"/>
    <x v="1"/>
    <x v="1"/>
  </r>
  <r>
    <s v="Singapore"/>
    <x v="1"/>
    <s v="SG2"/>
    <m/>
    <x v="5"/>
    <x v="2"/>
    <x v="0"/>
    <x v="5"/>
    <x v="0"/>
    <x v="0"/>
    <x v="0"/>
    <m/>
    <x v="0"/>
    <x v="0"/>
    <n v="-0.1838322"/>
    <m/>
    <x v="4"/>
    <x v="1"/>
    <x v="0"/>
    <x v="3"/>
    <x v="1"/>
  </r>
  <r>
    <s v="Singapore"/>
    <x v="5"/>
    <s v="SG1"/>
    <m/>
    <x v="1"/>
    <x v="1"/>
    <x v="3"/>
    <x v="4"/>
    <x v="0"/>
    <x v="0"/>
    <x v="0"/>
    <m/>
    <x v="0"/>
    <x v="0"/>
    <n v="-9.3474000000000002E-2"/>
    <m/>
    <x v="6"/>
    <x v="0"/>
    <x v="0"/>
    <x v="4"/>
    <x v="2"/>
  </r>
  <r>
    <s v="Singapore"/>
    <x v="5"/>
    <s v="SG3"/>
    <m/>
    <x v="5"/>
    <x v="4"/>
    <x v="4"/>
    <x v="0"/>
    <x v="0"/>
    <x v="0"/>
    <x v="0"/>
    <m/>
    <x v="0"/>
    <x v="0"/>
    <n v="-0.75726403200000003"/>
    <m/>
    <x v="0"/>
    <x v="1"/>
    <x v="0"/>
    <x v="5"/>
    <x v="0"/>
  </r>
  <r>
    <s v="Singapore"/>
    <x v="4"/>
    <s v="SG4"/>
    <m/>
    <x v="3"/>
    <x v="1"/>
    <x v="1"/>
    <x v="3"/>
    <x v="0"/>
    <x v="0"/>
    <x v="0"/>
    <m/>
    <x v="0"/>
    <x v="0"/>
    <n v="-3.5052750000000001"/>
    <m/>
    <x v="1"/>
    <x v="2"/>
    <x v="0"/>
    <x v="3"/>
    <x v="2"/>
  </r>
  <r>
    <s v="Singapore"/>
    <x v="1"/>
    <s v="SG1"/>
    <m/>
    <x v="4"/>
    <x v="0"/>
    <x v="0"/>
    <x v="4"/>
    <x v="0"/>
    <x v="0"/>
    <x v="0"/>
    <m/>
    <x v="0"/>
    <x v="0"/>
    <n v="-1.5579000000000001E-2"/>
    <m/>
    <x v="0"/>
    <x v="1"/>
    <x v="0"/>
    <x v="5"/>
    <x v="0"/>
  </r>
  <r>
    <s v="Singapore"/>
    <x v="5"/>
    <s v="SG4"/>
    <m/>
    <x v="3"/>
    <x v="2"/>
    <x v="2"/>
    <x v="0"/>
    <x v="0"/>
    <x v="0"/>
    <x v="0"/>
    <m/>
    <x v="0"/>
    <x v="0"/>
    <n v="-3.7389600000000002E-2"/>
    <m/>
    <x v="0"/>
    <x v="3"/>
    <x v="0"/>
    <x v="1"/>
    <x v="2"/>
  </r>
  <r>
    <s v="Singapore"/>
    <x v="4"/>
    <s v="SG1"/>
    <m/>
    <x v="3"/>
    <x v="4"/>
    <x v="1"/>
    <x v="4"/>
    <x v="0"/>
    <x v="0"/>
    <x v="0"/>
    <m/>
    <x v="0"/>
    <x v="0"/>
    <n v="-2.0252700000000002E-2"/>
    <m/>
    <x v="2"/>
    <x v="1"/>
    <x v="0"/>
    <x v="4"/>
    <x v="1"/>
  </r>
  <r>
    <s v="Singapore"/>
    <x v="3"/>
    <s v="SG1"/>
    <m/>
    <x v="3"/>
    <x v="4"/>
    <x v="0"/>
    <x v="5"/>
    <x v="0"/>
    <x v="0"/>
    <x v="0"/>
    <m/>
    <x v="0"/>
    <x v="0"/>
    <n v="4.6737000000000001E-2"/>
    <m/>
    <x v="0"/>
    <x v="2"/>
    <x v="0"/>
    <x v="1"/>
    <x v="1"/>
  </r>
  <r>
    <s v="Singapore"/>
    <x v="5"/>
    <s v="SG2"/>
    <m/>
    <x v="3"/>
    <x v="0"/>
    <x v="0"/>
    <x v="5"/>
    <x v="0"/>
    <x v="0"/>
    <x v="0"/>
    <m/>
    <x v="0"/>
    <x v="0"/>
    <n v="-0.15579000000000001"/>
    <m/>
    <x v="0"/>
    <x v="0"/>
    <x v="0"/>
    <x v="0"/>
    <x v="1"/>
  </r>
  <r>
    <s v="Singapore"/>
    <x v="2"/>
    <s v="SG3"/>
    <m/>
    <x v="3"/>
    <x v="4"/>
    <x v="3"/>
    <x v="3"/>
    <x v="0"/>
    <x v="0"/>
    <x v="0"/>
    <m/>
    <x v="0"/>
    <x v="0"/>
    <n v="-7.7895000000000004E-3"/>
    <m/>
    <x v="0"/>
    <x v="3"/>
    <x v="0"/>
    <x v="1"/>
    <x v="2"/>
  </r>
  <r>
    <s v="Singapore"/>
    <x v="1"/>
    <s v="SG1"/>
    <m/>
    <x v="4"/>
    <x v="3"/>
    <x v="3"/>
    <x v="3"/>
    <x v="0"/>
    <x v="0"/>
    <x v="0"/>
    <m/>
    <x v="0"/>
    <x v="0"/>
    <n v="-0.88082108100000001"/>
    <m/>
    <x v="3"/>
    <x v="3"/>
    <x v="0"/>
    <x v="0"/>
    <x v="2"/>
  </r>
  <r>
    <s v="Singapore"/>
    <x v="2"/>
    <s v="SG4"/>
    <m/>
    <x v="2"/>
    <x v="4"/>
    <x v="4"/>
    <x v="4"/>
    <x v="0"/>
    <x v="0"/>
    <x v="0"/>
    <m/>
    <x v="0"/>
    <x v="0"/>
    <n v="0.21031650000000002"/>
    <m/>
    <x v="1"/>
    <x v="3"/>
    <x v="0"/>
    <x v="0"/>
    <x v="1"/>
  </r>
  <r>
    <s v="Singapore"/>
    <x v="5"/>
    <s v="SG2"/>
    <m/>
    <x v="2"/>
    <x v="3"/>
    <x v="1"/>
    <x v="3"/>
    <x v="0"/>
    <x v="0"/>
    <x v="0"/>
    <m/>
    <x v="0"/>
    <x v="0"/>
    <n v="-0.37389600000000001"/>
    <m/>
    <x v="6"/>
    <x v="1"/>
    <x v="0"/>
    <x v="5"/>
    <x v="2"/>
  </r>
  <r>
    <s v="Singapore"/>
    <x v="5"/>
    <s v="SG3"/>
    <m/>
    <x v="4"/>
    <x v="3"/>
    <x v="3"/>
    <x v="1"/>
    <x v="0"/>
    <x v="0"/>
    <x v="0"/>
    <m/>
    <x v="0"/>
    <x v="0"/>
    <n v="-0.44400150000000005"/>
    <m/>
    <x v="4"/>
    <x v="3"/>
    <x v="0"/>
    <x v="4"/>
    <x v="0"/>
  </r>
  <r>
    <s v="Singapore"/>
    <x v="0"/>
    <s v="SG3"/>
    <m/>
    <x v="3"/>
    <x v="1"/>
    <x v="2"/>
    <x v="5"/>
    <x v="0"/>
    <x v="0"/>
    <x v="0"/>
    <m/>
    <x v="0"/>
    <x v="0"/>
    <n v="-51.365396267999998"/>
    <m/>
    <x v="1"/>
    <x v="2"/>
    <x v="0"/>
    <x v="1"/>
    <x v="2"/>
  </r>
  <r>
    <s v="Singapore"/>
    <x v="0"/>
    <s v="SG4"/>
    <m/>
    <x v="3"/>
    <x v="3"/>
    <x v="0"/>
    <x v="4"/>
    <x v="0"/>
    <x v="0"/>
    <x v="0"/>
    <m/>
    <x v="0"/>
    <x v="0"/>
    <n v="-1.2215182320000002"/>
    <m/>
    <x v="6"/>
    <x v="0"/>
    <x v="0"/>
    <x v="3"/>
    <x v="2"/>
  </r>
  <r>
    <s v="Singapore"/>
    <x v="2"/>
    <s v="SG2"/>
    <m/>
    <x v="5"/>
    <x v="3"/>
    <x v="3"/>
    <x v="4"/>
    <x v="0"/>
    <x v="0"/>
    <x v="0"/>
    <m/>
    <x v="0"/>
    <x v="0"/>
    <n v="1.137267"/>
    <m/>
    <x v="1"/>
    <x v="1"/>
    <x v="0"/>
    <x v="2"/>
    <x v="1"/>
  </r>
  <r>
    <s v="Singapore"/>
    <x v="1"/>
    <s v="SG1"/>
    <m/>
    <x v="1"/>
    <x v="0"/>
    <x v="2"/>
    <x v="2"/>
    <x v="0"/>
    <x v="0"/>
    <x v="0"/>
    <m/>
    <x v="0"/>
    <x v="0"/>
    <n v="-0.12463200000000001"/>
    <m/>
    <x v="0"/>
    <x v="1"/>
    <x v="0"/>
    <x v="2"/>
    <x v="0"/>
  </r>
  <r>
    <s v="Singapore"/>
    <x v="0"/>
    <s v="SG1"/>
    <m/>
    <x v="4"/>
    <x v="0"/>
    <x v="1"/>
    <x v="1"/>
    <x v="0"/>
    <x v="0"/>
    <x v="0"/>
    <m/>
    <x v="0"/>
    <x v="0"/>
    <n v="-0.24926400000000001"/>
    <m/>
    <x v="0"/>
    <x v="2"/>
    <x v="0"/>
    <x v="4"/>
    <x v="1"/>
  </r>
  <r>
    <s v="Singapore"/>
    <x v="2"/>
    <s v="SG2"/>
    <m/>
    <x v="5"/>
    <x v="2"/>
    <x v="4"/>
    <x v="3"/>
    <x v="0"/>
    <x v="0"/>
    <x v="0"/>
    <m/>
    <x v="0"/>
    <x v="0"/>
    <n v="51.057461754000009"/>
    <m/>
    <x v="7"/>
    <x v="3"/>
    <x v="0"/>
    <x v="1"/>
    <x v="2"/>
  </r>
  <r>
    <s v="Singapore"/>
    <x v="3"/>
    <s v="SG4"/>
    <m/>
    <x v="5"/>
    <x v="3"/>
    <x v="3"/>
    <x v="4"/>
    <x v="0"/>
    <x v="0"/>
    <x v="0"/>
    <m/>
    <x v="0"/>
    <x v="0"/>
    <n v="0.280141578"/>
    <m/>
    <x v="0"/>
    <x v="2"/>
    <x v="0"/>
    <x v="0"/>
    <x v="0"/>
  </r>
  <r>
    <s v="Singapore"/>
    <x v="1"/>
    <s v="SG4"/>
    <m/>
    <x v="4"/>
    <x v="4"/>
    <x v="0"/>
    <x v="5"/>
    <x v="0"/>
    <x v="0"/>
    <x v="0"/>
    <m/>
    <x v="0"/>
    <x v="0"/>
    <n v="1.5069566700000001"/>
    <m/>
    <x v="1"/>
    <x v="3"/>
    <x v="0"/>
    <x v="3"/>
    <x v="2"/>
  </r>
  <r>
    <s v="Singapore"/>
    <x v="5"/>
    <s v="SG4"/>
    <m/>
    <x v="5"/>
    <x v="4"/>
    <x v="0"/>
    <x v="5"/>
    <x v="0"/>
    <x v="0"/>
    <x v="0"/>
    <m/>
    <x v="0"/>
    <x v="0"/>
    <n v="7.0105500000000001E-2"/>
    <m/>
    <x v="1"/>
    <x v="1"/>
    <x v="0"/>
    <x v="3"/>
    <x v="0"/>
  </r>
  <r>
    <s v="Singapore"/>
    <x v="0"/>
    <s v="SG2"/>
    <m/>
    <x v="2"/>
    <x v="0"/>
    <x v="3"/>
    <x v="5"/>
    <x v="0"/>
    <x v="0"/>
    <x v="0"/>
    <m/>
    <x v="0"/>
    <x v="0"/>
    <n v="-1.8710379000000001"/>
    <m/>
    <x v="4"/>
    <x v="0"/>
    <x v="0"/>
    <x v="0"/>
    <x v="2"/>
  </r>
  <r>
    <s v="Singapore"/>
    <x v="5"/>
    <s v="SG2"/>
    <m/>
    <x v="2"/>
    <x v="3"/>
    <x v="0"/>
    <x v="5"/>
    <x v="0"/>
    <x v="0"/>
    <x v="0"/>
    <m/>
    <x v="0"/>
    <x v="0"/>
    <n v="0.903582"/>
    <m/>
    <x v="1"/>
    <x v="2"/>
    <x v="0"/>
    <x v="1"/>
    <x v="2"/>
  </r>
  <r>
    <s v="Singapore"/>
    <x v="1"/>
    <s v="SG2"/>
    <m/>
    <x v="4"/>
    <x v="4"/>
    <x v="0"/>
    <x v="2"/>
    <x v="0"/>
    <x v="0"/>
    <x v="0"/>
    <m/>
    <x v="0"/>
    <x v="0"/>
    <n v="-0.21810600000000002"/>
    <m/>
    <x v="4"/>
    <x v="0"/>
    <x v="0"/>
    <x v="0"/>
    <x v="1"/>
  </r>
  <r>
    <s v="Singapore"/>
    <x v="2"/>
    <s v="SG3"/>
    <m/>
    <x v="4"/>
    <x v="0"/>
    <x v="4"/>
    <x v="0"/>
    <x v="0"/>
    <x v="0"/>
    <x v="0"/>
    <m/>
    <x v="0"/>
    <x v="0"/>
    <n v="-0.15579000000000001"/>
    <m/>
    <x v="0"/>
    <x v="1"/>
    <x v="0"/>
    <x v="4"/>
    <x v="1"/>
  </r>
  <r>
    <s v="Singapore"/>
    <x v="2"/>
    <s v="SG1"/>
    <m/>
    <x v="4"/>
    <x v="1"/>
    <x v="2"/>
    <x v="1"/>
    <x v="0"/>
    <x v="0"/>
    <x v="0"/>
    <m/>
    <x v="0"/>
    <x v="0"/>
    <n v="-0.12463200000000001"/>
    <m/>
    <x v="4"/>
    <x v="0"/>
    <x v="0"/>
    <x v="1"/>
    <x v="0"/>
  </r>
  <r>
    <s v="Singapore"/>
    <x v="2"/>
    <s v="SG1"/>
    <m/>
    <x v="4"/>
    <x v="4"/>
    <x v="3"/>
    <x v="4"/>
    <x v="0"/>
    <x v="0"/>
    <x v="0"/>
    <m/>
    <x v="0"/>
    <x v="0"/>
    <n v="-0.1838322"/>
    <m/>
    <x v="4"/>
    <x v="0"/>
    <x v="0"/>
    <x v="5"/>
    <x v="1"/>
  </r>
  <r>
    <s v="Singapore"/>
    <x v="1"/>
    <s v="SG2"/>
    <m/>
    <x v="0"/>
    <x v="0"/>
    <x v="2"/>
    <x v="2"/>
    <x v="0"/>
    <x v="0"/>
    <x v="0"/>
    <m/>
    <x v="0"/>
    <x v="0"/>
    <n v="-6.2664969600000004"/>
    <m/>
    <x v="3"/>
    <x v="0"/>
    <x v="0"/>
    <x v="5"/>
    <x v="2"/>
  </r>
  <r>
    <s v="Singapore"/>
    <x v="1"/>
    <s v="SG2"/>
    <m/>
    <x v="0"/>
    <x v="4"/>
    <x v="0"/>
    <x v="1"/>
    <x v="0"/>
    <x v="0"/>
    <x v="0"/>
    <m/>
    <x v="0"/>
    <x v="0"/>
    <n v="-7.0105500000000001E-2"/>
    <m/>
    <x v="4"/>
    <x v="0"/>
    <x v="0"/>
    <x v="1"/>
    <x v="1"/>
  </r>
  <r>
    <s v="Singapore"/>
    <x v="5"/>
    <s v="SG4"/>
    <m/>
    <x v="3"/>
    <x v="4"/>
    <x v="3"/>
    <x v="4"/>
    <x v="0"/>
    <x v="0"/>
    <x v="0"/>
    <m/>
    <x v="0"/>
    <x v="0"/>
    <n v="6.6210750000000006E-3"/>
    <m/>
    <x v="6"/>
    <x v="1"/>
    <x v="0"/>
    <x v="1"/>
    <x v="0"/>
  </r>
  <r>
    <s v="Singapore"/>
    <x v="5"/>
    <s v="SG1"/>
    <m/>
    <x v="2"/>
    <x v="0"/>
    <x v="0"/>
    <x v="5"/>
    <x v="0"/>
    <x v="0"/>
    <x v="0"/>
    <m/>
    <x v="0"/>
    <x v="0"/>
    <n v="-0.17136900000000002"/>
    <m/>
    <x v="8"/>
    <x v="1"/>
    <x v="0"/>
    <x v="0"/>
    <x v="2"/>
  </r>
  <r>
    <s v="Singapore"/>
    <x v="5"/>
    <s v="SG4"/>
    <m/>
    <x v="2"/>
    <x v="0"/>
    <x v="3"/>
    <x v="3"/>
    <x v="0"/>
    <x v="0"/>
    <x v="0"/>
    <m/>
    <x v="0"/>
    <x v="0"/>
    <n v="-0.38947500000000002"/>
    <m/>
    <x v="0"/>
    <x v="0"/>
    <x v="0"/>
    <x v="2"/>
    <x v="2"/>
  </r>
  <r>
    <s v="Singapore"/>
    <x v="5"/>
    <s v="SG3"/>
    <m/>
    <x v="1"/>
    <x v="4"/>
    <x v="2"/>
    <x v="3"/>
    <x v="0"/>
    <x v="0"/>
    <x v="0"/>
    <m/>
    <x v="0"/>
    <x v="0"/>
    <n v="-39.789295686000003"/>
    <m/>
    <x v="4"/>
    <x v="0"/>
    <x v="0"/>
    <x v="2"/>
    <x v="1"/>
  </r>
  <r>
    <s v="Singapore"/>
    <x v="0"/>
    <s v="SG2"/>
    <m/>
    <x v="3"/>
    <x v="4"/>
    <x v="0"/>
    <x v="4"/>
    <x v="0"/>
    <x v="0"/>
    <x v="0"/>
    <m/>
    <x v="0"/>
    <x v="0"/>
    <n v="-0.31158000000000002"/>
    <m/>
    <x v="4"/>
    <x v="3"/>
    <x v="0"/>
    <x v="1"/>
    <x v="0"/>
  </r>
  <r>
    <s v="Singapore"/>
    <x v="0"/>
    <s v="SG1"/>
    <m/>
    <x v="1"/>
    <x v="2"/>
    <x v="4"/>
    <x v="5"/>
    <x v="0"/>
    <x v="0"/>
    <x v="0"/>
    <m/>
    <x v="0"/>
    <x v="0"/>
    <n v="7.0105500000000001E-2"/>
    <m/>
    <x v="4"/>
    <x v="3"/>
    <x v="0"/>
    <x v="3"/>
    <x v="0"/>
  </r>
  <r>
    <s v="Singapore"/>
    <x v="1"/>
    <s v="SG2"/>
    <m/>
    <x v="5"/>
    <x v="4"/>
    <x v="1"/>
    <x v="4"/>
    <x v="0"/>
    <x v="0"/>
    <x v="0"/>
    <m/>
    <x v="0"/>
    <x v="0"/>
    <n v="-1.5579000000000001E-2"/>
    <m/>
    <x v="0"/>
    <x v="3"/>
    <x v="0"/>
    <x v="1"/>
    <x v="2"/>
  </r>
  <r>
    <s v="Singapore"/>
    <x v="1"/>
    <s v="SG1"/>
    <m/>
    <x v="3"/>
    <x v="2"/>
    <x v="2"/>
    <x v="0"/>
    <x v="0"/>
    <x v="0"/>
    <x v="0"/>
    <m/>
    <x v="0"/>
    <x v="0"/>
    <n v="-0.12463200000000001"/>
    <m/>
    <x v="4"/>
    <x v="3"/>
    <x v="0"/>
    <x v="1"/>
    <x v="2"/>
  </r>
  <r>
    <s v="Singapore"/>
    <x v="1"/>
    <s v="SG4"/>
    <m/>
    <x v="0"/>
    <x v="1"/>
    <x v="0"/>
    <x v="3"/>
    <x v="0"/>
    <x v="0"/>
    <x v="0"/>
    <m/>
    <x v="0"/>
    <x v="0"/>
    <n v="-0.9129294"/>
    <m/>
    <x v="1"/>
    <x v="2"/>
    <x v="0"/>
    <x v="3"/>
    <x v="2"/>
  </r>
  <r>
    <s v="Singapore"/>
    <x v="2"/>
    <s v="SG1"/>
    <m/>
    <x v="4"/>
    <x v="4"/>
    <x v="4"/>
    <x v="1"/>
    <x v="0"/>
    <x v="0"/>
    <x v="0"/>
    <m/>
    <x v="0"/>
    <x v="0"/>
    <n v="-1.429918515"/>
    <m/>
    <x v="0"/>
    <x v="0"/>
    <x v="0"/>
    <x v="0"/>
    <x v="2"/>
  </r>
  <r>
    <s v="Singapore"/>
    <x v="3"/>
    <s v="SG4"/>
    <m/>
    <x v="2"/>
    <x v="4"/>
    <x v="3"/>
    <x v="1"/>
    <x v="0"/>
    <x v="0"/>
    <x v="0"/>
    <m/>
    <x v="0"/>
    <x v="0"/>
    <n v="-0.15579000000000001"/>
    <m/>
    <x v="4"/>
    <x v="2"/>
    <x v="0"/>
    <x v="0"/>
    <x v="1"/>
  </r>
  <r>
    <s v="Singapore"/>
    <x v="2"/>
    <s v="SG1"/>
    <m/>
    <x v="0"/>
    <x v="4"/>
    <x v="3"/>
    <x v="3"/>
    <x v="0"/>
    <x v="0"/>
    <x v="0"/>
    <m/>
    <x v="0"/>
    <x v="0"/>
    <n v="14.373325611"/>
    <m/>
    <x v="1"/>
    <x v="3"/>
    <x v="0"/>
    <x v="2"/>
    <x v="0"/>
  </r>
  <r>
    <s v="Singapore"/>
    <x v="4"/>
    <s v="SG2"/>
    <m/>
    <x v="0"/>
    <x v="2"/>
    <x v="4"/>
    <x v="1"/>
    <x v="0"/>
    <x v="0"/>
    <x v="0"/>
    <m/>
    <x v="0"/>
    <x v="0"/>
    <n v="-0.15579000000000001"/>
    <m/>
    <x v="4"/>
    <x v="0"/>
    <x v="0"/>
    <x v="3"/>
    <x v="1"/>
  </r>
  <r>
    <s v="Singapore"/>
    <x v="5"/>
    <s v="SG2"/>
    <m/>
    <x v="1"/>
    <x v="3"/>
    <x v="1"/>
    <x v="2"/>
    <x v="0"/>
    <x v="0"/>
    <x v="0"/>
    <m/>
    <x v="0"/>
    <x v="0"/>
    <n v="-4.6737000000000001E-2"/>
    <m/>
    <x v="0"/>
    <x v="0"/>
    <x v="0"/>
    <x v="3"/>
    <x v="0"/>
  </r>
  <r>
    <s v="Singapore"/>
    <x v="2"/>
    <s v="SG4"/>
    <m/>
    <x v="3"/>
    <x v="0"/>
    <x v="3"/>
    <x v="1"/>
    <x v="0"/>
    <x v="0"/>
    <x v="0"/>
    <m/>
    <x v="0"/>
    <x v="0"/>
    <n v="0.29600100000000001"/>
    <m/>
    <x v="7"/>
    <x v="1"/>
    <x v="0"/>
    <x v="5"/>
    <x v="2"/>
  </r>
  <r>
    <s v="Singapore"/>
    <x v="4"/>
    <s v="SG2"/>
    <m/>
    <x v="1"/>
    <x v="1"/>
    <x v="2"/>
    <x v="3"/>
    <x v="0"/>
    <x v="0"/>
    <x v="0"/>
    <m/>
    <x v="0"/>
    <x v="0"/>
    <n v="-0.12463200000000001"/>
    <m/>
    <x v="0"/>
    <x v="2"/>
    <x v="0"/>
    <x v="2"/>
    <x v="0"/>
  </r>
  <r>
    <s v="Singapore"/>
    <x v="2"/>
    <s v="SG4"/>
    <m/>
    <x v="3"/>
    <x v="1"/>
    <x v="3"/>
    <x v="5"/>
    <x v="0"/>
    <x v="0"/>
    <x v="0"/>
    <m/>
    <x v="0"/>
    <x v="0"/>
    <n v="13.890547980000003"/>
    <m/>
    <x v="8"/>
    <x v="1"/>
    <x v="0"/>
    <x v="5"/>
    <x v="2"/>
  </r>
  <r>
    <s v="Singapore"/>
    <x v="4"/>
    <s v="SG3"/>
    <m/>
    <x v="0"/>
    <x v="2"/>
    <x v="1"/>
    <x v="1"/>
    <x v="0"/>
    <x v="0"/>
    <x v="0"/>
    <m/>
    <x v="0"/>
    <x v="0"/>
    <n v="-0.15579000000000001"/>
    <m/>
    <x v="4"/>
    <x v="2"/>
    <x v="0"/>
    <x v="2"/>
    <x v="0"/>
  </r>
  <r>
    <s v="Singapore"/>
    <x v="2"/>
    <s v="SG2"/>
    <m/>
    <x v="4"/>
    <x v="0"/>
    <x v="3"/>
    <x v="0"/>
    <x v="0"/>
    <x v="0"/>
    <x v="0"/>
    <m/>
    <x v="0"/>
    <x v="0"/>
    <n v="0.903582"/>
    <m/>
    <x v="1"/>
    <x v="2"/>
    <x v="0"/>
    <x v="2"/>
    <x v="1"/>
  </r>
  <r>
    <s v="Singapore"/>
    <x v="2"/>
    <s v="SG4"/>
    <m/>
    <x v="4"/>
    <x v="2"/>
    <x v="1"/>
    <x v="3"/>
    <x v="0"/>
    <x v="0"/>
    <x v="0"/>
    <m/>
    <x v="0"/>
    <x v="0"/>
    <n v="-176.97744"/>
    <m/>
    <x v="2"/>
    <x v="3"/>
    <x v="0"/>
    <x v="1"/>
    <x v="0"/>
  </r>
  <r>
    <s v="Singapore"/>
    <x v="2"/>
    <s v="SG4"/>
    <m/>
    <x v="2"/>
    <x v="0"/>
    <x v="0"/>
    <x v="0"/>
    <x v="0"/>
    <x v="0"/>
    <x v="0"/>
    <m/>
    <x v="0"/>
    <x v="0"/>
    <n v="75.940302870000011"/>
    <m/>
    <x v="7"/>
    <x v="2"/>
    <x v="0"/>
    <x v="5"/>
    <x v="2"/>
  </r>
  <r>
    <s v="Singapore"/>
    <x v="0"/>
    <s v="SG2"/>
    <m/>
    <x v="1"/>
    <x v="0"/>
    <x v="4"/>
    <x v="1"/>
    <x v="0"/>
    <x v="0"/>
    <x v="0"/>
    <m/>
    <x v="0"/>
    <x v="0"/>
    <n v="-523.632062916"/>
    <m/>
    <x v="1"/>
    <x v="2"/>
    <x v="0"/>
    <x v="4"/>
    <x v="2"/>
  </r>
  <r>
    <s v="Singapore"/>
    <x v="5"/>
    <s v="SG1"/>
    <m/>
    <x v="5"/>
    <x v="0"/>
    <x v="0"/>
    <x v="5"/>
    <x v="0"/>
    <x v="0"/>
    <x v="0"/>
    <m/>
    <x v="0"/>
    <x v="0"/>
    <n v="11.540518146"/>
    <m/>
    <x v="7"/>
    <x v="2"/>
    <x v="0"/>
    <x v="1"/>
    <x v="2"/>
  </r>
  <r>
    <s v="Singapore"/>
    <x v="0"/>
    <s v="SG2"/>
    <m/>
    <x v="1"/>
    <x v="4"/>
    <x v="1"/>
    <x v="2"/>
    <x v="0"/>
    <x v="0"/>
    <x v="0"/>
    <m/>
    <x v="0"/>
    <x v="0"/>
    <n v="-4.8606480000000003"/>
    <m/>
    <x v="4"/>
    <x v="3"/>
    <x v="0"/>
    <x v="3"/>
    <x v="1"/>
  </r>
  <r>
    <s v="Singapore"/>
    <x v="2"/>
    <s v="SG3"/>
    <m/>
    <x v="5"/>
    <x v="4"/>
    <x v="3"/>
    <x v="2"/>
    <x v="0"/>
    <x v="0"/>
    <x v="0"/>
    <m/>
    <x v="0"/>
    <x v="0"/>
    <n v="-28.821103263000005"/>
    <m/>
    <x v="6"/>
    <x v="1"/>
    <x v="0"/>
    <x v="2"/>
    <x v="2"/>
  </r>
  <r>
    <s v="Singapore"/>
    <x v="4"/>
    <s v="SG1"/>
    <m/>
    <x v="4"/>
    <x v="1"/>
    <x v="4"/>
    <x v="0"/>
    <x v="0"/>
    <x v="0"/>
    <x v="0"/>
    <m/>
    <x v="0"/>
    <x v="0"/>
    <n v="1.4566365000000001"/>
    <m/>
    <x v="1"/>
    <x v="0"/>
    <x v="0"/>
    <x v="5"/>
    <x v="1"/>
  </r>
  <r>
    <s v="Singapore"/>
    <x v="3"/>
    <s v="SG1"/>
    <m/>
    <x v="3"/>
    <x v="2"/>
    <x v="4"/>
    <x v="2"/>
    <x v="0"/>
    <x v="0"/>
    <x v="0"/>
    <m/>
    <x v="0"/>
    <x v="0"/>
    <n v="0.1838322"/>
    <m/>
    <x v="4"/>
    <x v="1"/>
    <x v="0"/>
    <x v="0"/>
    <x v="1"/>
  </r>
  <r>
    <s v="Singapore"/>
    <x v="0"/>
    <s v="SG2"/>
    <m/>
    <x v="1"/>
    <x v="2"/>
    <x v="0"/>
    <x v="4"/>
    <x v="0"/>
    <x v="0"/>
    <x v="0"/>
    <m/>
    <x v="0"/>
    <x v="0"/>
    <n v="-1.012635"/>
    <m/>
    <x v="4"/>
    <x v="3"/>
    <x v="0"/>
    <x v="3"/>
    <x v="2"/>
  </r>
  <r>
    <s v="Singapore"/>
    <x v="4"/>
    <s v="SG2"/>
    <m/>
    <x v="4"/>
    <x v="3"/>
    <x v="3"/>
    <x v="5"/>
    <x v="0"/>
    <x v="0"/>
    <x v="0"/>
    <m/>
    <x v="0"/>
    <x v="0"/>
    <n v="17.772523200000002"/>
    <m/>
    <x v="9"/>
    <x v="3"/>
    <x v="0"/>
    <x v="0"/>
    <x v="0"/>
  </r>
  <r>
    <s v="Singapore"/>
    <x v="3"/>
    <s v="SG4"/>
    <m/>
    <x v="3"/>
    <x v="3"/>
    <x v="0"/>
    <x v="0"/>
    <x v="0"/>
    <x v="0"/>
    <x v="0"/>
    <m/>
    <x v="0"/>
    <x v="0"/>
    <n v="-0.10905300000000001"/>
    <m/>
    <x v="4"/>
    <x v="1"/>
    <x v="0"/>
    <x v="1"/>
    <x v="2"/>
  </r>
  <r>
    <s v="Singapore"/>
    <x v="4"/>
    <s v="SG2"/>
    <m/>
    <x v="5"/>
    <x v="0"/>
    <x v="3"/>
    <x v="2"/>
    <x v="0"/>
    <x v="0"/>
    <x v="0"/>
    <m/>
    <x v="0"/>
    <x v="0"/>
    <n v="-0.15579000000000001"/>
    <m/>
    <x v="0"/>
    <x v="1"/>
    <x v="0"/>
    <x v="4"/>
    <x v="2"/>
  </r>
  <r>
    <s v="Singapore"/>
    <x v="1"/>
    <s v="SG2"/>
    <m/>
    <x v="0"/>
    <x v="1"/>
    <x v="1"/>
    <x v="5"/>
    <x v="0"/>
    <x v="0"/>
    <x v="0"/>
    <m/>
    <x v="0"/>
    <x v="0"/>
    <n v="-0.74779200000000001"/>
    <m/>
    <x v="0"/>
    <x v="1"/>
    <x v="0"/>
    <x v="2"/>
    <x v="1"/>
  </r>
  <r>
    <s v="Singapore"/>
    <x v="1"/>
    <s v="SG1"/>
    <m/>
    <x v="3"/>
    <x v="3"/>
    <x v="4"/>
    <x v="5"/>
    <x v="0"/>
    <x v="0"/>
    <x v="0"/>
    <m/>
    <x v="0"/>
    <x v="0"/>
    <n v="-0.31158000000000002"/>
    <m/>
    <x v="4"/>
    <x v="1"/>
    <x v="0"/>
    <x v="4"/>
    <x v="1"/>
  </r>
  <r>
    <s v="Singapore"/>
    <x v="1"/>
    <s v="SG1"/>
    <m/>
    <x v="1"/>
    <x v="2"/>
    <x v="2"/>
    <x v="5"/>
    <x v="0"/>
    <x v="0"/>
    <x v="0"/>
    <m/>
    <x v="0"/>
    <x v="0"/>
    <n v="2.212218"/>
    <m/>
    <x v="1"/>
    <x v="1"/>
    <x v="0"/>
    <x v="1"/>
    <x v="2"/>
  </r>
  <r>
    <s v="Singapore"/>
    <x v="2"/>
    <s v="SG4"/>
    <m/>
    <x v="0"/>
    <x v="4"/>
    <x v="3"/>
    <x v="4"/>
    <x v="0"/>
    <x v="0"/>
    <x v="0"/>
    <m/>
    <x v="0"/>
    <x v="0"/>
    <n v="-1.0901716830000001"/>
    <m/>
    <x v="0"/>
    <x v="1"/>
    <x v="0"/>
    <x v="2"/>
    <x v="1"/>
  </r>
  <r>
    <s v="Singapore"/>
    <x v="5"/>
    <s v="SG2"/>
    <m/>
    <x v="2"/>
    <x v="2"/>
    <x v="3"/>
    <x v="5"/>
    <x v="0"/>
    <x v="0"/>
    <x v="0"/>
    <m/>
    <x v="0"/>
    <x v="0"/>
    <n v="-9.3474000000000002E-2"/>
    <m/>
    <x v="0"/>
    <x v="3"/>
    <x v="0"/>
    <x v="5"/>
    <x v="2"/>
  </r>
  <r>
    <s v="Singapore"/>
    <x v="1"/>
    <s v="SG1"/>
    <m/>
    <x v="4"/>
    <x v="4"/>
    <x v="0"/>
    <x v="1"/>
    <x v="0"/>
    <x v="0"/>
    <x v="0"/>
    <m/>
    <x v="0"/>
    <x v="0"/>
    <n v="-7.7895000000000003"/>
    <m/>
    <x v="8"/>
    <x v="1"/>
    <x v="0"/>
    <x v="1"/>
    <x v="1"/>
  </r>
  <r>
    <s v="Singapore"/>
    <x v="3"/>
    <s v="SG4"/>
    <m/>
    <x v="2"/>
    <x v="0"/>
    <x v="2"/>
    <x v="4"/>
    <x v="0"/>
    <x v="0"/>
    <x v="0"/>
    <m/>
    <x v="0"/>
    <x v="0"/>
    <n v="0.15579000000000001"/>
    <m/>
    <x v="1"/>
    <x v="2"/>
    <x v="0"/>
    <x v="2"/>
    <x v="0"/>
  </r>
  <r>
    <s v="Singapore"/>
    <x v="0"/>
    <s v="SG3"/>
    <m/>
    <x v="5"/>
    <x v="1"/>
    <x v="2"/>
    <x v="1"/>
    <x v="0"/>
    <x v="0"/>
    <x v="0"/>
    <m/>
    <x v="0"/>
    <x v="0"/>
    <n v="-0.38947500000000002"/>
    <m/>
    <x v="0"/>
    <x v="1"/>
    <x v="0"/>
    <x v="4"/>
    <x v="0"/>
  </r>
  <r>
    <s v="Singapore"/>
    <x v="5"/>
    <s v="SG2"/>
    <m/>
    <x v="5"/>
    <x v="3"/>
    <x v="4"/>
    <x v="1"/>
    <x v="0"/>
    <x v="0"/>
    <x v="0"/>
    <m/>
    <x v="0"/>
    <x v="0"/>
    <n v="-0.1838322"/>
    <m/>
    <x v="4"/>
    <x v="1"/>
    <x v="0"/>
    <x v="3"/>
    <x v="2"/>
  </r>
  <r>
    <s v="Singapore"/>
    <x v="0"/>
    <s v="SG2"/>
    <m/>
    <x v="3"/>
    <x v="0"/>
    <x v="0"/>
    <x v="1"/>
    <x v="0"/>
    <x v="0"/>
    <x v="0"/>
    <m/>
    <x v="0"/>
    <x v="0"/>
    <n v="-0.31158000000000002"/>
    <m/>
    <x v="0"/>
    <x v="2"/>
    <x v="0"/>
    <x v="2"/>
    <x v="1"/>
  </r>
  <r>
    <s v="Singapore"/>
    <x v="1"/>
    <s v="SG3"/>
    <m/>
    <x v="1"/>
    <x v="4"/>
    <x v="3"/>
    <x v="0"/>
    <x v="0"/>
    <x v="0"/>
    <x v="0"/>
    <m/>
    <x v="0"/>
    <x v="0"/>
    <n v="-0.1324215"/>
    <m/>
    <x v="4"/>
    <x v="0"/>
    <x v="0"/>
    <x v="5"/>
    <x v="1"/>
  </r>
  <r>
    <s v="Singapore"/>
    <x v="3"/>
    <s v="SG1"/>
    <m/>
    <x v="5"/>
    <x v="0"/>
    <x v="2"/>
    <x v="3"/>
    <x v="0"/>
    <x v="0"/>
    <x v="0"/>
    <m/>
    <x v="0"/>
    <x v="0"/>
    <n v="0.82568700000000006"/>
    <m/>
    <x v="1"/>
    <x v="2"/>
    <x v="0"/>
    <x v="5"/>
    <x v="1"/>
  </r>
  <r>
    <s v="Singapore"/>
    <x v="2"/>
    <s v="SG3"/>
    <m/>
    <x v="4"/>
    <x v="3"/>
    <x v="4"/>
    <x v="3"/>
    <x v="0"/>
    <x v="0"/>
    <x v="0"/>
    <m/>
    <x v="0"/>
    <x v="0"/>
    <n v="-0.1838322"/>
    <m/>
    <x v="4"/>
    <x v="0"/>
    <x v="0"/>
    <x v="2"/>
    <x v="1"/>
  </r>
  <r>
    <s v="Singapore"/>
    <x v="3"/>
    <s v="SG3"/>
    <m/>
    <x v="2"/>
    <x v="1"/>
    <x v="0"/>
    <x v="5"/>
    <x v="0"/>
    <x v="0"/>
    <x v="0"/>
    <m/>
    <x v="0"/>
    <x v="0"/>
    <n v="0.98147700000000004"/>
    <m/>
    <x v="1"/>
    <x v="0"/>
    <x v="0"/>
    <x v="4"/>
    <x v="0"/>
  </r>
  <r>
    <s v="Singapore"/>
    <x v="1"/>
    <s v="SG4"/>
    <m/>
    <x v="3"/>
    <x v="4"/>
    <x v="0"/>
    <x v="1"/>
    <x v="0"/>
    <x v="0"/>
    <x v="0"/>
    <m/>
    <x v="0"/>
    <x v="0"/>
    <n v="-0.24926400000000001"/>
    <m/>
    <x v="0"/>
    <x v="1"/>
    <x v="0"/>
    <x v="4"/>
    <x v="0"/>
  </r>
  <r>
    <s v="Singapore"/>
    <x v="0"/>
    <s v="SG4"/>
    <m/>
    <x v="1"/>
    <x v="3"/>
    <x v="2"/>
    <x v="0"/>
    <x v="0"/>
    <x v="0"/>
    <x v="0"/>
    <m/>
    <x v="0"/>
    <x v="0"/>
    <n v="0.21031650000000002"/>
    <m/>
    <x v="1"/>
    <x v="1"/>
    <x v="0"/>
    <x v="0"/>
    <x v="2"/>
  </r>
  <r>
    <s v="Singapore"/>
    <x v="4"/>
    <s v="SG4"/>
    <m/>
    <x v="4"/>
    <x v="1"/>
    <x v="0"/>
    <x v="1"/>
    <x v="0"/>
    <x v="0"/>
    <x v="0"/>
    <m/>
    <x v="0"/>
    <x v="0"/>
    <n v="-0.12463200000000001"/>
    <m/>
    <x v="4"/>
    <x v="0"/>
    <x v="0"/>
    <x v="4"/>
    <x v="1"/>
  </r>
  <r>
    <s v="Singapore"/>
    <x v="0"/>
    <s v="SG4"/>
    <m/>
    <x v="3"/>
    <x v="2"/>
    <x v="4"/>
    <x v="1"/>
    <x v="0"/>
    <x v="0"/>
    <x v="0"/>
    <m/>
    <x v="0"/>
    <x v="0"/>
    <n v="-2.775180744"/>
    <m/>
    <x v="4"/>
    <x v="3"/>
    <x v="0"/>
    <x v="3"/>
    <x v="1"/>
  </r>
  <r>
    <s v="Singapore"/>
    <x v="5"/>
    <s v="SG2"/>
    <m/>
    <x v="2"/>
    <x v="3"/>
    <x v="4"/>
    <x v="3"/>
    <x v="0"/>
    <x v="0"/>
    <x v="0"/>
    <m/>
    <x v="0"/>
    <x v="0"/>
    <n v="-4.6737000000000001E-2"/>
    <m/>
    <x v="0"/>
    <x v="3"/>
    <x v="0"/>
    <x v="1"/>
    <x v="1"/>
  </r>
  <r>
    <s v="Singapore"/>
    <x v="5"/>
    <s v="SG3"/>
    <m/>
    <x v="5"/>
    <x v="4"/>
    <x v="3"/>
    <x v="2"/>
    <x v="0"/>
    <x v="0"/>
    <x v="0"/>
    <m/>
    <x v="0"/>
    <x v="0"/>
    <n v="1.0022282280000001"/>
    <m/>
    <x v="1"/>
    <x v="1"/>
    <x v="0"/>
    <x v="3"/>
    <x v="0"/>
  </r>
  <r>
    <s v="Singapore"/>
    <x v="1"/>
    <s v="SG2"/>
    <m/>
    <x v="3"/>
    <x v="0"/>
    <x v="2"/>
    <x v="5"/>
    <x v="0"/>
    <x v="0"/>
    <x v="0"/>
    <m/>
    <x v="0"/>
    <x v="0"/>
    <n v="-0.140211"/>
    <m/>
    <x v="0"/>
    <x v="2"/>
    <x v="0"/>
    <x v="5"/>
    <x v="1"/>
  </r>
  <r>
    <s v="Singapore"/>
    <x v="0"/>
    <s v="SG2"/>
    <m/>
    <x v="1"/>
    <x v="1"/>
    <x v="2"/>
    <x v="1"/>
    <x v="0"/>
    <x v="0"/>
    <x v="0"/>
    <m/>
    <x v="0"/>
    <x v="0"/>
    <n v="0.56215263599999998"/>
    <m/>
    <x v="8"/>
    <x v="0"/>
    <x v="0"/>
    <x v="3"/>
    <x v="1"/>
  </r>
  <r>
    <s v="Singapore"/>
    <x v="0"/>
    <s v="SG4"/>
    <m/>
    <x v="2"/>
    <x v="4"/>
    <x v="4"/>
    <x v="2"/>
    <x v="0"/>
    <x v="0"/>
    <x v="0"/>
    <m/>
    <x v="0"/>
    <x v="0"/>
    <n v="-0.545265"/>
    <m/>
    <x v="0"/>
    <x v="3"/>
    <x v="0"/>
    <x v="2"/>
    <x v="2"/>
  </r>
  <r>
    <s v="Singapore"/>
    <x v="0"/>
    <s v="SG3"/>
    <m/>
    <x v="4"/>
    <x v="4"/>
    <x v="0"/>
    <x v="4"/>
    <x v="0"/>
    <x v="0"/>
    <x v="0"/>
    <m/>
    <x v="0"/>
    <x v="0"/>
    <n v="4.0809190500000003"/>
    <m/>
    <x v="7"/>
    <x v="2"/>
    <x v="0"/>
    <x v="3"/>
    <x v="0"/>
  </r>
  <r>
    <s v="Singapore"/>
    <x v="5"/>
    <s v="SG1"/>
    <m/>
    <x v="2"/>
    <x v="2"/>
    <x v="1"/>
    <x v="2"/>
    <x v="0"/>
    <x v="0"/>
    <x v="0"/>
    <m/>
    <x v="0"/>
    <x v="0"/>
    <n v="-13.502724354000001"/>
    <m/>
    <x v="4"/>
    <x v="1"/>
    <x v="0"/>
    <x v="2"/>
    <x v="1"/>
  </r>
  <r>
    <s v="Singapore"/>
    <x v="3"/>
    <s v="SG3"/>
    <m/>
    <x v="3"/>
    <x v="1"/>
    <x v="4"/>
    <x v="0"/>
    <x v="0"/>
    <x v="0"/>
    <x v="0"/>
    <m/>
    <x v="0"/>
    <x v="0"/>
    <n v="2.1031650000000002"/>
    <m/>
    <x v="1"/>
    <x v="0"/>
    <x v="0"/>
    <x v="1"/>
    <x v="2"/>
  </r>
  <r>
    <s v="Singapore"/>
    <x v="0"/>
    <s v="SG4"/>
    <m/>
    <x v="4"/>
    <x v="0"/>
    <x v="1"/>
    <x v="1"/>
    <x v="0"/>
    <x v="0"/>
    <x v="0"/>
    <m/>
    <x v="0"/>
    <x v="0"/>
    <n v="-0.10905300000000001"/>
    <m/>
    <x v="0"/>
    <x v="1"/>
    <x v="0"/>
    <x v="3"/>
    <x v="0"/>
  </r>
  <r>
    <s v="Singapore"/>
    <x v="1"/>
    <s v="SG3"/>
    <m/>
    <x v="4"/>
    <x v="2"/>
    <x v="2"/>
    <x v="1"/>
    <x v="0"/>
    <x v="0"/>
    <x v="0"/>
    <m/>
    <x v="0"/>
    <x v="0"/>
    <n v="-7.7895000000000006E-2"/>
    <m/>
    <x v="1"/>
    <x v="3"/>
    <x v="0"/>
    <x v="3"/>
    <x v="1"/>
  </r>
  <r>
    <s v="Singapore"/>
    <x v="2"/>
    <s v="SG3"/>
    <m/>
    <x v="0"/>
    <x v="0"/>
    <x v="0"/>
    <x v="3"/>
    <x v="0"/>
    <x v="0"/>
    <x v="0"/>
    <m/>
    <x v="0"/>
    <x v="0"/>
    <n v="-0.15579000000000001"/>
    <m/>
    <x v="4"/>
    <x v="3"/>
    <x v="0"/>
    <x v="3"/>
    <x v="2"/>
  </r>
  <r>
    <s v="Singapore"/>
    <x v="2"/>
    <s v="SG2"/>
    <m/>
    <x v="4"/>
    <x v="1"/>
    <x v="0"/>
    <x v="3"/>
    <x v="0"/>
    <x v="0"/>
    <x v="0"/>
    <m/>
    <x v="0"/>
    <x v="0"/>
    <n v="1.0945026449999999"/>
    <m/>
    <x v="1"/>
    <x v="3"/>
    <x v="0"/>
    <x v="4"/>
    <x v="0"/>
  </r>
  <r>
    <s v="Singapore"/>
    <x v="3"/>
    <s v="SG4"/>
    <m/>
    <x v="0"/>
    <x v="2"/>
    <x v="4"/>
    <x v="4"/>
    <x v="0"/>
    <x v="0"/>
    <x v="0"/>
    <m/>
    <x v="0"/>
    <x v="0"/>
    <n v="-5.0041773270000007"/>
    <m/>
    <x v="0"/>
    <x v="3"/>
    <x v="0"/>
    <x v="4"/>
    <x v="0"/>
  </r>
  <r>
    <s v="Singapore"/>
    <x v="5"/>
    <s v="SG4"/>
    <m/>
    <x v="0"/>
    <x v="2"/>
    <x v="4"/>
    <x v="2"/>
    <x v="0"/>
    <x v="0"/>
    <x v="0"/>
    <m/>
    <x v="0"/>
    <x v="0"/>
    <n v="-1.5579000000000001E-2"/>
    <m/>
    <x v="0"/>
    <x v="3"/>
    <x v="0"/>
    <x v="1"/>
    <x v="0"/>
  </r>
  <r>
    <s v="Singapore"/>
    <x v="3"/>
    <s v="SG2"/>
    <m/>
    <x v="1"/>
    <x v="3"/>
    <x v="2"/>
    <x v="5"/>
    <x v="0"/>
    <x v="0"/>
    <x v="0"/>
    <m/>
    <x v="0"/>
    <x v="0"/>
    <n v="-6.2316000000000003E-2"/>
    <m/>
    <x v="0"/>
    <x v="2"/>
    <x v="0"/>
    <x v="4"/>
    <x v="1"/>
  </r>
  <r>
    <s v="Singapore"/>
    <x v="5"/>
    <s v="SG2"/>
    <m/>
    <x v="3"/>
    <x v="2"/>
    <x v="4"/>
    <x v="2"/>
    <x v="0"/>
    <x v="0"/>
    <x v="0"/>
    <m/>
    <x v="0"/>
    <x v="0"/>
    <n v="-0.1838322"/>
    <m/>
    <x v="4"/>
    <x v="0"/>
    <x v="0"/>
    <x v="5"/>
    <x v="2"/>
  </r>
  <r>
    <s v="Singapore"/>
    <x v="0"/>
    <s v="SG4"/>
    <m/>
    <x v="1"/>
    <x v="0"/>
    <x v="2"/>
    <x v="1"/>
    <x v="0"/>
    <x v="0"/>
    <x v="0"/>
    <m/>
    <x v="0"/>
    <x v="0"/>
    <n v="-0.42063300000000003"/>
    <m/>
    <x v="4"/>
    <x v="3"/>
    <x v="0"/>
    <x v="2"/>
    <x v="1"/>
  </r>
  <r>
    <s v="Singapore"/>
    <x v="3"/>
    <s v="SG4"/>
    <m/>
    <x v="2"/>
    <x v="3"/>
    <x v="0"/>
    <x v="3"/>
    <x v="0"/>
    <x v="0"/>
    <x v="0"/>
    <m/>
    <x v="0"/>
    <x v="0"/>
    <n v="-0.1838322"/>
    <m/>
    <x v="4"/>
    <x v="0"/>
    <x v="0"/>
    <x v="1"/>
    <x v="0"/>
  </r>
  <r>
    <s v="Singapore"/>
    <x v="3"/>
    <s v="SG4"/>
    <m/>
    <x v="1"/>
    <x v="0"/>
    <x v="3"/>
    <x v="2"/>
    <x v="0"/>
    <x v="0"/>
    <x v="0"/>
    <m/>
    <x v="0"/>
    <x v="0"/>
    <n v="0.31158000000000002"/>
    <m/>
    <x v="1"/>
    <x v="3"/>
    <x v="0"/>
    <x v="0"/>
    <x v="0"/>
  </r>
  <r>
    <s v="Singapore"/>
    <x v="2"/>
    <s v="SG1"/>
    <m/>
    <x v="0"/>
    <x v="4"/>
    <x v="0"/>
    <x v="4"/>
    <x v="0"/>
    <x v="0"/>
    <x v="0"/>
    <m/>
    <x v="0"/>
    <x v="0"/>
    <n v="2.6484300000000003"/>
    <m/>
    <x v="1"/>
    <x v="1"/>
    <x v="0"/>
    <x v="4"/>
    <x v="2"/>
  </r>
  <r>
    <s v="Singapore"/>
    <x v="2"/>
    <s v="SG1"/>
    <m/>
    <x v="4"/>
    <x v="4"/>
    <x v="3"/>
    <x v="0"/>
    <x v="0"/>
    <x v="0"/>
    <x v="0"/>
    <m/>
    <x v="0"/>
    <x v="0"/>
    <n v="-0.15579000000000001"/>
    <m/>
    <x v="0"/>
    <x v="0"/>
    <x v="0"/>
    <x v="4"/>
    <x v="0"/>
  </r>
  <r>
    <s v="Singapore"/>
    <x v="5"/>
    <s v="SG2"/>
    <m/>
    <x v="3"/>
    <x v="1"/>
    <x v="0"/>
    <x v="1"/>
    <x v="0"/>
    <x v="0"/>
    <x v="0"/>
    <m/>
    <x v="0"/>
    <x v="0"/>
    <n v="-1.5579000000000001E-2"/>
    <m/>
    <x v="0"/>
    <x v="2"/>
    <x v="0"/>
    <x v="5"/>
    <x v="1"/>
  </r>
  <r>
    <s v="Singapore"/>
    <x v="0"/>
    <s v="SG4"/>
    <m/>
    <x v="5"/>
    <x v="4"/>
    <x v="3"/>
    <x v="1"/>
    <x v="0"/>
    <x v="0"/>
    <x v="0"/>
    <m/>
    <x v="0"/>
    <x v="0"/>
    <n v="1.168425"/>
    <m/>
    <x v="1"/>
    <x v="1"/>
    <x v="0"/>
    <x v="5"/>
    <x v="0"/>
  </r>
  <r>
    <s v="Singapore"/>
    <x v="1"/>
    <s v="SG1"/>
    <m/>
    <x v="5"/>
    <x v="2"/>
    <x v="2"/>
    <x v="1"/>
    <x v="0"/>
    <x v="0"/>
    <x v="0"/>
    <m/>
    <x v="0"/>
    <x v="0"/>
    <n v="-0.10905300000000001"/>
    <m/>
    <x v="4"/>
    <x v="3"/>
    <x v="0"/>
    <x v="5"/>
    <x v="2"/>
  </r>
  <r>
    <s v="Singapore"/>
    <x v="4"/>
    <s v="SG3"/>
    <m/>
    <x v="4"/>
    <x v="3"/>
    <x v="1"/>
    <x v="1"/>
    <x v="0"/>
    <x v="0"/>
    <x v="0"/>
    <m/>
    <x v="0"/>
    <x v="0"/>
    <n v="-3.5052750000000001E-2"/>
    <m/>
    <x v="3"/>
    <x v="0"/>
    <x v="0"/>
    <x v="2"/>
    <x v="2"/>
  </r>
  <r>
    <s v="Singapore"/>
    <x v="5"/>
    <s v="SG1"/>
    <m/>
    <x v="5"/>
    <x v="0"/>
    <x v="0"/>
    <x v="0"/>
    <x v="0"/>
    <x v="0"/>
    <x v="0"/>
    <m/>
    <x v="0"/>
    <x v="0"/>
    <n v="-0.64029690000000006"/>
    <m/>
    <x v="3"/>
    <x v="1"/>
    <x v="0"/>
    <x v="0"/>
    <x v="1"/>
  </r>
  <r>
    <s v="Singapore"/>
    <x v="0"/>
    <s v="SG4"/>
    <m/>
    <x v="1"/>
    <x v="1"/>
    <x v="4"/>
    <x v="1"/>
    <x v="0"/>
    <x v="0"/>
    <x v="0"/>
    <m/>
    <x v="0"/>
    <x v="0"/>
    <n v="-0.46737000000000001"/>
    <m/>
    <x v="4"/>
    <x v="0"/>
    <x v="0"/>
    <x v="3"/>
    <x v="2"/>
  </r>
  <r>
    <s v="Singapore"/>
    <x v="2"/>
    <s v="SG1"/>
    <m/>
    <x v="2"/>
    <x v="0"/>
    <x v="3"/>
    <x v="3"/>
    <x v="0"/>
    <x v="0"/>
    <x v="0"/>
    <m/>
    <x v="0"/>
    <x v="0"/>
    <n v="1.106109"/>
    <m/>
    <x v="1"/>
    <x v="0"/>
    <x v="0"/>
    <x v="3"/>
    <x v="0"/>
  </r>
  <r>
    <s v="Singapore"/>
    <x v="4"/>
    <s v="SG4"/>
    <m/>
    <x v="0"/>
    <x v="0"/>
    <x v="0"/>
    <x v="5"/>
    <x v="0"/>
    <x v="0"/>
    <x v="0"/>
    <m/>
    <x v="0"/>
    <x v="0"/>
    <n v="-0.62316000000000005"/>
    <m/>
    <x v="4"/>
    <x v="3"/>
    <x v="0"/>
    <x v="2"/>
    <x v="2"/>
  </r>
  <r>
    <s v="Singapore"/>
    <x v="5"/>
    <s v="SG3"/>
    <m/>
    <x v="4"/>
    <x v="3"/>
    <x v="1"/>
    <x v="0"/>
    <x v="0"/>
    <x v="0"/>
    <x v="0"/>
    <m/>
    <x v="0"/>
    <x v="0"/>
    <n v="0.74467620000000001"/>
    <m/>
    <x v="1"/>
    <x v="0"/>
    <x v="0"/>
    <x v="3"/>
    <x v="1"/>
  </r>
  <r>
    <s v="Singapore"/>
    <x v="0"/>
    <s v="SG4"/>
    <m/>
    <x v="4"/>
    <x v="4"/>
    <x v="1"/>
    <x v="0"/>
    <x v="0"/>
    <x v="0"/>
    <x v="0"/>
    <m/>
    <x v="0"/>
    <x v="0"/>
    <n v="-4.6737000000000001E-2"/>
    <m/>
    <x v="0"/>
    <x v="1"/>
    <x v="0"/>
    <x v="0"/>
    <x v="2"/>
  </r>
  <r>
    <s v="Singapore"/>
    <x v="2"/>
    <s v="SG1"/>
    <m/>
    <x v="3"/>
    <x v="3"/>
    <x v="0"/>
    <x v="2"/>
    <x v="0"/>
    <x v="0"/>
    <x v="0"/>
    <m/>
    <x v="0"/>
    <x v="0"/>
    <n v="-29.444310000000002"/>
    <m/>
    <x v="2"/>
    <x v="2"/>
    <x v="0"/>
    <x v="0"/>
    <x v="0"/>
  </r>
  <r>
    <s v="Singapore"/>
    <x v="4"/>
    <s v="SG3"/>
    <m/>
    <x v="5"/>
    <x v="4"/>
    <x v="4"/>
    <x v="1"/>
    <x v="0"/>
    <x v="0"/>
    <x v="0"/>
    <m/>
    <x v="0"/>
    <x v="0"/>
    <n v="-0.103678245"/>
    <m/>
    <x v="3"/>
    <x v="3"/>
    <x v="0"/>
    <x v="1"/>
    <x v="0"/>
  </r>
  <r>
    <s v="Singapore"/>
    <x v="1"/>
    <s v="SG2"/>
    <m/>
    <x v="1"/>
    <x v="3"/>
    <x v="4"/>
    <x v="5"/>
    <x v="0"/>
    <x v="0"/>
    <x v="0"/>
    <m/>
    <x v="0"/>
    <x v="0"/>
    <n v="0.15579000000000001"/>
    <m/>
    <x v="1"/>
    <x v="3"/>
    <x v="0"/>
    <x v="0"/>
    <x v="1"/>
  </r>
  <r>
    <s v="Singapore"/>
    <x v="2"/>
    <s v="SG1"/>
    <m/>
    <x v="5"/>
    <x v="4"/>
    <x v="1"/>
    <x v="2"/>
    <x v="0"/>
    <x v="0"/>
    <x v="0"/>
    <m/>
    <x v="0"/>
    <x v="0"/>
    <n v="1.1450565000000001"/>
    <m/>
    <x v="1"/>
    <x v="3"/>
    <x v="0"/>
    <x v="1"/>
    <x v="2"/>
  </r>
  <r>
    <s v="Singapore"/>
    <x v="1"/>
    <s v="SG1"/>
    <m/>
    <x v="2"/>
    <x v="4"/>
    <x v="4"/>
    <x v="4"/>
    <x v="0"/>
    <x v="0"/>
    <x v="0"/>
    <m/>
    <x v="0"/>
    <x v="0"/>
    <n v="-16.056340559999999"/>
    <m/>
    <x v="6"/>
    <x v="1"/>
    <x v="0"/>
    <x v="3"/>
    <x v="1"/>
  </r>
  <r>
    <s v="Singapore"/>
    <x v="5"/>
    <s v="SG3"/>
    <m/>
    <x v="1"/>
    <x v="2"/>
    <x v="4"/>
    <x v="4"/>
    <x v="0"/>
    <x v="0"/>
    <x v="0"/>
    <m/>
    <x v="0"/>
    <x v="0"/>
    <n v="-4.6737000000000001E-2"/>
    <m/>
    <x v="0"/>
    <x v="1"/>
    <x v="0"/>
    <x v="4"/>
    <x v="2"/>
  </r>
  <r>
    <s v="Singapore"/>
    <x v="5"/>
    <s v="SG3"/>
    <m/>
    <x v="4"/>
    <x v="3"/>
    <x v="2"/>
    <x v="4"/>
    <x v="0"/>
    <x v="0"/>
    <x v="0"/>
    <m/>
    <x v="0"/>
    <x v="0"/>
    <n v="-0.31158000000000002"/>
    <m/>
    <x v="0"/>
    <x v="1"/>
    <x v="0"/>
    <x v="1"/>
    <x v="2"/>
  </r>
  <r>
    <s v="Singapore"/>
    <x v="5"/>
    <s v="SG2"/>
    <m/>
    <x v="5"/>
    <x v="1"/>
    <x v="2"/>
    <x v="4"/>
    <x v="0"/>
    <x v="0"/>
    <x v="0"/>
    <m/>
    <x v="0"/>
    <x v="0"/>
    <n v="0.37389600000000001"/>
    <m/>
    <x v="4"/>
    <x v="3"/>
    <x v="0"/>
    <x v="2"/>
    <x v="2"/>
  </r>
  <r>
    <s v="Singapore"/>
    <x v="2"/>
    <s v="SG2"/>
    <m/>
    <x v="0"/>
    <x v="4"/>
    <x v="0"/>
    <x v="0"/>
    <x v="0"/>
    <x v="0"/>
    <x v="0"/>
    <m/>
    <x v="0"/>
    <x v="0"/>
    <n v="1.3008465"/>
    <m/>
    <x v="1"/>
    <x v="0"/>
    <x v="0"/>
    <x v="5"/>
    <x v="1"/>
  </r>
  <r>
    <s v="Singapore"/>
    <x v="1"/>
    <s v="SG4"/>
    <m/>
    <x v="0"/>
    <x v="1"/>
    <x v="4"/>
    <x v="4"/>
    <x v="0"/>
    <x v="0"/>
    <x v="0"/>
    <m/>
    <x v="0"/>
    <x v="0"/>
    <n v="-0.7290972"/>
    <m/>
    <x v="2"/>
    <x v="2"/>
    <x v="0"/>
    <x v="2"/>
    <x v="0"/>
  </r>
  <r>
    <s v="Singapore"/>
    <x v="5"/>
    <s v="SG1"/>
    <m/>
    <x v="5"/>
    <x v="4"/>
    <x v="1"/>
    <x v="5"/>
    <x v="0"/>
    <x v="0"/>
    <x v="0"/>
    <m/>
    <x v="0"/>
    <x v="0"/>
    <n v="-6.2316000000000003E-3"/>
    <m/>
    <x v="6"/>
    <x v="1"/>
    <x v="0"/>
    <x v="1"/>
    <x v="2"/>
  </r>
  <r>
    <s v="Singapore"/>
    <x v="0"/>
    <s v="SG4"/>
    <m/>
    <x v="1"/>
    <x v="3"/>
    <x v="4"/>
    <x v="3"/>
    <x v="0"/>
    <x v="0"/>
    <x v="0"/>
    <m/>
    <x v="0"/>
    <x v="0"/>
    <n v="-0.280422"/>
    <m/>
    <x v="0"/>
    <x v="2"/>
    <x v="0"/>
    <x v="1"/>
    <x v="2"/>
  </r>
  <r>
    <s v="Singapore"/>
    <x v="0"/>
    <s v="SG4"/>
    <m/>
    <x v="3"/>
    <x v="2"/>
    <x v="3"/>
    <x v="1"/>
    <x v="0"/>
    <x v="0"/>
    <x v="0"/>
    <m/>
    <x v="0"/>
    <x v="0"/>
    <n v="-0.32368488300000003"/>
    <m/>
    <x v="9"/>
    <x v="1"/>
    <x v="0"/>
    <x v="0"/>
    <x v="0"/>
  </r>
  <r>
    <s v="Singapore"/>
    <x v="5"/>
    <s v="SG4"/>
    <m/>
    <x v="1"/>
    <x v="2"/>
    <x v="0"/>
    <x v="2"/>
    <x v="0"/>
    <x v="0"/>
    <x v="0"/>
    <m/>
    <x v="0"/>
    <x v="0"/>
    <n v="-0.12463200000000001"/>
    <m/>
    <x v="0"/>
    <x v="2"/>
    <x v="0"/>
    <x v="1"/>
    <x v="0"/>
  </r>
  <r>
    <s v="Singapore"/>
    <x v="5"/>
    <s v="SG2"/>
    <m/>
    <x v="3"/>
    <x v="3"/>
    <x v="1"/>
    <x v="1"/>
    <x v="0"/>
    <x v="0"/>
    <x v="0"/>
    <m/>
    <x v="0"/>
    <x v="0"/>
    <n v="-1.3008465"/>
    <m/>
    <x v="3"/>
    <x v="1"/>
    <x v="0"/>
    <x v="0"/>
    <x v="0"/>
  </r>
  <r>
    <s v="Singapore"/>
    <x v="5"/>
    <s v="SG3"/>
    <m/>
    <x v="2"/>
    <x v="2"/>
    <x v="3"/>
    <x v="2"/>
    <x v="0"/>
    <x v="0"/>
    <x v="0"/>
    <m/>
    <x v="0"/>
    <x v="0"/>
    <n v="-0.15579000000000001"/>
    <m/>
    <x v="0"/>
    <x v="0"/>
    <x v="0"/>
    <x v="3"/>
    <x v="0"/>
  </r>
  <r>
    <s v="Singapore"/>
    <x v="5"/>
    <s v="SG3"/>
    <m/>
    <x v="4"/>
    <x v="1"/>
    <x v="4"/>
    <x v="5"/>
    <x v="0"/>
    <x v="0"/>
    <x v="0"/>
    <m/>
    <x v="0"/>
    <x v="0"/>
    <n v="-0.10905300000000001"/>
    <m/>
    <x v="4"/>
    <x v="1"/>
    <x v="0"/>
    <x v="3"/>
    <x v="1"/>
  </r>
  <r>
    <s v="Singapore"/>
    <x v="1"/>
    <s v="SG2"/>
    <m/>
    <x v="3"/>
    <x v="3"/>
    <x v="1"/>
    <x v="0"/>
    <x v="0"/>
    <x v="0"/>
    <x v="0"/>
    <m/>
    <x v="0"/>
    <x v="0"/>
    <n v="1.5101503650000001"/>
    <m/>
    <x v="8"/>
    <x v="2"/>
    <x v="0"/>
    <x v="0"/>
    <x v="0"/>
  </r>
  <r>
    <s v="Singapore"/>
    <x v="3"/>
    <s v="SG2"/>
    <m/>
    <x v="5"/>
    <x v="0"/>
    <x v="2"/>
    <x v="4"/>
    <x v="0"/>
    <x v="0"/>
    <x v="0"/>
    <m/>
    <x v="0"/>
    <x v="0"/>
    <n v="5.428969920000001"/>
    <m/>
    <x v="9"/>
    <x v="1"/>
    <x v="0"/>
    <x v="4"/>
    <x v="0"/>
  </r>
  <r>
    <s v="Singapore"/>
    <x v="4"/>
    <s v="SG1"/>
    <m/>
    <x v="2"/>
    <x v="3"/>
    <x v="4"/>
    <x v="3"/>
    <x v="0"/>
    <x v="0"/>
    <x v="0"/>
    <m/>
    <x v="0"/>
    <x v="0"/>
    <n v="0.20057962500000001"/>
    <m/>
    <x v="6"/>
    <x v="0"/>
    <x v="0"/>
    <x v="5"/>
    <x v="0"/>
  </r>
  <r>
    <s v="Singapore"/>
    <x v="1"/>
    <s v="SG1"/>
    <m/>
    <x v="3"/>
    <x v="1"/>
    <x v="2"/>
    <x v="4"/>
    <x v="0"/>
    <x v="0"/>
    <x v="0"/>
    <m/>
    <x v="0"/>
    <x v="0"/>
    <n v="-30.145365000000002"/>
    <m/>
    <x v="1"/>
    <x v="0"/>
    <x v="0"/>
    <x v="5"/>
    <x v="0"/>
  </r>
  <r>
    <s v="Singapore"/>
    <x v="3"/>
    <s v="SG3"/>
    <m/>
    <x v="3"/>
    <x v="4"/>
    <x v="2"/>
    <x v="4"/>
    <x v="0"/>
    <x v="0"/>
    <x v="0"/>
    <m/>
    <x v="0"/>
    <x v="0"/>
    <n v="-41.506428645"/>
    <m/>
    <x v="2"/>
    <x v="1"/>
    <x v="0"/>
    <x v="0"/>
    <x v="2"/>
  </r>
  <r>
    <s v="Singapore"/>
    <x v="5"/>
    <s v="SG2"/>
    <m/>
    <x v="4"/>
    <x v="4"/>
    <x v="2"/>
    <x v="4"/>
    <x v="0"/>
    <x v="0"/>
    <x v="0"/>
    <m/>
    <x v="0"/>
    <x v="0"/>
    <n v="0.77895000000000003"/>
    <m/>
    <x v="4"/>
    <x v="2"/>
    <x v="0"/>
    <x v="5"/>
    <x v="0"/>
  </r>
  <r>
    <s v="Singapore"/>
    <x v="0"/>
    <s v="SG2"/>
    <m/>
    <x v="2"/>
    <x v="1"/>
    <x v="0"/>
    <x v="1"/>
    <x v="0"/>
    <x v="0"/>
    <x v="0"/>
    <m/>
    <x v="0"/>
    <x v="0"/>
    <n v="8.1475521569999998"/>
    <m/>
    <x v="5"/>
    <x v="2"/>
    <x v="0"/>
    <x v="4"/>
    <x v="2"/>
  </r>
  <r>
    <s v="Singapore"/>
    <x v="2"/>
    <s v="SG3"/>
    <m/>
    <x v="5"/>
    <x v="0"/>
    <x v="4"/>
    <x v="2"/>
    <x v="0"/>
    <x v="0"/>
    <x v="0"/>
    <m/>
    <x v="0"/>
    <x v="0"/>
    <n v="-2.33685E-2"/>
    <m/>
    <x v="0"/>
    <x v="1"/>
    <x v="0"/>
    <x v="1"/>
    <x v="1"/>
  </r>
  <r>
    <s v="Singapore"/>
    <x v="3"/>
    <s v="SG1"/>
    <m/>
    <x v="4"/>
    <x v="0"/>
    <x v="0"/>
    <x v="0"/>
    <x v="0"/>
    <x v="0"/>
    <x v="0"/>
    <m/>
    <x v="0"/>
    <x v="0"/>
    <n v="-7.7895000000000006E-2"/>
    <m/>
    <x v="0"/>
    <x v="0"/>
    <x v="0"/>
    <x v="3"/>
    <x v="1"/>
  </r>
  <r>
    <s v="Singapore"/>
    <x v="2"/>
    <s v="SG2"/>
    <m/>
    <x v="2"/>
    <x v="2"/>
    <x v="3"/>
    <x v="5"/>
    <x v="0"/>
    <x v="0"/>
    <x v="0"/>
    <m/>
    <x v="0"/>
    <x v="0"/>
    <n v="-0.42063300000000003"/>
    <m/>
    <x v="4"/>
    <x v="0"/>
    <x v="0"/>
    <x v="3"/>
    <x v="1"/>
  </r>
  <r>
    <s v="Singapore"/>
    <x v="3"/>
    <s v="SG1"/>
    <m/>
    <x v="2"/>
    <x v="0"/>
    <x v="1"/>
    <x v="5"/>
    <x v="0"/>
    <x v="0"/>
    <x v="0"/>
    <m/>
    <x v="0"/>
    <x v="0"/>
    <n v="-1.6797122010000001"/>
    <m/>
    <x v="4"/>
    <x v="2"/>
    <x v="0"/>
    <x v="4"/>
    <x v="1"/>
  </r>
  <r>
    <s v="Singapore"/>
    <x v="4"/>
    <s v="SG1"/>
    <m/>
    <x v="5"/>
    <x v="3"/>
    <x v="4"/>
    <x v="5"/>
    <x v="0"/>
    <x v="0"/>
    <x v="0"/>
    <m/>
    <x v="0"/>
    <x v="0"/>
    <n v="-4.6737000000000001E-2"/>
    <m/>
    <x v="0"/>
    <x v="2"/>
    <x v="0"/>
    <x v="3"/>
    <x v="2"/>
  </r>
  <r>
    <s v="Singapore"/>
    <x v="4"/>
    <s v="SG3"/>
    <m/>
    <x v="1"/>
    <x v="2"/>
    <x v="1"/>
    <x v="1"/>
    <x v="0"/>
    <x v="0"/>
    <x v="0"/>
    <m/>
    <x v="0"/>
    <x v="0"/>
    <n v="-0.74779200000000001"/>
    <m/>
    <x v="0"/>
    <x v="3"/>
    <x v="0"/>
    <x v="1"/>
    <x v="0"/>
  </r>
  <r>
    <s v="Singapore"/>
    <x v="1"/>
    <s v="SG3"/>
    <m/>
    <x v="5"/>
    <x v="2"/>
    <x v="2"/>
    <x v="0"/>
    <x v="0"/>
    <x v="0"/>
    <x v="0"/>
    <m/>
    <x v="0"/>
    <x v="0"/>
    <n v="7.8673950000000001"/>
    <m/>
    <x v="1"/>
    <x v="0"/>
    <x v="0"/>
    <x v="1"/>
    <x v="0"/>
  </r>
  <r>
    <s v="Singapore"/>
    <x v="3"/>
    <s v="SG1"/>
    <m/>
    <x v="0"/>
    <x v="0"/>
    <x v="3"/>
    <x v="3"/>
    <x v="0"/>
    <x v="0"/>
    <x v="0"/>
    <m/>
    <x v="0"/>
    <x v="0"/>
    <n v="-0.60758100000000004"/>
    <m/>
    <x v="0"/>
    <x v="0"/>
    <x v="0"/>
    <x v="2"/>
    <x v="0"/>
  </r>
  <r>
    <s v="Singapore"/>
    <x v="3"/>
    <s v="SG1"/>
    <m/>
    <x v="3"/>
    <x v="0"/>
    <x v="4"/>
    <x v="4"/>
    <x v="0"/>
    <x v="0"/>
    <x v="0"/>
    <m/>
    <x v="0"/>
    <x v="0"/>
    <n v="-0.37389600000000001"/>
    <m/>
    <x v="1"/>
    <x v="1"/>
    <x v="0"/>
    <x v="5"/>
    <x v="0"/>
  </r>
  <r>
    <s v="Singapore"/>
    <x v="3"/>
    <s v="SG3"/>
    <m/>
    <x v="2"/>
    <x v="1"/>
    <x v="1"/>
    <x v="4"/>
    <x v="0"/>
    <x v="0"/>
    <x v="0"/>
    <m/>
    <x v="0"/>
    <x v="0"/>
    <n v="-0.15423210000000001"/>
    <m/>
    <x v="6"/>
    <x v="1"/>
    <x v="0"/>
    <x v="0"/>
    <x v="0"/>
  </r>
  <r>
    <s v="Singapore"/>
    <x v="0"/>
    <s v="SG4"/>
    <m/>
    <x v="2"/>
    <x v="1"/>
    <x v="2"/>
    <x v="0"/>
    <x v="0"/>
    <x v="0"/>
    <x v="0"/>
    <m/>
    <x v="0"/>
    <x v="0"/>
    <n v="0.15579000000000001"/>
    <m/>
    <x v="1"/>
    <x v="0"/>
    <x v="0"/>
    <x v="3"/>
    <x v="2"/>
  </r>
  <r>
    <s v="Singapore"/>
    <x v="5"/>
    <s v="SG2"/>
    <m/>
    <x v="5"/>
    <x v="1"/>
    <x v="0"/>
    <x v="5"/>
    <x v="0"/>
    <x v="0"/>
    <x v="0"/>
    <m/>
    <x v="0"/>
    <x v="0"/>
    <n v="-0.233685"/>
    <m/>
    <x v="0"/>
    <x v="2"/>
    <x v="0"/>
    <x v="0"/>
    <x v="2"/>
  </r>
  <r>
    <s v="Singapore"/>
    <x v="5"/>
    <s v="SG4"/>
    <m/>
    <x v="0"/>
    <x v="4"/>
    <x v="4"/>
    <x v="1"/>
    <x v="0"/>
    <x v="0"/>
    <x v="0"/>
    <m/>
    <x v="0"/>
    <x v="0"/>
    <n v="-3.0846420000000001"/>
    <m/>
    <x v="4"/>
    <x v="1"/>
    <x v="0"/>
    <x v="5"/>
    <x v="2"/>
  </r>
  <r>
    <s v="Singapore"/>
    <x v="3"/>
    <s v="SG1"/>
    <m/>
    <x v="3"/>
    <x v="3"/>
    <x v="2"/>
    <x v="1"/>
    <x v="0"/>
    <x v="0"/>
    <x v="0"/>
    <m/>
    <x v="0"/>
    <x v="0"/>
    <n v="-18.345736926000001"/>
    <m/>
    <x v="7"/>
    <x v="3"/>
    <x v="0"/>
    <x v="5"/>
    <x v="1"/>
  </r>
  <r>
    <s v="Singapore"/>
    <x v="1"/>
    <s v="SG1"/>
    <m/>
    <x v="1"/>
    <x v="3"/>
    <x v="2"/>
    <x v="3"/>
    <x v="0"/>
    <x v="0"/>
    <x v="0"/>
    <m/>
    <x v="0"/>
    <x v="0"/>
    <n v="-0.140211"/>
    <m/>
    <x v="0"/>
    <x v="1"/>
    <x v="0"/>
    <x v="3"/>
    <x v="0"/>
  </r>
  <r>
    <s v="Singapore"/>
    <x v="2"/>
    <s v="SG1"/>
    <m/>
    <x v="1"/>
    <x v="3"/>
    <x v="1"/>
    <x v="3"/>
    <x v="0"/>
    <x v="0"/>
    <x v="0"/>
    <m/>
    <x v="0"/>
    <x v="0"/>
    <n v="0.40711042800000002"/>
    <m/>
    <x v="8"/>
    <x v="1"/>
    <x v="0"/>
    <x v="4"/>
    <x v="2"/>
  </r>
  <r>
    <s v="Singapore"/>
    <x v="0"/>
    <s v="SG1"/>
    <m/>
    <x v="0"/>
    <x v="2"/>
    <x v="0"/>
    <x v="1"/>
    <x v="0"/>
    <x v="0"/>
    <x v="0"/>
    <m/>
    <x v="0"/>
    <x v="0"/>
    <n v="0.24926400000000001"/>
    <m/>
    <x v="1"/>
    <x v="1"/>
    <x v="0"/>
    <x v="1"/>
    <x v="1"/>
  </r>
  <r>
    <s v="Singapore"/>
    <x v="1"/>
    <s v="SG2"/>
    <m/>
    <x v="3"/>
    <x v="2"/>
    <x v="1"/>
    <x v="1"/>
    <x v="0"/>
    <x v="0"/>
    <x v="0"/>
    <m/>
    <x v="0"/>
    <x v="0"/>
    <n v="2.0252700000000002E-2"/>
    <m/>
    <x v="2"/>
    <x v="3"/>
    <x v="0"/>
    <x v="4"/>
    <x v="2"/>
  </r>
  <r>
    <s v="Singapore"/>
    <x v="3"/>
    <s v="SG1"/>
    <m/>
    <x v="5"/>
    <x v="2"/>
    <x v="0"/>
    <x v="2"/>
    <x v="0"/>
    <x v="0"/>
    <x v="0"/>
    <m/>
    <x v="0"/>
    <x v="0"/>
    <n v="0.74467620000000001"/>
    <m/>
    <x v="1"/>
    <x v="3"/>
    <x v="0"/>
    <x v="1"/>
    <x v="0"/>
  </r>
  <r>
    <s v="Singapore"/>
    <x v="4"/>
    <s v="SG4"/>
    <m/>
    <x v="5"/>
    <x v="2"/>
    <x v="2"/>
    <x v="4"/>
    <x v="0"/>
    <x v="0"/>
    <x v="0"/>
    <m/>
    <x v="0"/>
    <x v="0"/>
    <n v="-7.1276261849999996"/>
    <m/>
    <x v="0"/>
    <x v="3"/>
    <x v="0"/>
    <x v="3"/>
    <x v="0"/>
  </r>
  <r>
    <s v="Singapore"/>
    <x v="5"/>
    <s v="SG2"/>
    <m/>
    <x v="0"/>
    <x v="1"/>
    <x v="0"/>
    <x v="2"/>
    <x v="0"/>
    <x v="0"/>
    <x v="0"/>
    <m/>
    <x v="0"/>
    <x v="0"/>
    <n v="-0.77895000000000003"/>
    <m/>
    <x v="4"/>
    <x v="1"/>
    <x v="0"/>
    <x v="2"/>
    <x v="1"/>
  </r>
  <r>
    <s v="Singapore"/>
    <x v="2"/>
    <s v="SG2"/>
    <m/>
    <x v="0"/>
    <x v="0"/>
    <x v="4"/>
    <x v="3"/>
    <x v="0"/>
    <x v="0"/>
    <x v="0"/>
    <m/>
    <x v="0"/>
    <x v="0"/>
    <n v="0.15579000000000001"/>
    <m/>
    <x v="1"/>
    <x v="0"/>
    <x v="0"/>
    <x v="4"/>
    <x v="1"/>
  </r>
  <r>
    <s v="Singapore"/>
    <x v="5"/>
    <s v="SG2"/>
    <m/>
    <x v="3"/>
    <x v="1"/>
    <x v="0"/>
    <x v="4"/>
    <x v="0"/>
    <x v="0"/>
    <x v="0"/>
    <m/>
    <x v="0"/>
    <x v="0"/>
    <n v="-2.6640090000000001"/>
    <m/>
    <x v="4"/>
    <x v="1"/>
    <x v="0"/>
    <x v="1"/>
    <x v="2"/>
  </r>
  <r>
    <s v="Singapore"/>
    <x v="1"/>
    <s v="SG2"/>
    <m/>
    <x v="0"/>
    <x v="3"/>
    <x v="2"/>
    <x v="4"/>
    <x v="0"/>
    <x v="0"/>
    <x v="0"/>
    <m/>
    <x v="0"/>
    <x v="0"/>
    <n v="-3.8947500000000002E-4"/>
    <m/>
    <x v="6"/>
    <x v="2"/>
    <x v="0"/>
    <x v="2"/>
    <x v="2"/>
  </r>
  <r>
    <s v="Singapore"/>
    <x v="4"/>
    <s v="SG3"/>
    <m/>
    <x v="4"/>
    <x v="1"/>
    <x v="3"/>
    <x v="5"/>
    <x v="0"/>
    <x v="0"/>
    <x v="0"/>
    <m/>
    <x v="0"/>
    <x v="0"/>
    <n v="-50.878474623000002"/>
    <m/>
    <x v="7"/>
    <x v="3"/>
    <x v="0"/>
    <x v="4"/>
    <x v="2"/>
  </r>
  <r>
    <s v="Singapore"/>
    <x v="4"/>
    <s v="SG3"/>
    <m/>
    <x v="3"/>
    <x v="3"/>
    <x v="3"/>
    <x v="2"/>
    <x v="0"/>
    <x v="0"/>
    <x v="0"/>
    <m/>
    <x v="0"/>
    <x v="0"/>
    <n v="-0.21810600000000002"/>
    <m/>
    <x v="4"/>
    <x v="2"/>
    <x v="0"/>
    <x v="3"/>
    <x v="2"/>
  </r>
  <r>
    <s v="Singapore"/>
    <x v="4"/>
    <s v="SG4"/>
    <m/>
    <x v="2"/>
    <x v="2"/>
    <x v="4"/>
    <x v="3"/>
    <x v="0"/>
    <x v="0"/>
    <x v="0"/>
    <m/>
    <x v="0"/>
    <x v="0"/>
    <n v="-24.719012352"/>
    <m/>
    <x v="3"/>
    <x v="1"/>
    <x v="0"/>
    <x v="0"/>
    <x v="2"/>
  </r>
  <r>
    <s v="Singapore"/>
    <x v="5"/>
    <s v="SG2"/>
    <m/>
    <x v="0"/>
    <x v="2"/>
    <x v="3"/>
    <x v="3"/>
    <x v="0"/>
    <x v="0"/>
    <x v="0"/>
    <m/>
    <x v="0"/>
    <x v="0"/>
    <n v="-0.21810600000000002"/>
    <m/>
    <x v="1"/>
    <x v="2"/>
    <x v="0"/>
    <x v="2"/>
    <x v="1"/>
  </r>
  <r>
    <s v="Singapore"/>
    <x v="3"/>
    <s v="SG3"/>
    <m/>
    <x v="4"/>
    <x v="0"/>
    <x v="1"/>
    <x v="3"/>
    <x v="0"/>
    <x v="0"/>
    <x v="0"/>
    <m/>
    <x v="0"/>
    <x v="0"/>
    <n v="-10.593720000000001"/>
    <m/>
    <x v="4"/>
    <x v="1"/>
    <x v="0"/>
    <x v="5"/>
    <x v="2"/>
  </r>
  <r>
    <s v="Singapore"/>
    <x v="0"/>
    <s v="SG2"/>
    <m/>
    <x v="0"/>
    <x v="2"/>
    <x v="4"/>
    <x v="3"/>
    <x v="0"/>
    <x v="0"/>
    <x v="0"/>
    <m/>
    <x v="0"/>
    <x v="0"/>
    <n v="-0.148748292"/>
    <m/>
    <x v="0"/>
    <x v="2"/>
    <x v="0"/>
    <x v="1"/>
    <x v="1"/>
  </r>
  <r>
    <s v="Singapore"/>
    <x v="2"/>
    <s v="SG1"/>
    <m/>
    <x v="1"/>
    <x v="3"/>
    <x v="1"/>
    <x v="1"/>
    <x v="0"/>
    <x v="0"/>
    <x v="0"/>
    <m/>
    <x v="0"/>
    <x v="0"/>
    <n v="-1.86948"/>
    <m/>
    <x v="4"/>
    <x v="0"/>
    <x v="0"/>
    <x v="0"/>
    <x v="0"/>
  </r>
  <r>
    <s v="Singapore"/>
    <x v="1"/>
    <s v="SG3"/>
    <m/>
    <x v="2"/>
    <x v="1"/>
    <x v="4"/>
    <x v="5"/>
    <x v="0"/>
    <x v="0"/>
    <x v="0"/>
    <m/>
    <x v="0"/>
    <x v="0"/>
    <n v="-1.137267"/>
    <m/>
    <x v="4"/>
    <x v="1"/>
    <x v="0"/>
    <x v="5"/>
    <x v="1"/>
  </r>
  <r>
    <s v="Singapore"/>
    <x v="2"/>
    <s v="SG2"/>
    <m/>
    <x v="3"/>
    <x v="3"/>
    <x v="1"/>
    <x v="5"/>
    <x v="0"/>
    <x v="0"/>
    <x v="0"/>
    <m/>
    <x v="0"/>
    <x v="0"/>
    <n v="-10.234047627000001"/>
    <m/>
    <x v="0"/>
    <x v="3"/>
    <x v="0"/>
    <x v="0"/>
    <x v="1"/>
  </r>
  <r>
    <s v="Singapore"/>
    <x v="5"/>
    <s v="SG3"/>
    <m/>
    <x v="0"/>
    <x v="3"/>
    <x v="3"/>
    <x v="4"/>
    <x v="0"/>
    <x v="0"/>
    <x v="0"/>
    <m/>
    <x v="0"/>
    <x v="0"/>
    <n v="1.137267"/>
    <m/>
    <x v="1"/>
    <x v="0"/>
    <x v="0"/>
    <x v="2"/>
    <x v="1"/>
  </r>
  <r>
    <s v="Singapore"/>
    <x v="2"/>
    <s v="SG4"/>
    <m/>
    <x v="0"/>
    <x v="3"/>
    <x v="0"/>
    <x v="3"/>
    <x v="0"/>
    <x v="0"/>
    <x v="0"/>
    <m/>
    <x v="0"/>
    <x v="0"/>
    <n v="-4.6737000000000001E-2"/>
    <m/>
    <x v="0"/>
    <x v="3"/>
    <x v="0"/>
    <x v="3"/>
    <x v="1"/>
  </r>
  <r>
    <s v="Singapore"/>
    <x v="0"/>
    <s v="SG2"/>
    <m/>
    <x v="3"/>
    <x v="2"/>
    <x v="3"/>
    <x v="4"/>
    <x v="0"/>
    <x v="0"/>
    <x v="0"/>
    <m/>
    <x v="0"/>
    <x v="0"/>
    <n v="-6.2316000000000003E-2"/>
    <m/>
    <x v="0"/>
    <x v="3"/>
    <x v="0"/>
    <x v="5"/>
    <x v="0"/>
  </r>
  <r>
    <s v="Singapore"/>
    <x v="4"/>
    <s v="SG4"/>
    <m/>
    <x v="3"/>
    <x v="2"/>
    <x v="3"/>
    <x v="5"/>
    <x v="0"/>
    <x v="0"/>
    <x v="0"/>
    <m/>
    <x v="0"/>
    <x v="0"/>
    <n v="-0.29600100000000001"/>
    <m/>
    <x v="4"/>
    <x v="0"/>
    <x v="0"/>
    <x v="4"/>
    <x v="0"/>
  </r>
  <r>
    <s v="Singapore"/>
    <x v="0"/>
    <s v="SG2"/>
    <m/>
    <x v="0"/>
    <x v="0"/>
    <x v="1"/>
    <x v="1"/>
    <x v="0"/>
    <x v="0"/>
    <x v="0"/>
    <m/>
    <x v="0"/>
    <x v="0"/>
    <n v="-2.0971826640000004"/>
    <m/>
    <x v="4"/>
    <x v="1"/>
    <x v="0"/>
    <x v="3"/>
    <x v="2"/>
  </r>
  <r>
    <s v="Singapore"/>
    <x v="4"/>
    <s v="SG3"/>
    <m/>
    <x v="0"/>
    <x v="1"/>
    <x v="2"/>
    <x v="4"/>
    <x v="0"/>
    <x v="0"/>
    <x v="0"/>
    <m/>
    <x v="0"/>
    <x v="0"/>
    <n v="-0.38947500000000002"/>
    <m/>
    <x v="0"/>
    <x v="2"/>
    <x v="0"/>
    <x v="0"/>
    <x v="2"/>
  </r>
  <r>
    <s v="Singapore"/>
    <x v="0"/>
    <s v="SG3"/>
    <m/>
    <x v="1"/>
    <x v="2"/>
    <x v="3"/>
    <x v="1"/>
    <x v="0"/>
    <x v="0"/>
    <x v="0"/>
    <m/>
    <x v="0"/>
    <x v="0"/>
    <n v="-4.6724225219999997"/>
    <m/>
    <x v="7"/>
    <x v="1"/>
    <x v="0"/>
    <x v="4"/>
    <x v="2"/>
  </r>
  <r>
    <s v="Singapore"/>
    <x v="2"/>
    <s v="SG4"/>
    <m/>
    <x v="2"/>
    <x v="1"/>
    <x v="4"/>
    <x v="4"/>
    <x v="0"/>
    <x v="0"/>
    <x v="0"/>
    <m/>
    <x v="0"/>
    <x v="0"/>
    <n v="0.37389600000000001"/>
    <m/>
    <x v="1"/>
    <x v="2"/>
    <x v="0"/>
    <x v="3"/>
    <x v="0"/>
  </r>
  <r>
    <s v="Singapore"/>
    <x v="3"/>
    <s v="SG2"/>
    <m/>
    <x v="3"/>
    <x v="1"/>
    <x v="3"/>
    <x v="1"/>
    <x v="0"/>
    <x v="0"/>
    <x v="0"/>
    <m/>
    <x v="0"/>
    <x v="0"/>
    <n v="0.21810600000000002"/>
    <m/>
    <x v="4"/>
    <x v="1"/>
    <x v="0"/>
    <x v="4"/>
    <x v="2"/>
  </r>
  <r>
    <s v="Singapore"/>
    <x v="3"/>
    <s v="SG1"/>
    <m/>
    <x v="0"/>
    <x v="2"/>
    <x v="3"/>
    <x v="0"/>
    <x v="0"/>
    <x v="0"/>
    <x v="0"/>
    <m/>
    <x v="0"/>
    <x v="0"/>
    <n v="-4.6737000000000001E-2"/>
    <m/>
    <x v="0"/>
    <x v="0"/>
    <x v="0"/>
    <x v="0"/>
    <x v="0"/>
  </r>
  <r>
    <s v="Singapore"/>
    <x v="5"/>
    <s v="SG2"/>
    <m/>
    <x v="1"/>
    <x v="4"/>
    <x v="3"/>
    <x v="2"/>
    <x v="0"/>
    <x v="0"/>
    <x v="0"/>
    <m/>
    <x v="0"/>
    <x v="0"/>
    <n v="-0.77895000000000003"/>
    <m/>
    <x v="4"/>
    <x v="0"/>
    <x v="0"/>
    <x v="3"/>
    <x v="2"/>
  </r>
  <r>
    <s v="Singapore"/>
    <x v="5"/>
    <s v="SG1"/>
    <m/>
    <x v="0"/>
    <x v="3"/>
    <x v="4"/>
    <x v="5"/>
    <x v="0"/>
    <x v="0"/>
    <x v="0"/>
    <m/>
    <x v="0"/>
    <x v="0"/>
    <n v="-1.1995830000000001"/>
    <m/>
    <x v="4"/>
    <x v="1"/>
    <x v="0"/>
    <x v="0"/>
    <x v="2"/>
  </r>
  <r>
    <s v="Singapore"/>
    <x v="2"/>
    <s v="SG2"/>
    <m/>
    <x v="3"/>
    <x v="3"/>
    <x v="2"/>
    <x v="5"/>
    <x v="0"/>
    <x v="0"/>
    <x v="0"/>
    <m/>
    <x v="0"/>
    <x v="0"/>
    <n v="-1.5579000000000001E-2"/>
    <m/>
    <x v="0"/>
    <x v="0"/>
    <x v="0"/>
    <x v="0"/>
    <x v="0"/>
  </r>
  <r>
    <s v="Singapore"/>
    <x v="4"/>
    <s v="SG1"/>
    <m/>
    <x v="5"/>
    <x v="3"/>
    <x v="1"/>
    <x v="4"/>
    <x v="0"/>
    <x v="0"/>
    <x v="0"/>
    <m/>
    <x v="0"/>
    <x v="0"/>
    <n v="-0.37389600000000001"/>
    <m/>
    <x v="0"/>
    <x v="3"/>
    <x v="0"/>
    <x v="1"/>
    <x v="0"/>
  </r>
  <r>
    <s v="Singapore"/>
    <x v="5"/>
    <s v="SG2"/>
    <m/>
    <x v="4"/>
    <x v="3"/>
    <x v="2"/>
    <x v="1"/>
    <x v="0"/>
    <x v="0"/>
    <x v="0"/>
    <m/>
    <x v="0"/>
    <x v="0"/>
    <n v="1.8694800000000001E-2"/>
    <m/>
    <x v="3"/>
    <x v="3"/>
    <x v="0"/>
    <x v="2"/>
    <x v="2"/>
  </r>
  <r>
    <s v="Singapore"/>
    <x v="0"/>
    <s v="SG3"/>
    <m/>
    <x v="0"/>
    <x v="3"/>
    <x v="2"/>
    <x v="0"/>
    <x v="0"/>
    <x v="0"/>
    <x v="0"/>
    <m/>
    <x v="0"/>
    <x v="0"/>
    <n v="0.21031650000000002"/>
    <m/>
    <x v="1"/>
    <x v="3"/>
    <x v="0"/>
    <x v="0"/>
    <x v="1"/>
  </r>
  <r>
    <s v="Singapore"/>
    <x v="0"/>
    <s v="SG2"/>
    <m/>
    <x v="5"/>
    <x v="3"/>
    <x v="4"/>
    <x v="0"/>
    <x v="0"/>
    <x v="0"/>
    <x v="0"/>
    <m/>
    <x v="0"/>
    <x v="0"/>
    <n v="-0.38947500000000002"/>
    <m/>
    <x v="0"/>
    <x v="3"/>
    <x v="0"/>
    <x v="3"/>
    <x v="0"/>
  </r>
  <r>
    <s v="Singapore"/>
    <x v="3"/>
    <s v="SG4"/>
    <m/>
    <x v="3"/>
    <x v="0"/>
    <x v="1"/>
    <x v="2"/>
    <x v="0"/>
    <x v="0"/>
    <x v="0"/>
    <m/>
    <x v="0"/>
    <x v="0"/>
    <n v="-0.280141578"/>
    <m/>
    <x v="0"/>
    <x v="3"/>
    <x v="0"/>
    <x v="3"/>
    <x v="1"/>
  </r>
  <r>
    <s v="Singapore"/>
    <x v="3"/>
    <s v="SG3"/>
    <m/>
    <x v="4"/>
    <x v="1"/>
    <x v="1"/>
    <x v="5"/>
    <x v="0"/>
    <x v="0"/>
    <x v="0"/>
    <m/>
    <x v="0"/>
    <x v="0"/>
    <n v="-0.12463200000000001"/>
    <m/>
    <x v="8"/>
    <x v="1"/>
    <x v="0"/>
    <x v="1"/>
    <x v="2"/>
  </r>
  <r>
    <s v="Singapore"/>
    <x v="2"/>
    <s v="SG3"/>
    <m/>
    <x v="5"/>
    <x v="1"/>
    <x v="1"/>
    <x v="1"/>
    <x v="0"/>
    <x v="0"/>
    <x v="0"/>
    <m/>
    <x v="0"/>
    <x v="0"/>
    <n v="-7.7895000000000004E-4"/>
    <m/>
    <x v="6"/>
    <x v="2"/>
    <x v="0"/>
    <x v="0"/>
    <x v="0"/>
  </r>
  <r>
    <s v="Singapore"/>
    <x v="4"/>
    <s v="SG1"/>
    <m/>
    <x v="0"/>
    <x v="4"/>
    <x v="4"/>
    <x v="2"/>
    <x v="0"/>
    <x v="0"/>
    <x v="0"/>
    <m/>
    <x v="0"/>
    <x v="0"/>
    <n v="0.29600100000000001"/>
    <m/>
    <x v="8"/>
    <x v="0"/>
    <x v="0"/>
    <x v="0"/>
    <x v="0"/>
  </r>
  <r>
    <s v="Singapore"/>
    <x v="1"/>
    <s v="SG2"/>
    <m/>
    <x v="5"/>
    <x v="0"/>
    <x v="4"/>
    <x v="1"/>
    <x v="0"/>
    <x v="0"/>
    <x v="0"/>
    <m/>
    <x v="0"/>
    <x v="0"/>
    <n v="0.15579000000000001"/>
    <m/>
    <x v="1"/>
    <x v="0"/>
    <x v="0"/>
    <x v="2"/>
    <x v="0"/>
  </r>
  <r>
    <s v="Singapore"/>
    <x v="3"/>
    <s v="SG1"/>
    <m/>
    <x v="5"/>
    <x v="3"/>
    <x v="1"/>
    <x v="2"/>
    <x v="0"/>
    <x v="0"/>
    <x v="0"/>
    <m/>
    <x v="0"/>
    <x v="0"/>
    <n v="-0.42063300000000003"/>
    <m/>
    <x v="4"/>
    <x v="2"/>
    <x v="0"/>
    <x v="2"/>
    <x v="2"/>
  </r>
  <r>
    <s v="Singapore"/>
    <x v="0"/>
    <s v="SG4"/>
    <m/>
    <x v="1"/>
    <x v="1"/>
    <x v="0"/>
    <x v="4"/>
    <x v="0"/>
    <x v="0"/>
    <x v="0"/>
    <m/>
    <x v="0"/>
    <x v="0"/>
    <n v="-0.77895000000000003"/>
    <m/>
    <x v="4"/>
    <x v="2"/>
    <x v="0"/>
    <x v="5"/>
    <x v="0"/>
  </r>
  <r>
    <s v="Singapore"/>
    <x v="0"/>
    <s v="SG2"/>
    <m/>
    <x v="4"/>
    <x v="4"/>
    <x v="3"/>
    <x v="3"/>
    <x v="0"/>
    <x v="0"/>
    <x v="0"/>
    <m/>
    <x v="0"/>
    <x v="0"/>
    <n v="0.19863225000000001"/>
    <m/>
    <x v="8"/>
    <x v="0"/>
    <x v="0"/>
    <x v="5"/>
    <x v="1"/>
  </r>
  <r>
    <s v="Singapore"/>
    <x v="3"/>
    <s v="SG4"/>
    <m/>
    <x v="0"/>
    <x v="2"/>
    <x v="3"/>
    <x v="1"/>
    <x v="0"/>
    <x v="0"/>
    <x v="0"/>
    <m/>
    <x v="0"/>
    <x v="0"/>
    <n v="-0.84126600000000007"/>
    <m/>
    <x v="0"/>
    <x v="0"/>
    <x v="0"/>
    <x v="1"/>
    <x v="1"/>
  </r>
  <r>
    <s v="Singapore"/>
    <x v="0"/>
    <s v="SG3"/>
    <m/>
    <x v="4"/>
    <x v="2"/>
    <x v="4"/>
    <x v="1"/>
    <x v="0"/>
    <x v="0"/>
    <x v="0"/>
    <m/>
    <x v="0"/>
    <x v="0"/>
    <n v="-0.15579000000000001"/>
    <m/>
    <x v="1"/>
    <x v="3"/>
    <x v="0"/>
    <x v="2"/>
    <x v="1"/>
  </r>
  <r>
    <s v="Singapore"/>
    <x v="4"/>
    <s v="SG3"/>
    <m/>
    <x v="3"/>
    <x v="3"/>
    <x v="1"/>
    <x v="2"/>
    <x v="0"/>
    <x v="0"/>
    <x v="0"/>
    <m/>
    <x v="0"/>
    <x v="0"/>
    <n v="-4.6737000000000001E-2"/>
    <m/>
    <x v="0"/>
    <x v="3"/>
    <x v="0"/>
    <x v="1"/>
    <x v="1"/>
  </r>
  <r>
    <s v="Singapore"/>
    <x v="4"/>
    <s v="SG2"/>
    <m/>
    <x v="0"/>
    <x v="4"/>
    <x v="4"/>
    <x v="1"/>
    <x v="0"/>
    <x v="0"/>
    <x v="0"/>
    <m/>
    <x v="0"/>
    <x v="0"/>
    <n v="0.1838322"/>
    <m/>
    <x v="4"/>
    <x v="0"/>
    <x v="0"/>
    <x v="5"/>
    <x v="0"/>
  </r>
  <r>
    <s v="Singapore"/>
    <x v="3"/>
    <s v="SG3"/>
    <m/>
    <x v="1"/>
    <x v="2"/>
    <x v="0"/>
    <x v="1"/>
    <x v="0"/>
    <x v="0"/>
    <x v="0"/>
    <m/>
    <x v="0"/>
    <x v="0"/>
    <n v="1.137267"/>
    <m/>
    <x v="1"/>
    <x v="1"/>
    <x v="0"/>
    <x v="1"/>
    <x v="2"/>
  </r>
  <r>
    <s v="Singapore"/>
    <x v="4"/>
    <s v="SG2"/>
    <m/>
    <x v="1"/>
    <x v="1"/>
    <x v="0"/>
    <x v="5"/>
    <x v="0"/>
    <x v="0"/>
    <x v="0"/>
    <m/>
    <x v="0"/>
    <x v="0"/>
    <n v="0.43621200000000004"/>
    <m/>
    <x v="1"/>
    <x v="0"/>
    <x v="0"/>
    <x v="1"/>
    <x v="2"/>
  </r>
  <r>
    <s v="Singapore"/>
    <x v="5"/>
    <s v="SG3"/>
    <m/>
    <x v="4"/>
    <x v="1"/>
    <x v="2"/>
    <x v="3"/>
    <x v="0"/>
    <x v="0"/>
    <x v="0"/>
    <m/>
    <x v="0"/>
    <x v="0"/>
    <n v="0.178410708"/>
    <m/>
    <x v="1"/>
    <x v="3"/>
    <x v="0"/>
    <x v="2"/>
    <x v="1"/>
  </r>
  <r>
    <s v="Singapore"/>
    <x v="0"/>
    <s v="SG1"/>
    <m/>
    <x v="0"/>
    <x v="0"/>
    <x v="3"/>
    <x v="5"/>
    <x v="0"/>
    <x v="0"/>
    <x v="0"/>
    <m/>
    <x v="0"/>
    <x v="0"/>
    <n v="74.37414600000001"/>
    <m/>
    <x v="1"/>
    <x v="2"/>
    <x v="0"/>
    <x v="2"/>
    <x v="2"/>
  </r>
  <r>
    <s v="Singapore"/>
    <x v="3"/>
    <s v="SG1"/>
    <m/>
    <x v="4"/>
    <x v="1"/>
    <x v="2"/>
    <x v="5"/>
    <x v="0"/>
    <x v="0"/>
    <x v="0"/>
    <m/>
    <x v="0"/>
    <x v="0"/>
    <n v="2.7652725"/>
    <m/>
    <x v="1"/>
    <x v="0"/>
    <x v="0"/>
    <x v="1"/>
    <x v="1"/>
  </r>
  <r>
    <s v="Singapore"/>
    <x v="0"/>
    <s v="SG4"/>
    <m/>
    <x v="0"/>
    <x v="0"/>
    <x v="2"/>
    <x v="3"/>
    <x v="0"/>
    <x v="0"/>
    <x v="0"/>
    <m/>
    <x v="0"/>
    <x v="0"/>
    <n v="50.013575280000005"/>
    <m/>
    <x v="5"/>
    <x v="0"/>
    <x v="0"/>
    <x v="5"/>
    <x v="0"/>
  </r>
  <r>
    <s v="Singapore"/>
    <x v="0"/>
    <s v="SG4"/>
    <m/>
    <x v="2"/>
    <x v="3"/>
    <x v="4"/>
    <x v="3"/>
    <x v="0"/>
    <x v="0"/>
    <x v="0"/>
    <m/>
    <x v="0"/>
    <x v="0"/>
    <n v="0.92695050000000001"/>
    <m/>
    <x v="1"/>
    <x v="1"/>
    <x v="0"/>
    <x v="1"/>
    <x v="1"/>
  </r>
  <r>
    <s v="Singapore"/>
    <x v="5"/>
    <s v="SG4"/>
    <m/>
    <x v="0"/>
    <x v="2"/>
    <x v="1"/>
    <x v="2"/>
    <x v="0"/>
    <x v="0"/>
    <x v="0"/>
    <m/>
    <x v="0"/>
    <x v="0"/>
    <n v="9.3474000000000005E-3"/>
    <m/>
    <x v="3"/>
    <x v="1"/>
    <x v="0"/>
    <x v="5"/>
    <x v="2"/>
  </r>
  <r>
    <s v="Singapore"/>
    <x v="2"/>
    <s v="SG3"/>
    <m/>
    <x v="2"/>
    <x v="1"/>
    <x v="4"/>
    <x v="3"/>
    <x v="0"/>
    <x v="0"/>
    <x v="0"/>
    <m/>
    <x v="0"/>
    <x v="0"/>
    <n v="-0.54750837600000002"/>
    <m/>
    <x v="1"/>
    <x v="0"/>
    <x v="0"/>
    <x v="1"/>
    <x v="2"/>
  </r>
  <r>
    <s v="Singapore"/>
    <x v="5"/>
    <s v="SG4"/>
    <m/>
    <x v="4"/>
    <x v="1"/>
    <x v="1"/>
    <x v="0"/>
    <x v="0"/>
    <x v="0"/>
    <x v="0"/>
    <m/>
    <x v="0"/>
    <x v="0"/>
    <n v="2.7066954600000002"/>
    <m/>
    <x v="5"/>
    <x v="0"/>
    <x v="0"/>
    <x v="5"/>
    <x v="0"/>
  </r>
  <r>
    <s v="Singapore"/>
    <x v="2"/>
    <s v="SG3"/>
    <m/>
    <x v="3"/>
    <x v="1"/>
    <x v="3"/>
    <x v="3"/>
    <x v="0"/>
    <x v="0"/>
    <x v="0"/>
    <m/>
    <x v="0"/>
    <x v="0"/>
    <n v="1.4566365000000001"/>
    <m/>
    <x v="1"/>
    <x v="0"/>
    <x v="0"/>
    <x v="2"/>
    <x v="0"/>
  </r>
  <r>
    <s v="Singapore"/>
    <x v="4"/>
    <s v="SG1"/>
    <m/>
    <x v="3"/>
    <x v="4"/>
    <x v="0"/>
    <x v="0"/>
    <x v="0"/>
    <x v="0"/>
    <x v="0"/>
    <m/>
    <x v="0"/>
    <x v="0"/>
    <n v="-0.39913398"/>
    <m/>
    <x v="3"/>
    <x v="2"/>
    <x v="0"/>
    <x v="2"/>
    <x v="2"/>
  </r>
  <r>
    <s v="Singapore"/>
    <x v="2"/>
    <s v="SG4"/>
    <m/>
    <x v="2"/>
    <x v="2"/>
    <x v="0"/>
    <x v="0"/>
    <x v="0"/>
    <x v="0"/>
    <x v="0"/>
    <m/>
    <x v="0"/>
    <x v="0"/>
    <n v="-0.46737000000000001"/>
    <m/>
    <x v="0"/>
    <x v="0"/>
    <x v="0"/>
    <x v="3"/>
    <x v="2"/>
  </r>
  <r>
    <s v="Singapore"/>
    <x v="1"/>
    <s v="SG4"/>
    <m/>
    <x v="1"/>
    <x v="2"/>
    <x v="2"/>
    <x v="1"/>
    <x v="0"/>
    <x v="0"/>
    <x v="0"/>
    <m/>
    <x v="0"/>
    <x v="0"/>
    <n v="-0.42063300000000003"/>
    <m/>
    <x v="4"/>
    <x v="1"/>
    <x v="0"/>
    <x v="1"/>
    <x v="1"/>
  </r>
  <r>
    <s v="Singapore"/>
    <x v="1"/>
    <s v="SG1"/>
    <m/>
    <x v="4"/>
    <x v="4"/>
    <x v="0"/>
    <x v="5"/>
    <x v="0"/>
    <x v="0"/>
    <x v="0"/>
    <m/>
    <x v="0"/>
    <x v="0"/>
    <n v="-0.17136900000000002"/>
    <m/>
    <x v="0"/>
    <x v="0"/>
    <x v="0"/>
    <x v="4"/>
    <x v="0"/>
  </r>
  <r>
    <s v="Singapore"/>
    <x v="3"/>
    <s v="SG4"/>
    <m/>
    <x v="0"/>
    <x v="1"/>
    <x v="1"/>
    <x v="5"/>
    <x v="0"/>
    <x v="0"/>
    <x v="0"/>
    <m/>
    <x v="0"/>
    <x v="0"/>
    <n v="-1.469130858"/>
    <m/>
    <x v="4"/>
    <x v="0"/>
    <x v="0"/>
    <x v="3"/>
    <x v="1"/>
  </r>
  <r>
    <s v="Singapore"/>
    <x v="1"/>
    <s v="SG1"/>
    <m/>
    <x v="0"/>
    <x v="1"/>
    <x v="1"/>
    <x v="4"/>
    <x v="0"/>
    <x v="0"/>
    <x v="0"/>
    <m/>
    <x v="0"/>
    <x v="0"/>
    <n v="5.0102063999999995E-2"/>
    <m/>
    <x v="0"/>
    <x v="0"/>
    <x v="0"/>
    <x v="3"/>
    <x v="1"/>
  </r>
  <r>
    <s v="Singapore"/>
    <x v="2"/>
    <s v="SG1"/>
    <m/>
    <x v="1"/>
    <x v="4"/>
    <x v="4"/>
    <x v="3"/>
    <x v="0"/>
    <x v="0"/>
    <x v="0"/>
    <m/>
    <x v="0"/>
    <x v="0"/>
    <n v="0.1838322"/>
    <m/>
    <x v="4"/>
    <x v="0"/>
    <x v="0"/>
    <x v="0"/>
    <x v="1"/>
  </r>
  <r>
    <s v="Singapore"/>
    <x v="0"/>
    <s v="SG1"/>
    <m/>
    <x v="5"/>
    <x v="3"/>
    <x v="4"/>
    <x v="0"/>
    <x v="0"/>
    <x v="0"/>
    <x v="0"/>
    <m/>
    <x v="0"/>
    <x v="0"/>
    <n v="1.2272357250000001"/>
    <m/>
    <x v="1"/>
    <x v="0"/>
    <x v="0"/>
    <x v="0"/>
    <x v="1"/>
  </r>
  <r>
    <s v="Singapore"/>
    <x v="1"/>
    <s v="SG3"/>
    <m/>
    <x v="4"/>
    <x v="4"/>
    <x v="0"/>
    <x v="2"/>
    <x v="0"/>
    <x v="0"/>
    <x v="0"/>
    <m/>
    <x v="0"/>
    <x v="0"/>
    <n v="-0.77895000000000003"/>
    <m/>
    <x v="4"/>
    <x v="3"/>
    <x v="0"/>
    <x v="3"/>
    <x v="1"/>
  </r>
  <r>
    <s v="Singapore"/>
    <x v="0"/>
    <s v="SG1"/>
    <m/>
    <x v="3"/>
    <x v="1"/>
    <x v="3"/>
    <x v="5"/>
    <x v="0"/>
    <x v="0"/>
    <x v="0"/>
    <m/>
    <x v="0"/>
    <x v="0"/>
    <n v="-0.30690630000000002"/>
    <m/>
    <x v="0"/>
    <x v="2"/>
    <x v="0"/>
    <x v="2"/>
    <x v="1"/>
  </r>
  <r>
    <s v="Singapore"/>
    <x v="3"/>
    <s v="SG1"/>
    <m/>
    <x v="1"/>
    <x v="1"/>
    <x v="0"/>
    <x v="1"/>
    <x v="0"/>
    <x v="0"/>
    <x v="0"/>
    <m/>
    <x v="0"/>
    <x v="0"/>
    <n v="1.5005692800000001"/>
    <m/>
    <x v="1"/>
    <x v="2"/>
    <x v="0"/>
    <x v="4"/>
    <x v="0"/>
  </r>
  <r>
    <s v="Singapore"/>
    <x v="3"/>
    <s v="SG2"/>
    <m/>
    <x v="2"/>
    <x v="3"/>
    <x v="4"/>
    <x v="1"/>
    <x v="0"/>
    <x v="0"/>
    <x v="0"/>
    <m/>
    <x v="0"/>
    <x v="0"/>
    <n v="-7.7895000000000006E-2"/>
    <m/>
    <x v="0"/>
    <x v="0"/>
    <x v="0"/>
    <x v="4"/>
    <x v="2"/>
  </r>
  <r>
    <s v="Singapore"/>
    <x v="4"/>
    <s v="SG3"/>
    <m/>
    <x v="2"/>
    <x v="3"/>
    <x v="2"/>
    <x v="1"/>
    <x v="0"/>
    <x v="0"/>
    <x v="0"/>
    <m/>
    <x v="0"/>
    <x v="0"/>
    <n v="-2.0252700000000002E-2"/>
    <m/>
    <x v="3"/>
    <x v="3"/>
    <x v="0"/>
    <x v="1"/>
    <x v="1"/>
  </r>
  <r>
    <s v="Singapore"/>
    <x v="1"/>
    <s v="SG4"/>
    <m/>
    <x v="3"/>
    <x v="4"/>
    <x v="0"/>
    <x v="4"/>
    <x v="0"/>
    <x v="0"/>
    <x v="0"/>
    <m/>
    <x v="0"/>
    <x v="0"/>
    <n v="-7.7895000000000006E-2"/>
    <m/>
    <x v="0"/>
    <x v="0"/>
    <x v="0"/>
    <x v="5"/>
    <x v="2"/>
  </r>
  <r>
    <s v="Singapore"/>
    <x v="5"/>
    <s v="SG3"/>
    <m/>
    <x v="1"/>
    <x v="0"/>
    <x v="4"/>
    <x v="4"/>
    <x v="0"/>
    <x v="0"/>
    <x v="0"/>
    <m/>
    <x v="0"/>
    <x v="0"/>
    <n v="-9.6589799999999997"/>
    <m/>
    <x v="1"/>
    <x v="3"/>
    <x v="0"/>
    <x v="4"/>
    <x v="1"/>
  </r>
  <r>
    <s v="Singapore"/>
    <x v="0"/>
    <s v="SG1"/>
    <m/>
    <x v="4"/>
    <x v="0"/>
    <x v="1"/>
    <x v="1"/>
    <x v="0"/>
    <x v="0"/>
    <x v="0"/>
    <m/>
    <x v="0"/>
    <x v="0"/>
    <n v="-2.33685E-2"/>
    <m/>
    <x v="0"/>
    <x v="1"/>
    <x v="0"/>
    <x v="0"/>
    <x v="1"/>
  </r>
  <r>
    <s v="Singapore"/>
    <x v="3"/>
    <s v="SG4"/>
    <m/>
    <x v="2"/>
    <x v="0"/>
    <x v="1"/>
    <x v="1"/>
    <x v="0"/>
    <x v="0"/>
    <x v="0"/>
    <m/>
    <x v="0"/>
    <x v="0"/>
    <n v="-0.204349743"/>
    <m/>
    <x v="0"/>
    <x v="2"/>
    <x v="0"/>
    <x v="3"/>
    <x v="0"/>
  </r>
  <r>
    <s v="Singapore"/>
    <x v="0"/>
    <s v="SG1"/>
    <m/>
    <x v="1"/>
    <x v="2"/>
    <x v="0"/>
    <x v="2"/>
    <x v="0"/>
    <x v="0"/>
    <x v="0"/>
    <m/>
    <x v="0"/>
    <x v="0"/>
    <n v="-0.12463200000000001"/>
    <m/>
    <x v="0"/>
    <x v="0"/>
    <x v="0"/>
    <x v="0"/>
    <x v="2"/>
  </r>
  <r>
    <s v="Singapore"/>
    <x v="2"/>
    <s v="SG4"/>
    <m/>
    <x v="1"/>
    <x v="0"/>
    <x v="3"/>
    <x v="0"/>
    <x v="0"/>
    <x v="0"/>
    <x v="0"/>
    <m/>
    <x v="0"/>
    <x v="0"/>
    <n v="-2.33685E-2"/>
    <m/>
    <x v="3"/>
    <x v="1"/>
    <x v="0"/>
    <x v="3"/>
    <x v="1"/>
  </r>
  <r>
    <s v="Singapore"/>
    <x v="5"/>
    <s v="SG2"/>
    <m/>
    <x v="5"/>
    <x v="1"/>
    <x v="2"/>
    <x v="0"/>
    <x v="0"/>
    <x v="0"/>
    <x v="0"/>
    <m/>
    <x v="0"/>
    <x v="0"/>
    <n v="-0.140211"/>
    <m/>
    <x v="0"/>
    <x v="1"/>
    <x v="0"/>
    <x v="3"/>
    <x v="1"/>
  </r>
  <r>
    <s v="Singapore"/>
    <x v="3"/>
    <s v="SG4"/>
    <m/>
    <x v="5"/>
    <x v="4"/>
    <x v="3"/>
    <x v="2"/>
    <x v="0"/>
    <x v="0"/>
    <x v="0"/>
    <m/>
    <x v="0"/>
    <x v="0"/>
    <n v="0.18640273500000001"/>
    <m/>
    <x v="9"/>
    <x v="0"/>
    <x v="0"/>
    <x v="3"/>
    <x v="0"/>
  </r>
  <r>
    <s v="Singapore"/>
    <x v="3"/>
    <s v="SG1"/>
    <m/>
    <x v="2"/>
    <x v="0"/>
    <x v="2"/>
    <x v="2"/>
    <x v="0"/>
    <x v="0"/>
    <x v="0"/>
    <m/>
    <x v="0"/>
    <x v="0"/>
    <n v="-9.6200325000000007"/>
    <m/>
    <x v="0"/>
    <x v="2"/>
    <x v="0"/>
    <x v="0"/>
    <x v="0"/>
  </r>
  <r>
    <s v="Singapore"/>
    <x v="5"/>
    <s v="SG1"/>
    <m/>
    <x v="1"/>
    <x v="1"/>
    <x v="2"/>
    <x v="4"/>
    <x v="0"/>
    <x v="0"/>
    <x v="0"/>
    <m/>
    <x v="0"/>
    <x v="0"/>
    <n v="-3.5831700000000004"/>
    <m/>
    <x v="1"/>
    <x v="1"/>
    <x v="0"/>
    <x v="0"/>
    <x v="2"/>
  </r>
  <r>
    <s v="Singapore"/>
    <x v="1"/>
    <s v="SG3"/>
    <m/>
    <x v="5"/>
    <x v="3"/>
    <x v="2"/>
    <x v="2"/>
    <x v="0"/>
    <x v="0"/>
    <x v="0"/>
    <m/>
    <x v="0"/>
    <x v="0"/>
    <n v="-0.21810600000000002"/>
    <m/>
    <x v="4"/>
    <x v="0"/>
    <x v="0"/>
    <x v="0"/>
    <x v="2"/>
  </r>
  <r>
    <s v="Singapore"/>
    <x v="0"/>
    <s v="SG2"/>
    <m/>
    <x v="0"/>
    <x v="3"/>
    <x v="4"/>
    <x v="1"/>
    <x v="0"/>
    <x v="0"/>
    <x v="0"/>
    <m/>
    <x v="0"/>
    <x v="0"/>
    <n v="0.77895000000000003"/>
    <m/>
    <x v="3"/>
    <x v="1"/>
    <x v="0"/>
    <x v="3"/>
    <x v="2"/>
  </r>
  <r>
    <s v="Singapore"/>
    <x v="0"/>
    <s v="SG1"/>
    <m/>
    <x v="1"/>
    <x v="3"/>
    <x v="4"/>
    <x v="1"/>
    <x v="0"/>
    <x v="0"/>
    <x v="0"/>
    <m/>
    <x v="0"/>
    <x v="0"/>
    <n v="-8.5061340000000012"/>
    <m/>
    <x v="1"/>
    <x v="1"/>
    <x v="0"/>
    <x v="3"/>
    <x v="0"/>
  </r>
  <r>
    <s v="Singapore"/>
    <x v="3"/>
    <s v="SG3"/>
    <m/>
    <x v="2"/>
    <x v="3"/>
    <x v="1"/>
    <x v="3"/>
    <x v="0"/>
    <x v="0"/>
    <x v="0"/>
    <m/>
    <x v="0"/>
    <x v="0"/>
    <n v="-2.0252700000000002E-2"/>
    <m/>
    <x v="3"/>
    <x v="0"/>
    <x v="0"/>
    <x v="3"/>
    <x v="0"/>
  </r>
  <r>
    <s v="Singapore"/>
    <x v="1"/>
    <s v="SG1"/>
    <m/>
    <x v="4"/>
    <x v="4"/>
    <x v="3"/>
    <x v="5"/>
    <x v="0"/>
    <x v="0"/>
    <x v="0"/>
    <m/>
    <x v="0"/>
    <x v="0"/>
    <n v="-83.955230999999998"/>
    <m/>
    <x v="4"/>
    <x v="2"/>
    <x v="0"/>
    <x v="1"/>
    <x v="0"/>
  </r>
  <r>
    <s v="Singapore"/>
    <x v="3"/>
    <s v="SG1"/>
    <m/>
    <x v="5"/>
    <x v="2"/>
    <x v="4"/>
    <x v="2"/>
    <x v="0"/>
    <x v="0"/>
    <x v="0"/>
    <m/>
    <x v="0"/>
    <x v="0"/>
    <n v="0.707769549"/>
    <m/>
    <x v="8"/>
    <x v="1"/>
    <x v="0"/>
    <x v="0"/>
    <x v="2"/>
  </r>
  <r>
    <s v="Singapore"/>
    <x v="3"/>
    <s v="SG4"/>
    <m/>
    <x v="5"/>
    <x v="1"/>
    <x v="0"/>
    <x v="2"/>
    <x v="0"/>
    <x v="0"/>
    <x v="0"/>
    <m/>
    <x v="0"/>
    <x v="0"/>
    <n v="-0.1838322"/>
    <m/>
    <x v="4"/>
    <x v="0"/>
    <x v="0"/>
    <x v="2"/>
    <x v="2"/>
  </r>
  <r>
    <s v="Singapore"/>
    <x v="1"/>
    <s v="SG3"/>
    <m/>
    <x v="1"/>
    <x v="0"/>
    <x v="4"/>
    <x v="1"/>
    <x v="0"/>
    <x v="0"/>
    <x v="0"/>
    <m/>
    <x v="0"/>
    <x v="0"/>
    <n v="0.15579000000000001"/>
    <m/>
    <x v="8"/>
    <x v="3"/>
    <x v="0"/>
    <x v="0"/>
    <x v="2"/>
  </r>
  <r>
    <s v="Singapore"/>
    <x v="0"/>
    <s v="SG1"/>
    <m/>
    <x v="3"/>
    <x v="2"/>
    <x v="2"/>
    <x v="4"/>
    <x v="0"/>
    <x v="0"/>
    <x v="0"/>
    <m/>
    <x v="0"/>
    <x v="0"/>
    <n v="-0.1838322"/>
    <m/>
    <x v="4"/>
    <x v="0"/>
    <x v="0"/>
    <x v="2"/>
    <x v="2"/>
  </r>
  <r>
    <s v="Singapore"/>
    <x v="5"/>
    <s v="SG4"/>
    <m/>
    <x v="1"/>
    <x v="0"/>
    <x v="4"/>
    <x v="3"/>
    <x v="0"/>
    <x v="0"/>
    <x v="0"/>
    <m/>
    <x v="0"/>
    <x v="0"/>
    <n v="1.5108046830000001"/>
    <m/>
    <x v="1"/>
    <x v="3"/>
    <x v="0"/>
    <x v="1"/>
    <x v="2"/>
  </r>
  <r>
    <s v="Singapore"/>
    <x v="5"/>
    <s v="SG1"/>
    <m/>
    <x v="4"/>
    <x v="3"/>
    <x v="4"/>
    <x v="2"/>
    <x v="0"/>
    <x v="0"/>
    <x v="0"/>
    <m/>
    <x v="0"/>
    <x v="0"/>
    <n v="0.12463200000000001"/>
    <m/>
    <x v="0"/>
    <x v="2"/>
    <x v="0"/>
    <x v="4"/>
    <x v="1"/>
  </r>
  <r>
    <s v="Singapore"/>
    <x v="2"/>
    <s v="SG2"/>
    <m/>
    <x v="2"/>
    <x v="4"/>
    <x v="1"/>
    <x v="5"/>
    <x v="0"/>
    <x v="0"/>
    <x v="0"/>
    <m/>
    <x v="0"/>
    <x v="0"/>
    <n v="-0.10905300000000001"/>
    <m/>
    <x v="4"/>
    <x v="1"/>
    <x v="0"/>
    <x v="3"/>
    <x v="0"/>
  </r>
  <r>
    <s v="Singapore"/>
    <x v="0"/>
    <s v="SG4"/>
    <m/>
    <x v="3"/>
    <x v="3"/>
    <x v="2"/>
    <x v="3"/>
    <x v="0"/>
    <x v="0"/>
    <x v="0"/>
    <m/>
    <x v="0"/>
    <x v="0"/>
    <n v="-4.6737000000000001E-2"/>
    <m/>
    <x v="0"/>
    <x v="1"/>
    <x v="0"/>
    <x v="0"/>
    <x v="1"/>
  </r>
  <r>
    <s v="Singapore"/>
    <x v="1"/>
    <s v="SG2"/>
    <m/>
    <x v="5"/>
    <x v="1"/>
    <x v="1"/>
    <x v="5"/>
    <x v="0"/>
    <x v="0"/>
    <x v="0"/>
    <m/>
    <x v="0"/>
    <x v="0"/>
    <n v="8.0683641E-2"/>
    <m/>
    <x v="8"/>
    <x v="1"/>
    <x v="0"/>
    <x v="4"/>
    <x v="1"/>
  </r>
  <r>
    <s v="Singapore"/>
    <x v="2"/>
    <s v="SG4"/>
    <m/>
    <x v="4"/>
    <x v="4"/>
    <x v="4"/>
    <x v="0"/>
    <x v="0"/>
    <x v="0"/>
    <x v="0"/>
    <m/>
    <x v="0"/>
    <x v="0"/>
    <n v="-1.5579000000000001E-2"/>
    <m/>
    <x v="0"/>
    <x v="0"/>
    <x v="0"/>
    <x v="5"/>
    <x v="1"/>
  </r>
  <r>
    <s v="Singapore"/>
    <x v="1"/>
    <s v="SG2"/>
    <m/>
    <x v="5"/>
    <x v="2"/>
    <x v="4"/>
    <x v="3"/>
    <x v="0"/>
    <x v="0"/>
    <x v="0"/>
    <m/>
    <x v="0"/>
    <x v="0"/>
    <n v="-27.716910480000003"/>
    <m/>
    <x v="2"/>
    <x v="2"/>
    <x v="0"/>
    <x v="4"/>
    <x v="1"/>
  </r>
  <r>
    <s v="Singapore"/>
    <x v="0"/>
    <s v="SG4"/>
    <m/>
    <x v="2"/>
    <x v="1"/>
    <x v="1"/>
    <x v="1"/>
    <x v="0"/>
    <x v="0"/>
    <x v="0"/>
    <m/>
    <x v="0"/>
    <x v="0"/>
    <n v="-4.6737000000000001E-2"/>
    <m/>
    <x v="0"/>
    <x v="2"/>
    <x v="0"/>
    <x v="5"/>
    <x v="2"/>
  </r>
  <r>
    <s v="Singapore"/>
    <x v="2"/>
    <s v="SG4"/>
    <m/>
    <x v="0"/>
    <x v="4"/>
    <x v="3"/>
    <x v="5"/>
    <x v="0"/>
    <x v="0"/>
    <x v="0"/>
    <m/>
    <x v="0"/>
    <x v="0"/>
    <n v="0.25705349999999999"/>
    <m/>
    <x v="1"/>
    <x v="2"/>
    <x v="0"/>
    <x v="0"/>
    <x v="0"/>
  </r>
  <r>
    <s v="Singapore"/>
    <x v="2"/>
    <s v="SG1"/>
    <m/>
    <x v="3"/>
    <x v="1"/>
    <x v="4"/>
    <x v="5"/>
    <x v="0"/>
    <x v="0"/>
    <x v="0"/>
    <m/>
    <x v="0"/>
    <x v="0"/>
    <n v="130.24044000000001"/>
    <m/>
    <x v="4"/>
    <x v="0"/>
    <x v="0"/>
    <x v="1"/>
    <x v="1"/>
  </r>
  <r>
    <s v="Singapore"/>
    <x v="4"/>
    <s v="SG4"/>
    <m/>
    <x v="1"/>
    <x v="2"/>
    <x v="0"/>
    <x v="0"/>
    <x v="0"/>
    <x v="0"/>
    <x v="0"/>
    <m/>
    <x v="0"/>
    <x v="0"/>
    <n v="-1.8414378000000002E-2"/>
    <m/>
    <x v="8"/>
    <x v="0"/>
    <x v="0"/>
    <x v="0"/>
    <x v="1"/>
  </r>
  <r>
    <s v="Singapore"/>
    <x v="2"/>
    <s v="SG2"/>
    <m/>
    <x v="2"/>
    <x v="1"/>
    <x v="2"/>
    <x v="2"/>
    <x v="0"/>
    <x v="0"/>
    <x v="0"/>
    <m/>
    <x v="0"/>
    <x v="0"/>
    <n v="-1.5579000000000001E-2"/>
    <m/>
    <x v="0"/>
    <x v="3"/>
    <x v="0"/>
    <x v="1"/>
    <x v="0"/>
  </r>
  <r>
    <s v="Singapore"/>
    <x v="0"/>
    <s v="SG3"/>
    <m/>
    <x v="5"/>
    <x v="4"/>
    <x v="1"/>
    <x v="4"/>
    <x v="0"/>
    <x v="0"/>
    <x v="0"/>
    <m/>
    <x v="0"/>
    <x v="0"/>
    <n v="-2.4069555"/>
    <m/>
    <x v="3"/>
    <x v="3"/>
    <x v="0"/>
    <x v="5"/>
    <x v="1"/>
  </r>
  <r>
    <s v="Singapore"/>
    <x v="4"/>
    <s v="SG4"/>
    <m/>
    <x v="4"/>
    <x v="3"/>
    <x v="0"/>
    <x v="4"/>
    <x v="0"/>
    <x v="0"/>
    <x v="0"/>
    <m/>
    <x v="0"/>
    <x v="0"/>
    <n v="-4.6737000000000001E-2"/>
    <m/>
    <x v="0"/>
    <x v="3"/>
    <x v="0"/>
    <x v="1"/>
    <x v="1"/>
  </r>
  <r>
    <s v="Singapore"/>
    <x v="3"/>
    <s v="SG2"/>
    <m/>
    <x v="4"/>
    <x v="3"/>
    <x v="0"/>
    <x v="2"/>
    <x v="0"/>
    <x v="0"/>
    <x v="0"/>
    <m/>
    <x v="0"/>
    <x v="0"/>
    <n v="0.186948"/>
    <m/>
    <x v="1"/>
    <x v="2"/>
    <x v="0"/>
    <x v="1"/>
    <x v="2"/>
  </r>
  <r>
    <s v="Singapore"/>
    <x v="3"/>
    <s v="SG3"/>
    <m/>
    <x v="3"/>
    <x v="3"/>
    <x v="0"/>
    <x v="1"/>
    <x v="0"/>
    <x v="0"/>
    <x v="0"/>
    <m/>
    <x v="0"/>
    <x v="0"/>
    <n v="0.37389600000000001"/>
    <m/>
    <x v="1"/>
    <x v="1"/>
    <x v="0"/>
    <x v="4"/>
    <x v="0"/>
  </r>
  <r>
    <s v="Singapore"/>
    <x v="2"/>
    <s v="SG1"/>
    <m/>
    <x v="0"/>
    <x v="1"/>
    <x v="0"/>
    <x v="2"/>
    <x v="0"/>
    <x v="0"/>
    <x v="0"/>
    <m/>
    <x v="0"/>
    <x v="0"/>
    <n v="-8.1431433000000011E-2"/>
    <m/>
    <x v="0"/>
    <x v="2"/>
    <x v="0"/>
    <x v="2"/>
    <x v="0"/>
  </r>
  <r>
    <s v="Singapore"/>
    <x v="0"/>
    <s v="SG4"/>
    <m/>
    <x v="0"/>
    <x v="0"/>
    <x v="0"/>
    <x v="3"/>
    <x v="0"/>
    <x v="0"/>
    <x v="0"/>
    <m/>
    <x v="0"/>
    <x v="0"/>
    <n v="1.86948"/>
    <m/>
    <x v="1"/>
    <x v="3"/>
    <x v="0"/>
    <x v="2"/>
    <x v="2"/>
  </r>
  <r>
    <s v="Singapore"/>
    <x v="4"/>
    <s v="SG3"/>
    <m/>
    <x v="2"/>
    <x v="4"/>
    <x v="1"/>
    <x v="2"/>
    <x v="0"/>
    <x v="0"/>
    <x v="0"/>
    <m/>
    <x v="0"/>
    <x v="0"/>
    <n v="-0.77895000000000003"/>
    <m/>
    <x v="0"/>
    <x v="0"/>
    <x v="0"/>
    <x v="2"/>
    <x v="2"/>
  </r>
  <r>
    <s v="Singapore"/>
    <x v="4"/>
    <s v="SG2"/>
    <m/>
    <x v="2"/>
    <x v="3"/>
    <x v="1"/>
    <x v="5"/>
    <x v="0"/>
    <x v="0"/>
    <x v="0"/>
    <m/>
    <x v="0"/>
    <x v="0"/>
    <n v="0.21031650000000002"/>
    <m/>
    <x v="1"/>
    <x v="3"/>
    <x v="0"/>
    <x v="1"/>
    <x v="2"/>
  </r>
  <r>
    <s v="Singapore"/>
    <x v="0"/>
    <s v="SG1"/>
    <m/>
    <x v="5"/>
    <x v="3"/>
    <x v="2"/>
    <x v="4"/>
    <x v="0"/>
    <x v="0"/>
    <x v="0"/>
    <m/>
    <x v="0"/>
    <x v="0"/>
    <n v="-0.10905300000000001"/>
    <m/>
    <x v="4"/>
    <x v="1"/>
    <x v="0"/>
    <x v="3"/>
    <x v="1"/>
  </r>
  <r>
    <s v="Singapore"/>
    <x v="0"/>
    <s v="SG3"/>
    <m/>
    <x v="3"/>
    <x v="3"/>
    <x v="1"/>
    <x v="0"/>
    <x v="0"/>
    <x v="0"/>
    <x v="0"/>
    <m/>
    <x v="0"/>
    <x v="0"/>
    <n v="0.22852835100000002"/>
    <m/>
    <x v="1"/>
    <x v="0"/>
    <x v="0"/>
    <x v="1"/>
    <x v="2"/>
  </r>
  <r>
    <s v="Singapore"/>
    <x v="3"/>
    <s v="SG4"/>
    <m/>
    <x v="0"/>
    <x v="1"/>
    <x v="4"/>
    <x v="2"/>
    <x v="0"/>
    <x v="0"/>
    <x v="0"/>
    <m/>
    <x v="0"/>
    <x v="0"/>
    <n v="5.6707560000000008E-3"/>
    <m/>
    <x v="7"/>
    <x v="0"/>
    <x v="0"/>
    <x v="3"/>
    <x v="1"/>
  </r>
  <r>
    <s v="Singapore"/>
    <x v="1"/>
    <s v="SG4"/>
    <m/>
    <x v="2"/>
    <x v="2"/>
    <x v="2"/>
    <x v="1"/>
    <x v="0"/>
    <x v="0"/>
    <x v="0"/>
    <m/>
    <x v="0"/>
    <x v="0"/>
    <n v="-19.240065000000001"/>
    <m/>
    <x v="2"/>
    <x v="3"/>
    <x v="0"/>
    <x v="0"/>
    <x v="0"/>
  </r>
  <r>
    <s v="Singapore"/>
    <x v="3"/>
    <s v="SG1"/>
    <m/>
    <x v="5"/>
    <x v="4"/>
    <x v="0"/>
    <x v="4"/>
    <x v="0"/>
    <x v="0"/>
    <x v="0"/>
    <m/>
    <x v="0"/>
    <x v="0"/>
    <n v="0.15968475000000001"/>
    <m/>
    <x v="7"/>
    <x v="3"/>
    <x v="0"/>
    <x v="4"/>
    <x v="1"/>
  </r>
  <r>
    <s v="Singapore"/>
    <x v="1"/>
    <s v="SG3"/>
    <m/>
    <x v="1"/>
    <x v="3"/>
    <x v="2"/>
    <x v="0"/>
    <x v="0"/>
    <x v="0"/>
    <x v="0"/>
    <m/>
    <x v="0"/>
    <x v="0"/>
    <n v="-0.12463200000000001"/>
    <m/>
    <x v="4"/>
    <x v="1"/>
    <x v="0"/>
    <x v="2"/>
    <x v="0"/>
  </r>
  <r>
    <s v="Singapore"/>
    <x v="3"/>
    <s v="SG2"/>
    <m/>
    <x v="5"/>
    <x v="3"/>
    <x v="0"/>
    <x v="2"/>
    <x v="0"/>
    <x v="0"/>
    <x v="0"/>
    <m/>
    <x v="0"/>
    <x v="0"/>
    <n v="-0.42063300000000003"/>
    <m/>
    <x v="4"/>
    <x v="1"/>
    <x v="0"/>
    <x v="5"/>
    <x v="2"/>
  </r>
  <r>
    <s v="Singapore"/>
    <x v="1"/>
    <s v="SG2"/>
    <m/>
    <x v="2"/>
    <x v="2"/>
    <x v="4"/>
    <x v="0"/>
    <x v="0"/>
    <x v="0"/>
    <x v="0"/>
    <m/>
    <x v="0"/>
    <x v="0"/>
    <n v="-0.77895000000000003"/>
    <m/>
    <x v="4"/>
    <x v="2"/>
    <x v="0"/>
    <x v="4"/>
    <x v="1"/>
  </r>
  <r>
    <s v="Singapore"/>
    <x v="1"/>
    <s v="SG1"/>
    <m/>
    <x v="4"/>
    <x v="0"/>
    <x v="1"/>
    <x v="0"/>
    <x v="0"/>
    <x v="0"/>
    <x v="0"/>
    <m/>
    <x v="0"/>
    <x v="0"/>
    <n v="0.44400150000000005"/>
    <m/>
    <x v="1"/>
    <x v="3"/>
    <x v="0"/>
    <x v="1"/>
    <x v="2"/>
  </r>
  <r>
    <s v="Singapore"/>
    <x v="0"/>
    <s v="SG3"/>
    <m/>
    <x v="1"/>
    <x v="0"/>
    <x v="2"/>
    <x v="1"/>
    <x v="0"/>
    <x v="0"/>
    <x v="0"/>
    <m/>
    <x v="0"/>
    <x v="0"/>
    <n v="-4.6737000000000001E-2"/>
    <m/>
    <x v="0"/>
    <x v="1"/>
    <x v="0"/>
    <x v="4"/>
    <x v="2"/>
  </r>
  <r>
    <s v="Singapore"/>
    <x v="0"/>
    <s v="SG2"/>
    <m/>
    <x v="3"/>
    <x v="1"/>
    <x v="4"/>
    <x v="2"/>
    <x v="0"/>
    <x v="0"/>
    <x v="0"/>
    <m/>
    <x v="0"/>
    <x v="0"/>
    <n v="-9.3474000000000002E-2"/>
    <m/>
    <x v="0"/>
    <x v="0"/>
    <x v="0"/>
    <x v="4"/>
    <x v="2"/>
  </r>
  <r>
    <s v="Singapore"/>
    <x v="1"/>
    <s v="SG3"/>
    <m/>
    <x v="4"/>
    <x v="1"/>
    <x v="1"/>
    <x v="3"/>
    <x v="0"/>
    <x v="0"/>
    <x v="0"/>
    <m/>
    <x v="0"/>
    <x v="0"/>
    <n v="-0.233685"/>
    <m/>
    <x v="1"/>
    <x v="2"/>
    <x v="0"/>
    <x v="4"/>
    <x v="2"/>
  </r>
  <r>
    <s v="Singapore"/>
    <x v="2"/>
    <s v="SG1"/>
    <m/>
    <x v="4"/>
    <x v="1"/>
    <x v="0"/>
    <x v="1"/>
    <x v="0"/>
    <x v="0"/>
    <x v="0"/>
    <m/>
    <x v="0"/>
    <x v="0"/>
    <n v="-1.5579000000000001E-2"/>
    <m/>
    <x v="0"/>
    <x v="1"/>
    <x v="0"/>
    <x v="5"/>
    <x v="2"/>
  </r>
  <r>
    <s v="Singapore"/>
    <x v="5"/>
    <s v="SG3"/>
    <m/>
    <x v="3"/>
    <x v="0"/>
    <x v="1"/>
    <x v="0"/>
    <x v="0"/>
    <x v="0"/>
    <x v="0"/>
    <m/>
    <x v="0"/>
    <x v="0"/>
    <n v="-0.1838322"/>
    <m/>
    <x v="4"/>
    <x v="3"/>
    <x v="0"/>
    <x v="0"/>
    <x v="0"/>
  </r>
  <r>
    <s v="Singapore"/>
    <x v="0"/>
    <s v="SG1"/>
    <m/>
    <x v="5"/>
    <x v="4"/>
    <x v="2"/>
    <x v="2"/>
    <x v="0"/>
    <x v="0"/>
    <x v="0"/>
    <m/>
    <x v="0"/>
    <x v="0"/>
    <n v="-4.6737000000000001E-2"/>
    <m/>
    <x v="0"/>
    <x v="0"/>
    <x v="0"/>
    <x v="5"/>
    <x v="2"/>
  </r>
  <r>
    <s v="Singapore"/>
    <x v="1"/>
    <s v="SG1"/>
    <m/>
    <x v="2"/>
    <x v="2"/>
    <x v="0"/>
    <x v="5"/>
    <x v="0"/>
    <x v="0"/>
    <x v="0"/>
    <m/>
    <x v="0"/>
    <x v="0"/>
    <n v="5.6084399999999999"/>
    <m/>
    <x v="1"/>
    <x v="2"/>
    <x v="0"/>
    <x v="3"/>
    <x v="1"/>
  </r>
  <r>
    <s v="Singapore"/>
    <x v="1"/>
    <s v="SG3"/>
    <m/>
    <x v="3"/>
    <x v="2"/>
    <x v="1"/>
    <x v="0"/>
    <x v="0"/>
    <x v="0"/>
    <x v="0"/>
    <m/>
    <x v="0"/>
    <x v="0"/>
    <n v="-1.074951"/>
    <m/>
    <x v="0"/>
    <x v="1"/>
    <x v="0"/>
    <x v="0"/>
    <x v="1"/>
  </r>
  <r>
    <s v="Singapore"/>
    <x v="0"/>
    <s v="SG4"/>
    <m/>
    <x v="3"/>
    <x v="1"/>
    <x v="2"/>
    <x v="4"/>
    <x v="0"/>
    <x v="0"/>
    <x v="0"/>
    <m/>
    <x v="0"/>
    <x v="0"/>
    <n v="3.1158000000000002E-2"/>
    <m/>
    <x v="6"/>
    <x v="1"/>
    <x v="0"/>
    <x v="3"/>
    <x v="2"/>
  </r>
  <r>
    <s v="Singapore"/>
    <x v="1"/>
    <s v="SG1"/>
    <m/>
    <x v="3"/>
    <x v="0"/>
    <x v="3"/>
    <x v="2"/>
    <x v="0"/>
    <x v="0"/>
    <x v="0"/>
    <m/>
    <x v="0"/>
    <x v="0"/>
    <n v="-3.1158000000000002E-2"/>
    <m/>
    <x v="0"/>
    <x v="0"/>
    <x v="0"/>
    <x v="5"/>
    <x v="0"/>
  </r>
  <r>
    <s v="Singapore"/>
    <x v="4"/>
    <s v="SG1"/>
    <m/>
    <x v="3"/>
    <x v="2"/>
    <x v="4"/>
    <x v="4"/>
    <x v="0"/>
    <x v="0"/>
    <x v="0"/>
    <m/>
    <x v="0"/>
    <x v="0"/>
    <n v="-0.15579000000000001"/>
    <m/>
    <x v="0"/>
    <x v="2"/>
    <x v="0"/>
    <x v="4"/>
    <x v="2"/>
  </r>
  <r>
    <s v="Singapore"/>
    <x v="2"/>
    <s v="SG1"/>
    <m/>
    <x v="5"/>
    <x v="0"/>
    <x v="3"/>
    <x v="2"/>
    <x v="0"/>
    <x v="0"/>
    <x v="0"/>
    <m/>
    <x v="0"/>
    <x v="0"/>
    <n v="0.12463200000000001"/>
    <m/>
    <x v="0"/>
    <x v="0"/>
    <x v="0"/>
    <x v="4"/>
    <x v="2"/>
  </r>
  <r>
    <s v="Singapore"/>
    <x v="4"/>
    <s v="SG1"/>
    <m/>
    <x v="0"/>
    <x v="1"/>
    <x v="4"/>
    <x v="4"/>
    <x v="0"/>
    <x v="0"/>
    <x v="0"/>
    <m/>
    <x v="0"/>
    <x v="0"/>
    <n v="0.70105499999999998"/>
    <m/>
    <x v="0"/>
    <x v="0"/>
    <x v="0"/>
    <x v="4"/>
    <x v="2"/>
  </r>
  <r>
    <s v="Singapore"/>
    <x v="5"/>
    <s v="SG2"/>
    <m/>
    <x v="4"/>
    <x v="4"/>
    <x v="4"/>
    <x v="2"/>
    <x v="0"/>
    <x v="0"/>
    <x v="0"/>
    <m/>
    <x v="0"/>
    <x v="0"/>
    <n v="-0.92685702600000008"/>
    <m/>
    <x v="8"/>
    <x v="1"/>
    <x v="0"/>
    <x v="3"/>
    <x v="0"/>
  </r>
  <r>
    <s v="Singapore"/>
    <x v="4"/>
    <s v="SG2"/>
    <m/>
    <x v="0"/>
    <x v="2"/>
    <x v="0"/>
    <x v="1"/>
    <x v="0"/>
    <x v="0"/>
    <x v="0"/>
    <m/>
    <x v="0"/>
    <x v="0"/>
    <n v="1.0671615000000001"/>
    <m/>
    <x v="1"/>
    <x v="2"/>
    <x v="0"/>
    <x v="1"/>
    <x v="2"/>
  </r>
  <r>
    <s v="Singapore"/>
    <x v="4"/>
    <s v="SG1"/>
    <m/>
    <x v="0"/>
    <x v="3"/>
    <x v="3"/>
    <x v="5"/>
    <x v="0"/>
    <x v="0"/>
    <x v="0"/>
    <m/>
    <x v="0"/>
    <x v="0"/>
    <n v="0.46737000000000001"/>
    <m/>
    <x v="1"/>
    <x v="0"/>
    <x v="0"/>
    <x v="0"/>
    <x v="1"/>
  </r>
  <r>
    <s v="Singapore"/>
    <x v="2"/>
    <s v="SG4"/>
    <m/>
    <x v="5"/>
    <x v="1"/>
    <x v="3"/>
    <x v="0"/>
    <x v="0"/>
    <x v="0"/>
    <x v="0"/>
    <m/>
    <x v="0"/>
    <x v="0"/>
    <n v="-0.24926400000000001"/>
    <m/>
    <x v="0"/>
    <x v="3"/>
    <x v="0"/>
    <x v="1"/>
    <x v="0"/>
  </r>
  <r>
    <s v="Singapore"/>
    <x v="4"/>
    <s v="SG1"/>
    <m/>
    <x v="5"/>
    <x v="4"/>
    <x v="3"/>
    <x v="2"/>
    <x v="0"/>
    <x v="0"/>
    <x v="0"/>
    <m/>
    <x v="0"/>
    <x v="0"/>
    <n v="-2.0252699999999999"/>
    <m/>
    <x v="3"/>
    <x v="3"/>
    <x v="0"/>
    <x v="3"/>
    <x v="0"/>
  </r>
  <r>
    <s v="Singapore"/>
    <x v="4"/>
    <s v="SG2"/>
    <m/>
    <x v="0"/>
    <x v="0"/>
    <x v="3"/>
    <x v="4"/>
    <x v="0"/>
    <x v="0"/>
    <x v="0"/>
    <m/>
    <x v="0"/>
    <x v="0"/>
    <n v="-0.233685"/>
    <m/>
    <x v="0"/>
    <x v="0"/>
    <x v="0"/>
    <x v="5"/>
    <x v="1"/>
  </r>
  <r>
    <s v="Singapore"/>
    <x v="5"/>
    <s v="SG4"/>
    <m/>
    <x v="5"/>
    <x v="4"/>
    <x v="0"/>
    <x v="2"/>
    <x v="0"/>
    <x v="0"/>
    <x v="0"/>
    <m/>
    <x v="0"/>
    <x v="0"/>
    <n v="19.941120000000002"/>
    <m/>
    <x v="1"/>
    <x v="3"/>
    <x v="0"/>
    <x v="0"/>
    <x v="0"/>
  </r>
  <r>
    <s v="Singapore"/>
    <x v="3"/>
    <s v="SG1"/>
    <m/>
    <x v="5"/>
    <x v="0"/>
    <x v="3"/>
    <x v="3"/>
    <x v="0"/>
    <x v="0"/>
    <x v="0"/>
    <m/>
    <x v="0"/>
    <x v="0"/>
    <n v="-1.7949968010000001"/>
    <m/>
    <x v="4"/>
    <x v="2"/>
    <x v="0"/>
    <x v="5"/>
    <x v="2"/>
  </r>
  <r>
    <s v="Singapore"/>
    <x v="4"/>
    <s v="SG3"/>
    <m/>
    <x v="0"/>
    <x v="3"/>
    <x v="2"/>
    <x v="4"/>
    <x v="0"/>
    <x v="0"/>
    <x v="0"/>
    <m/>
    <x v="0"/>
    <x v="0"/>
    <n v="-3.4333000200000003"/>
    <m/>
    <x v="2"/>
    <x v="2"/>
    <x v="0"/>
    <x v="0"/>
    <x v="0"/>
  </r>
  <r>
    <s v="Singapore"/>
    <x v="3"/>
    <s v="SG1"/>
    <m/>
    <x v="2"/>
    <x v="1"/>
    <x v="2"/>
    <x v="5"/>
    <x v="0"/>
    <x v="0"/>
    <x v="0"/>
    <m/>
    <x v="0"/>
    <x v="0"/>
    <n v="-0.36196248600000003"/>
    <m/>
    <x v="0"/>
    <x v="0"/>
    <x v="0"/>
    <x v="1"/>
    <x v="2"/>
  </r>
  <r>
    <s v="Singapore"/>
    <x v="5"/>
    <s v="SG3"/>
    <m/>
    <x v="1"/>
    <x v="2"/>
    <x v="2"/>
    <x v="0"/>
    <x v="0"/>
    <x v="0"/>
    <x v="0"/>
    <m/>
    <x v="0"/>
    <x v="0"/>
    <n v="-2.265949971"/>
    <m/>
    <x v="0"/>
    <x v="2"/>
    <x v="0"/>
    <x v="5"/>
    <x v="1"/>
  </r>
  <r>
    <s v="Singapore"/>
    <x v="3"/>
    <s v="SG1"/>
    <m/>
    <x v="4"/>
    <x v="3"/>
    <x v="1"/>
    <x v="1"/>
    <x v="0"/>
    <x v="0"/>
    <x v="0"/>
    <m/>
    <x v="0"/>
    <x v="0"/>
    <n v="-3.6339108030000005"/>
    <m/>
    <x v="2"/>
    <x v="0"/>
    <x v="0"/>
    <x v="5"/>
    <x v="2"/>
  </r>
  <r>
    <s v="Singapore"/>
    <x v="3"/>
    <s v="SG1"/>
    <m/>
    <x v="0"/>
    <x v="2"/>
    <x v="1"/>
    <x v="5"/>
    <x v="0"/>
    <x v="0"/>
    <x v="0"/>
    <m/>
    <x v="0"/>
    <x v="0"/>
    <n v="0.12463200000000001"/>
    <m/>
    <x v="0"/>
    <x v="2"/>
    <x v="0"/>
    <x v="4"/>
    <x v="0"/>
  </r>
  <r>
    <s v="Singapore"/>
    <x v="0"/>
    <s v="SG3"/>
    <m/>
    <x v="4"/>
    <x v="1"/>
    <x v="2"/>
    <x v="0"/>
    <x v="0"/>
    <x v="0"/>
    <x v="0"/>
    <m/>
    <x v="0"/>
    <x v="0"/>
    <n v="-0.1838322"/>
    <m/>
    <x v="4"/>
    <x v="1"/>
    <x v="0"/>
    <x v="2"/>
    <x v="2"/>
  </r>
  <r>
    <s v="Singapore"/>
    <x v="1"/>
    <s v="SG2"/>
    <m/>
    <x v="3"/>
    <x v="1"/>
    <x v="2"/>
    <x v="5"/>
    <x v="0"/>
    <x v="0"/>
    <x v="0"/>
    <m/>
    <x v="0"/>
    <x v="0"/>
    <n v="6.2316000000000003E-3"/>
    <m/>
    <x v="6"/>
    <x v="1"/>
    <x v="0"/>
    <x v="1"/>
    <x v="2"/>
  </r>
  <r>
    <s v="Singapore"/>
    <x v="1"/>
    <s v="SG2"/>
    <m/>
    <x v="3"/>
    <x v="0"/>
    <x v="0"/>
    <x v="3"/>
    <x v="0"/>
    <x v="0"/>
    <x v="0"/>
    <m/>
    <x v="0"/>
    <x v="0"/>
    <n v="0.34273800000000004"/>
    <m/>
    <x v="1"/>
    <x v="2"/>
    <x v="0"/>
    <x v="2"/>
    <x v="0"/>
  </r>
  <r>
    <s v="Singapore"/>
    <x v="3"/>
    <s v="SG4"/>
    <m/>
    <x v="3"/>
    <x v="4"/>
    <x v="4"/>
    <x v="5"/>
    <x v="0"/>
    <x v="0"/>
    <x v="0"/>
    <m/>
    <x v="0"/>
    <x v="0"/>
    <n v="-0.31158000000000002"/>
    <m/>
    <x v="0"/>
    <x v="0"/>
    <x v="0"/>
    <x v="3"/>
    <x v="0"/>
  </r>
  <r>
    <s v="Singapore"/>
    <x v="4"/>
    <s v="SG1"/>
    <m/>
    <x v="5"/>
    <x v="3"/>
    <x v="2"/>
    <x v="0"/>
    <x v="0"/>
    <x v="0"/>
    <x v="0"/>
    <m/>
    <x v="0"/>
    <x v="0"/>
    <n v="-0.46737000000000001"/>
    <m/>
    <x v="2"/>
    <x v="3"/>
    <x v="0"/>
    <x v="0"/>
    <x v="0"/>
  </r>
  <r>
    <s v="Singapore"/>
    <x v="0"/>
    <s v="SG4"/>
    <m/>
    <x v="1"/>
    <x v="2"/>
    <x v="1"/>
    <x v="5"/>
    <x v="0"/>
    <x v="0"/>
    <x v="0"/>
    <m/>
    <x v="0"/>
    <x v="0"/>
    <n v="0.62316000000000005"/>
    <m/>
    <x v="1"/>
    <x v="3"/>
    <x v="0"/>
    <x v="3"/>
    <x v="2"/>
  </r>
  <r>
    <s v="Singapore"/>
    <x v="0"/>
    <s v="SG1"/>
    <m/>
    <x v="2"/>
    <x v="1"/>
    <x v="1"/>
    <x v="2"/>
    <x v="0"/>
    <x v="0"/>
    <x v="0"/>
    <m/>
    <x v="0"/>
    <x v="0"/>
    <n v="-9.3474000000000002E-2"/>
    <m/>
    <x v="0"/>
    <x v="3"/>
    <x v="0"/>
    <x v="0"/>
    <x v="2"/>
  </r>
  <r>
    <s v="Singapore"/>
    <x v="0"/>
    <s v="SG3"/>
    <m/>
    <x v="2"/>
    <x v="0"/>
    <x v="2"/>
    <x v="2"/>
    <x v="0"/>
    <x v="0"/>
    <x v="0"/>
    <m/>
    <x v="0"/>
    <x v="0"/>
    <n v="2.6484300000000003"/>
    <m/>
    <x v="1"/>
    <x v="1"/>
    <x v="0"/>
    <x v="0"/>
    <x v="0"/>
  </r>
  <r>
    <s v="Singapore"/>
    <x v="5"/>
    <s v="SG3"/>
    <m/>
    <x v="0"/>
    <x v="1"/>
    <x v="1"/>
    <x v="5"/>
    <x v="0"/>
    <x v="0"/>
    <x v="0"/>
    <m/>
    <x v="0"/>
    <x v="0"/>
    <n v="-0.1838322"/>
    <m/>
    <x v="4"/>
    <x v="1"/>
    <x v="0"/>
    <x v="5"/>
    <x v="2"/>
  </r>
  <r>
    <s v="Singapore"/>
    <x v="5"/>
    <s v="SG2"/>
    <m/>
    <x v="3"/>
    <x v="3"/>
    <x v="2"/>
    <x v="4"/>
    <x v="0"/>
    <x v="0"/>
    <x v="0"/>
    <m/>
    <x v="0"/>
    <x v="0"/>
    <n v="-2.7001055430000003"/>
    <m/>
    <x v="3"/>
    <x v="1"/>
    <x v="0"/>
    <x v="3"/>
    <x v="1"/>
  </r>
  <r>
    <s v="Singapore"/>
    <x v="5"/>
    <s v="SG2"/>
    <m/>
    <x v="3"/>
    <x v="2"/>
    <x v="1"/>
    <x v="2"/>
    <x v="0"/>
    <x v="0"/>
    <x v="0"/>
    <m/>
    <x v="0"/>
    <x v="0"/>
    <n v="-2.118744"/>
    <m/>
    <x v="0"/>
    <x v="2"/>
    <x v="0"/>
    <x v="1"/>
    <x v="2"/>
  </r>
  <r>
    <s v="Singapore"/>
    <x v="5"/>
    <s v="SG1"/>
    <m/>
    <x v="0"/>
    <x v="3"/>
    <x v="4"/>
    <x v="5"/>
    <x v="0"/>
    <x v="0"/>
    <x v="0"/>
    <m/>
    <x v="0"/>
    <x v="0"/>
    <n v="3.5831700000000004"/>
    <m/>
    <x v="11"/>
    <x v="3"/>
    <x v="0"/>
    <x v="3"/>
    <x v="2"/>
  </r>
  <r>
    <s v="Singapore"/>
    <x v="1"/>
    <s v="SG4"/>
    <m/>
    <x v="5"/>
    <x v="3"/>
    <x v="0"/>
    <x v="5"/>
    <x v="0"/>
    <x v="0"/>
    <x v="0"/>
    <m/>
    <x v="0"/>
    <x v="0"/>
    <n v="2.8197990000000002"/>
    <m/>
    <x v="8"/>
    <x v="3"/>
    <x v="0"/>
    <x v="3"/>
    <x v="2"/>
  </r>
  <r>
    <s v="Singapore"/>
    <x v="2"/>
    <s v="SG4"/>
    <m/>
    <x v="1"/>
    <x v="3"/>
    <x v="1"/>
    <x v="2"/>
    <x v="0"/>
    <x v="0"/>
    <x v="0"/>
    <m/>
    <x v="0"/>
    <x v="0"/>
    <n v="-0.17136900000000002"/>
    <m/>
    <x v="4"/>
    <x v="3"/>
    <x v="0"/>
    <x v="4"/>
    <x v="1"/>
  </r>
  <r>
    <s v="Singapore"/>
    <x v="5"/>
    <s v="SG1"/>
    <m/>
    <x v="4"/>
    <x v="3"/>
    <x v="3"/>
    <x v="1"/>
    <x v="0"/>
    <x v="0"/>
    <x v="0"/>
    <m/>
    <x v="0"/>
    <x v="0"/>
    <n v="-8.5684500000000011E-2"/>
    <m/>
    <x v="0"/>
    <x v="2"/>
    <x v="0"/>
    <x v="0"/>
    <x v="0"/>
  </r>
  <r>
    <s v="Singapore"/>
    <x v="5"/>
    <s v="SG3"/>
    <m/>
    <x v="4"/>
    <x v="3"/>
    <x v="4"/>
    <x v="3"/>
    <x v="0"/>
    <x v="0"/>
    <x v="0"/>
    <m/>
    <x v="0"/>
    <x v="0"/>
    <n v="-7.7895000000000006E-2"/>
    <m/>
    <x v="0"/>
    <x v="2"/>
    <x v="0"/>
    <x v="2"/>
    <x v="2"/>
  </r>
  <r>
    <s v="Singapore"/>
    <x v="5"/>
    <s v="SG3"/>
    <m/>
    <x v="3"/>
    <x v="1"/>
    <x v="1"/>
    <x v="2"/>
    <x v="0"/>
    <x v="0"/>
    <x v="0"/>
    <m/>
    <x v="0"/>
    <x v="0"/>
    <n v="14.95584"/>
    <m/>
    <x v="5"/>
    <x v="2"/>
    <x v="0"/>
    <x v="3"/>
    <x v="1"/>
  </r>
  <r>
    <s v="Singapore"/>
    <x v="3"/>
    <s v="SG1"/>
    <m/>
    <x v="5"/>
    <x v="2"/>
    <x v="3"/>
    <x v="5"/>
    <x v="0"/>
    <x v="0"/>
    <x v="0"/>
    <m/>
    <x v="0"/>
    <x v="0"/>
    <n v="3.8246445000000002"/>
    <m/>
    <x v="1"/>
    <x v="1"/>
    <x v="0"/>
    <x v="4"/>
    <x v="0"/>
  </r>
  <r>
    <s v="Singapore"/>
    <x v="5"/>
    <s v="SG4"/>
    <m/>
    <x v="0"/>
    <x v="2"/>
    <x v="4"/>
    <x v="4"/>
    <x v="0"/>
    <x v="0"/>
    <x v="0"/>
    <m/>
    <x v="0"/>
    <x v="0"/>
    <n v="-9.3474000000000002E-2"/>
    <m/>
    <x v="0"/>
    <x v="3"/>
    <x v="0"/>
    <x v="1"/>
    <x v="2"/>
  </r>
  <r>
    <s v="Singapore"/>
    <x v="4"/>
    <s v="SG4"/>
    <m/>
    <x v="1"/>
    <x v="0"/>
    <x v="3"/>
    <x v="5"/>
    <x v="0"/>
    <x v="0"/>
    <x v="0"/>
    <m/>
    <x v="0"/>
    <x v="0"/>
    <n v="-0.15579000000000001"/>
    <m/>
    <x v="0"/>
    <x v="0"/>
    <x v="0"/>
    <x v="3"/>
    <x v="1"/>
  </r>
  <r>
    <s v="Singapore"/>
    <x v="4"/>
    <s v="SG2"/>
    <m/>
    <x v="5"/>
    <x v="2"/>
    <x v="2"/>
    <x v="3"/>
    <x v="0"/>
    <x v="0"/>
    <x v="0"/>
    <m/>
    <x v="0"/>
    <x v="0"/>
    <n v="0.15579000000000001"/>
    <m/>
    <x v="1"/>
    <x v="3"/>
    <x v="0"/>
    <x v="4"/>
    <x v="2"/>
  </r>
  <r>
    <s v="Singapore"/>
    <x v="2"/>
    <s v="SG1"/>
    <m/>
    <x v="0"/>
    <x v="2"/>
    <x v="1"/>
    <x v="3"/>
    <x v="0"/>
    <x v="0"/>
    <x v="0"/>
    <m/>
    <x v="0"/>
    <x v="0"/>
    <n v="-0.15579000000000001"/>
    <m/>
    <x v="0"/>
    <x v="0"/>
    <x v="0"/>
    <x v="4"/>
    <x v="0"/>
  </r>
  <r>
    <s v="Singapore"/>
    <x v="2"/>
    <s v="SG1"/>
    <m/>
    <x v="2"/>
    <x v="4"/>
    <x v="3"/>
    <x v="1"/>
    <x v="0"/>
    <x v="0"/>
    <x v="0"/>
    <m/>
    <x v="0"/>
    <x v="0"/>
    <n v="-1.40211"/>
    <m/>
    <x v="4"/>
    <x v="1"/>
    <x v="0"/>
    <x v="3"/>
    <x v="2"/>
  </r>
  <r>
    <s v="Singapore"/>
    <x v="3"/>
    <s v="SG3"/>
    <m/>
    <x v="2"/>
    <x v="4"/>
    <x v="2"/>
    <x v="5"/>
    <x v="0"/>
    <x v="0"/>
    <x v="0"/>
    <m/>
    <x v="0"/>
    <x v="0"/>
    <n v="-0.37389600000000001"/>
    <m/>
    <x v="0"/>
    <x v="2"/>
    <x v="0"/>
    <x v="3"/>
    <x v="0"/>
  </r>
  <r>
    <s v="Singapore"/>
    <x v="0"/>
    <s v="SG4"/>
    <m/>
    <x v="4"/>
    <x v="3"/>
    <x v="0"/>
    <x v="2"/>
    <x v="0"/>
    <x v="0"/>
    <x v="0"/>
    <m/>
    <x v="0"/>
    <x v="0"/>
    <n v="-0.20252700000000001"/>
    <m/>
    <x v="0"/>
    <x v="3"/>
    <x v="0"/>
    <x v="3"/>
    <x v="0"/>
  </r>
  <r>
    <s v="Singapore"/>
    <x v="4"/>
    <s v="SG3"/>
    <m/>
    <x v="5"/>
    <x v="3"/>
    <x v="0"/>
    <x v="1"/>
    <x v="0"/>
    <x v="0"/>
    <x v="0"/>
    <m/>
    <x v="0"/>
    <x v="0"/>
    <n v="-3.8947500000000002"/>
    <m/>
    <x v="7"/>
    <x v="0"/>
    <x v="0"/>
    <x v="3"/>
    <x v="0"/>
  </r>
  <r>
    <s v="Singapore"/>
    <x v="0"/>
    <s v="SG2"/>
    <m/>
    <x v="0"/>
    <x v="1"/>
    <x v="3"/>
    <x v="3"/>
    <x v="0"/>
    <x v="0"/>
    <x v="0"/>
    <m/>
    <x v="0"/>
    <x v="0"/>
    <n v="-3.7389600000000001"/>
    <m/>
    <x v="0"/>
    <x v="1"/>
    <x v="0"/>
    <x v="1"/>
    <x v="2"/>
  </r>
  <r>
    <s v="Singapore"/>
    <x v="5"/>
    <s v="SG4"/>
    <m/>
    <x v="2"/>
    <x v="0"/>
    <x v="0"/>
    <x v="5"/>
    <x v="0"/>
    <x v="0"/>
    <x v="0"/>
    <m/>
    <x v="0"/>
    <x v="0"/>
    <n v="0.21810600000000002"/>
    <m/>
    <x v="4"/>
    <x v="2"/>
    <x v="0"/>
    <x v="3"/>
    <x v="1"/>
  </r>
  <r>
    <s v="Singapore"/>
    <x v="1"/>
    <s v="SG1"/>
    <m/>
    <x v="0"/>
    <x v="3"/>
    <x v="3"/>
    <x v="3"/>
    <x v="0"/>
    <x v="0"/>
    <x v="0"/>
    <m/>
    <x v="0"/>
    <x v="0"/>
    <n v="1.5579000000000001E-5"/>
    <m/>
    <x v="8"/>
    <x v="2"/>
    <x v="0"/>
    <x v="4"/>
    <x v="2"/>
  </r>
  <r>
    <s v="Singapore"/>
    <x v="1"/>
    <s v="SG2"/>
    <m/>
    <x v="2"/>
    <x v="0"/>
    <x v="0"/>
    <x v="1"/>
    <x v="0"/>
    <x v="0"/>
    <x v="0"/>
    <m/>
    <x v="0"/>
    <x v="0"/>
    <n v="-1.9920088350000003"/>
    <m/>
    <x v="3"/>
    <x v="0"/>
    <x v="0"/>
    <x v="4"/>
    <x v="1"/>
  </r>
  <r>
    <s v="Singapore"/>
    <x v="1"/>
    <s v="SG2"/>
    <m/>
    <x v="0"/>
    <x v="0"/>
    <x v="0"/>
    <x v="5"/>
    <x v="0"/>
    <x v="0"/>
    <x v="0"/>
    <m/>
    <x v="0"/>
    <x v="0"/>
    <n v="-0.31158000000000002"/>
    <m/>
    <x v="0"/>
    <x v="3"/>
    <x v="0"/>
    <x v="2"/>
    <x v="1"/>
  </r>
  <r>
    <s v="Singapore"/>
    <x v="5"/>
    <s v="SG4"/>
    <m/>
    <x v="0"/>
    <x v="1"/>
    <x v="4"/>
    <x v="1"/>
    <x v="0"/>
    <x v="0"/>
    <x v="0"/>
    <m/>
    <x v="0"/>
    <x v="0"/>
    <n v="1.1429533350000001"/>
    <m/>
    <x v="1"/>
    <x v="3"/>
    <x v="0"/>
    <x v="5"/>
    <x v="2"/>
  </r>
  <r>
    <s v="Singapore"/>
    <x v="2"/>
    <s v="SG3"/>
    <m/>
    <x v="0"/>
    <x v="3"/>
    <x v="0"/>
    <x v="1"/>
    <x v="0"/>
    <x v="0"/>
    <x v="0"/>
    <m/>
    <x v="0"/>
    <x v="0"/>
    <n v="0.15579000000000001"/>
    <m/>
    <x v="1"/>
    <x v="0"/>
    <x v="0"/>
    <x v="5"/>
    <x v="1"/>
  </r>
  <r>
    <s v="Singapore"/>
    <x v="0"/>
    <s v="SG4"/>
    <m/>
    <x v="4"/>
    <x v="1"/>
    <x v="0"/>
    <x v="3"/>
    <x v="0"/>
    <x v="0"/>
    <x v="0"/>
    <m/>
    <x v="0"/>
    <x v="0"/>
    <n v="-29.961252378000001"/>
    <m/>
    <x v="7"/>
    <x v="1"/>
    <x v="0"/>
    <x v="5"/>
    <x v="2"/>
  </r>
  <r>
    <s v="Singapore"/>
    <x v="2"/>
    <s v="SG2"/>
    <m/>
    <x v="4"/>
    <x v="3"/>
    <x v="3"/>
    <x v="0"/>
    <x v="0"/>
    <x v="0"/>
    <x v="0"/>
    <m/>
    <x v="0"/>
    <x v="0"/>
    <n v="0.43932780000000005"/>
    <m/>
    <x v="3"/>
    <x v="1"/>
    <x v="0"/>
    <x v="4"/>
    <x v="2"/>
  </r>
  <r>
    <s v="Singapore"/>
    <x v="4"/>
    <s v="SG3"/>
    <m/>
    <x v="3"/>
    <x v="3"/>
    <x v="4"/>
    <x v="3"/>
    <x v="0"/>
    <x v="0"/>
    <x v="0"/>
    <m/>
    <x v="0"/>
    <x v="0"/>
    <n v="-4.6737000000000001E-2"/>
    <m/>
    <x v="0"/>
    <x v="1"/>
    <x v="0"/>
    <x v="4"/>
    <x v="0"/>
  </r>
  <r>
    <s v="Singapore"/>
    <x v="0"/>
    <s v="SG2"/>
    <m/>
    <x v="5"/>
    <x v="1"/>
    <x v="1"/>
    <x v="0"/>
    <x v="0"/>
    <x v="0"/>
    <x v="0"/>
    <m/>
    <x v="0"/>
    <x v="0"/>
    <n v="-0.1168425"/>
    <m/>
    <x v="3"/>
    <x v="1"/>
    <x v="0"/>
    <x v="3"/>
    <x v="0"/>
  </r>
  <r>
    <s v="Singapore"/>
    <x v="1"/>
    <s v="SG3"/>
    <m/>
    <x v="0"/>
    <x v="4"/>
    <x v="4"/>
    <x v="1"/>
    <x v="0"/>
    <x v="0"/>
    <x v="0"/>
    <m/>
    <x v="0"/>
    <x v="0"/>
    <n v="-6.0758100000000002E-2"/>
    <m/>
    <x v="3"/>
    <x v="1"/>
    <x v="0"/>
    <x v="4"/>
    <x v="2"/>
  </r>
  <r>
    <s v="Singapore"/>
    <x v="1"/>
    <s v="SG4"/>
    <m/>
    <x v="5"/>
    <x v="2"/>
    <x v="4"/>
    <x v="3"/>
    <x v="0"/>
    <x v="0"/>
    <x v="0"/>
    <m/>
    <x v="0"/>
    <x v="0"/>
    <n v="-4.6737000000000001E-2"/>
    <m/>
    <x v="0"/>
    <x v="2"/>
    <x v="0"/>
    <x v="0"/>
    <x v="0"/>
  </r>
  <r>
    <s v="Singapore"/>
    <x v="4"/>
    <s v="SG3"/>
    <m/>
    <x v="4"/>
    <x v="0"/>
    <x v="4"/>
    <x v="3"/>
    <x v="0"/>
    <x v="0"/>
    <x v="0"/>
    <m/>
    <x v="0"/>
    <x v="0"/>
    <n v="-7.7895000000000004E-4"/>
    <m/>
    <x v="6"/>
    <x v="3"/>
    <x v="0"/>
    <x v="3"/>
    <x v="1"/>
  </r>
  <r>
    <s v="Singapore"/>
    <x v="1"/>
    <s v="SG2"/>
    <m/>
    <x v="2"/>
    <x v="3"/>
    <x v="1"/>
    <x v="0"/>
    <x v="0"/>
    <x v="0"/>
    <x v="0"/>
    <m/>
    <x v="0"/>
    <x v="0"/>
    <n v="-9.113715E-2"/>
    <m/>
    <x v="3"/>
    <x v="1"/>
    <x v="0"/>
    <x v="5"/>
    <x v="1"/>
  </r>
  <r>
    <s v="Singapore"/>
    <x v="3"/>
    <s v="SG2"/>
    <m/>
    <x v="0"/>
    <x v="4"/>
    <x v="3"/>
    <x v="3"/>
    <x v="0"/>
    <x v="0"/>
    <x v="0"/>
    <m/>
    <x v="0"/>
    <x v="0"/>
    <n v="3.4175496510000003"/>
    <m/>
    <x v="5"/>
    <x v="3"/>
    <x v="0"/>
    <x v="5"/>
    <x v="1"/>
  </r>
  <r>
    <s v="Singapore"/>
    <x v="4"/>
    <s v="SG1"/>
    <m/>
    <x v="4"/>
    <x v="4"/>
    <x v="4"/>
    <x v="4"/>
    <x v="0"/>
    <x v="0"/>
    <x v="0"/>
    <m/>
    <x v="0"/>
    <x v="0"/>
    <n v="-0.93474000000000002"/>
    <m/>
    <x v="4"/>
    <x v="3"/>
    <x v="0"/>
    <x v="4"/>
    <x v="1"/>
  </r>
  <r>
    <s v="Singapore"/>
    <x v="0"/>
    <s v="SG2"/>
    <m/>
    <x v="4"/>
    <x v="4"/>
    <x v="3"/>
    <x v="0"/>
    <x v="0"/>
    <x v="0"/>
    <x v="0"/>
    <m/>
    <x v="0"/>
    <x v="0"/>
    <n v="0.42063300000000003"/>
    <m/>
    <x v="4"/>
    <x v="1"/>
    <x v="0"/>
    <x v="5"/>
    <x v="0"/>
  </r>
  <r>
    <s v="Singapore"/>
    <x v="4"/>
    <s v="SG2"/>
    <m/>
    <x v="1"/>
    <x v="3"/>
    <x v="1"/>
    <x v="0"/>
    <x v="0"/>
    <x v="0"/>
    <x v="0"/>
    <m/>
    <x v="0"/>
    <x v="0"/>
    <n v="-1.5579000000000001E-2"/>
    <m/>
    <x v="0"/>
    <x v="2"/>
    <x v="0"/>
    <x v="4"/>
    <x v="2"/>
  </r>
  <r>
    <s v="Singapore"/>
    <x v="4"/>
    <s v="SG3"/>
    <m/>
    <x v="0"/>
    <x v="3"/>
    <x v="3"/>
    <x v="1"/>
    <x v="0"/>
    <x v="0"/>
    <x v="0"/>
    <m/>
    <x v="0"/>
    <x v="0"/>
    <n v="-2.7263250000000001"/>
    <m/>
    <x v="1"/>
    <x v="3"/>
    <x v="0"/>
    <x v="3"/>
    <x v="2"/>
  </r>
  <r>
    <s v="Singapore"/>
    <x v="0"/>
    <s v="SG2"/>
    <m/>
    <x v="2"/>
    <x v="4"/>
    <x v="0"/>
    <x v="5"/>
    <x v="0"/>
    <x v="0"/>
    <x v="0"/>
    <m/>
    <x v="0"/>
    <x v="0"/>
    <n v="-0.46737000000000001"/>
    <m/>
    <x v="4"/>
    <x v="2"/>
    <x v="0"/>
    <x v="4"/>
    <x v="0"/>
  </r>
  <r>
    <s v="Singapore"/>
    <x v="2"/>
    <s v="SG1"/>
    <m/>
    <x v="5"/>
    <x v="4"/>
    <x v="4"/>
    <x v="1"/>
    <x v="0"/>
    <x v="0"/>
    <x v="0"/>
    <m/>
    <x v="0"/>
    <x v="0"/>
    <n v="0.17839512900000001"/>
    <m/>
    <x v="1"/>
    <x v="1"/>
    <x v="0"/>
    <x v="5"/>
    <x v="2"/>
  </r>
  <r>
    <s v="Singapore"/>
    <x v="1"/>
    <s v="SG2"/>
    <m/>
    <x v="0"/>
    <x v="4"/>
    <x v="2"/>
    <x v="2"/>
    <x v="0"/>
    <x v="0"/>
    <x v="0"/>
    <m/>
    <x v="0"/>
    <x v="0"/>
    <n v="-0.62316000000000005"/>
    <m/>
    <x v="4"/>
    <x v="1"/>
    <x v="0"/>
    <x v="1"/>
    <x v="2"/>
  </r>
  <r>
    <s v="Singapore"/>
    <x v="1"/>
    <s v="SG1"/>
    <m/>
    <x v="2"/>
    <x v="0"/>
    <x v="3"/>
    <x v="2"/>
    <x v="0"/>
    <x v="0"/>
    <x v="0"/>
    <m/>
    <x v="0"/>
    <x v="0"/>
    <n v="-0.12463200000000001"/>
    <m/>
    <x v="0"/>
    <x v="2"/>
    <x v="0"/>
    <x v="0"/>
    <x v="0"/>
  </r>
  <r>
    <s v="Singapore"/>
    <x v="2"/>
    <s v="SG3"/>
    <m/>
    <x v="5"/>
    <x v="0"/>
    <x v="4"/>
    <x v="3"/>
    <x v="0"/>
    <x v="0"/>
    <x v="0"/>
    <m/>
    <x v="0"/>
    <x v="0"/>
    <n v="-0.12463200000000001"/>
    <m/>
    <x v="0"/>
    <x v="3"/>
    <x v="0"/>
    <x v="2"/>
    <x v="1"/>
  </r>
  <r>
    <s v="Singapore"/>
    <x v="4"/>
    <s v="SG2"/>
    <m/>
    <x v="2"/>
    <x v="4"/>
    <x v="0"/>
    <x v="3"/>
    <x v="0"/>
    <x v="0"/>
    <x v="0"/>
    <m/>
    <x v="0"/>
    <x v="0"/>
    <n v="-0.12463200000000001"/>
    <m/>
    <x v="0"/>
    <x v="3"/>
    <x v="0"/>
    <x v="1"/>
    <x v="0"/>
  </r>
  <r>
    <s v="Singapore"/>
    <x v="4"/>
    <s v="SG1"/>
    <m/>
    <x v="5"/>
    <x v="4"/>
    <x v="3"/>
    <x v="1"/>
    <x v="0"/>
    <x v="0"/>
    <x v="0"/>
    <m/>
    <x v="0"/>
    <x v="0"/>
    <n v="-2.7263250000000001"/>
    <m/>
    <x v="1"/>
    <x v="2"/>
    <x v="0"/>
    <x v="5"/>
    <x v="1"/>
  </r>
  <r>
    <s v="Singapore"/>
    <x v="3"/>
    <s v="SG4"/>
    <m/>
    <x v="1"/>
    <x v="1"/>
    <x v="1"/>
    <x v="5"/>
    <x v="0"/>
    <x v="0"/>
    <x v="0"/>
    <m/>
    <x v="0"/>
    <x v="0"/>
    <n v="-0.62316000000000005"/>
    <m/>
    <x v="1"/>
    <x v="3"/>
    <x v="0"/>
    <x v="1"/>
    <x v="2"/>
  </r>
  <r>
    <s v="Singapore"/>
    <x v="0"/>
    <s v="SG1"/>
    <m/>
    <x v="5"/>
    <x v="2"/>
    <x v="4"/>
    <x v="1"/>
    <x v="0"/>
    <x v="0"/>
    <x v="0"/>
    <m/>
    <x v="0"/>
    <x v="0"/>
    <n v="-3.7233810000000003"/>
    <m/>
    <x v="11"/>
    <x v="3"/>
    <x v="0"/>
    <x v="1"/>
    <x v="0"/>
  </r>
  <r>
    <s v="Singapore"/>
    <x v="5"/>
    <s v="SG2"/>
    <m/>
    <x v="1"/>
    <x v="0"/>
    <x v="3"/>
    <x v="0"/>
    <x v="0"/>
    <x v="0"/>
    <x v="0"/>
    <m/>
    <x v="0"/>
    <x v="0"/>
    <n v="-0.21810600000000002"/>
    <m/>
    <x v="4"/>
    <x v="1"/>
    <x v="0"/>
    <x v="4"/>
    <x v="2"/>
  </r>
  <r>
    <s v="Singapore"/>
    <x v="0"/>
    <s v="SG4"/>
    <m/>
    <x v="2"/>
    <x v="2"/>
    <x v="0"/>
    <x v="1"/>
    <x v="0"/>
    <x v="0"/>
    <x v="0"/>
    <m/>
    <x v="0"/>
    <x v="0"/>
    <n v="-9.0295883999999997"/>
    <m/>
    <x v="3"/>
    <x v="3"/>
    <x v="0"/>
    <x v="0"/>
    <x v="2"/>
  </r>
  <r>
    <s v="Singapore"/>
    <x v="5"/>
    <s v="SG2"/>
    <m/>
    <x v="0"/>
    <x v="3"/>
    <x v="1"/>
    <x v="3"/>
    <x v="0"/>
    <x v="0"/>
    <x v="0"/>
    <m/>
    <x v="0"/>
    <x v="0"/>
    <n v="-1.5579000000000001E-2"/>
    <m/>
    <x v="0"/>
    <x v="2"/>
    <x v="0"/>
    <x v="5"/>
    <x v="2"/>
  </r>
  <r>
    <s v="Singapore"/>
    <x v="1"/>
    <s v="SG4"/>
    <m/>
    <x v="3"/>
    <x v="2"/>
    <x v="1"/>
    <x v="2"/>
    <x v="0"/>
    <x v="0"/>
    <x v="0"/>
    <m/>
    <x v="0"/>
    <x v="0"/>
    <n v="0.17839512900000001"/>
    <m/>
    <x v="1"/>
    <x v="1"/>
    <x v="0"/>
    <x v="2"/>
    <x v="1"/>
  </r>
  <r>
    <s v="Singapore"/>
    <x v="3"/>
    <s v="SG4"/>
    <m/>
    <x v="5"/>
    <x v="4"/>
    <x v="2"/>
    <x v="0"/>
    <x v="0"/>
    <x v="0"/>
    <x v="0"/>
    <m/>
    <x v="0"/>
    <x v="0"/>
    <n v="-0.24926400000000001"/>
    <m/>
    <x v="0"/>
    <x v="3"/>
    <x v="0"/>
    <x v="1"/>
    <x v="1"/>
  </r>
  <r>
    <s v="Singapore"/>
    <x v="4"/>
    <s v="SG1"/>
    <m/>
    <x v="1"/>
    <x v="2"/>
    <x v="2"/>
    <x v="3"/>
    <x v="0"/>
    <x v="0"/>
    <x v="0"/>
    <m/>
    <x v="0"/>
    <x v="0"/>
    <n v="0.78424685999999999"/>
    <m/>
    <x v="1"/>
    <x v="1"/>
    <x v="0"/>
    <x v="1"/>
    <x v="0"/>
  </r>
  <r>
    <s v="Singapore"/>
    <x v="4"/>
    <s v="SG4"/>
    <m/>
    <x v="3"/>
    <x v="2"/>
    <x v="2"/>
    <x v="5"/>
    <x v="0"/>
    <x v="0"/>
    <x v="0"/>
    <m/>
    <x v="0"/>
    <x v="0"/>
    <n v="-0.15579000000000001"/>
    <m/>
    <x v="4"/>
    <x v="2"/>
    <x v="0"/>
    <x v="3"/>
    <x v="1"/>
  </r>
  <r>
    <s v="Singapore"/>
    <x v="5"/>
    <s v="SG4"/>
    <m/>
    <x v="4"/>
    <x v="4"/>
    <x v="0"/>
    <x v="1"/>
    <x v="0"/>
    <x v="0"/>
    <x v="0"/>
    <m/>
    <x v="0"/>
    <x v="0"/>
    <n v="-4.4197623000000004"/>
    <m/>
    <x v="4"/>
    <x v="2"/>
    <x v="0"/>
    <x v="4"/>
    <x v="2"/>
  </r>
  <r>
    <s v="Singapore"/>
    <x v="1"/>
    <s v="SG1"/>
    <m/>
    <x v="2"/>
    <x v="2"/>
    <x v="3"/>
    <x v="0"/>
    <x v="0"/>
    <x v="0"/>
    <x v="0"/>
    <m/>
    <x v="0"/>
    <x v="0"/>
    <n v="-7.7895000000000003"/>
    <m/>
    <x v="1"/>
    <x v="0"/>
    <x v="0"/>
    <x v="3"/>
    <x v="0"/>
  </r>
  <r>
    <s v="Singapore"/>
    <x v="0"/>
    <s v="SG2"/>
    <m/>
    <x v="2"/>
    <x v="4"/>
    <x v="1"/>
    <x v="4"/>
    <x v="0"/>
    <x v="0"/>
    <x v="0"/>
    <m/>
    <x v="0"/>
    <x v="0"/>
    <n v="-0.451791"/>
    <m/>
    <x v="3"/>
    <x v="0"/>
    <x v="0"/>
    <x v="5"/>
    <x v="0"/>
  </r>
  <r>
    <s v="Singapore"/>
    <x v="3"/>
    <s v="SG3"/>
    <m/>
    <x v="0"/>
    <x v="2"/>
    <x v="1"/>
    <x v="3"/>
    <x v="0"/>
    <x v="0"/>
    <x v="0"/>
    <m/>
    <x v="0"/>
    <x v="0"/>
    <n v="-3.8947500000000003E-2"/>
    <m/>
    <x v="0"/>
    <x v="1"/>
    <x v="0"/>
    <x v="5"/>
    <x v="1"/>
  </r>
  <r>
    <s v="Singapore"/>
    <x v="2"/>
    <s v="SG4"/>
    <m/>
    <x v="3"/>
    <x v="0"/>
    <x v="0"/>
    <x v="3"/>
    <x v="0"/>
    <x v="0"/>
    <x v="0"/>
    <m/>
    <x v="0"/>
    <x v="0"/>
    <n v="25.271396955000004"/>
    <m/>
    <x v="7"/>
    <x v="0"/>
    <x v="0"/>
    <x v="4"/>
    <x v="2"/>
  </r>
  <r>
    <s v="Singapore"/>
    <x v="1"/>
    <s v="SG4"/>
    <m/>
    <x v="5"/>
    <x v="0"/>
    <x v="1"/>
    <x v="2"/>
    <x v="0"/>
    <x v="0"/>
    <x v="0"/>
    <m/>
    <x v="0"/>
    <x v="0"/>
    <n v="-1.5579000000000001"/>
    <m/>
    <x v="1"/>
    <x v="3"/>
    <x v="0"/>
    <x v="2"/>
    <x v="1"/>
  </r>
  <r>
    <s v="Singapore"/>
    <x v="4"/>
    <s v="SG4"/>
    <m/>
    <x v="3"/>
    <x v="1"/>
    <x v="3"/>
    <x v="1"/>
    <x v="0"/>
    <x v="0"/>
    <x v="0"/>
    <m/>
    <x v="0"/>
    <x v="0"/>
    <n v="0.98147700000000004"/>
    <m/>
    <x v="1"/>
    <x v="2"/>
    <x v="0"/>
    <x v="2"/>
    <x v="1"/>
  </r>
  <r>
    <s v="Singapore"/>
    <x v="5"/>
    <s v="SG2"/>
    <m/>
    <x v="5"/>
    <x v="1"/>
    <x v="4"/>
    <x v="2"/>
    <x v="0"/>
    <x v="0"/>
    <x v="0"/>
    <m/>
    <x v="0"/>
    <x v="0"/>
    <n v="1.0422351000000001"/>
    <m/>
    <x v="4"/>
    <x v="2"/>
    <x v="0"/>
    <x v="3"/>
    <x v="1"/>
  </r>
  <r>
    <s v="Singapore"/>
    <x v="1"/>
    <s v="SG4"/>
    <m/>
    <x v="5"/>
    <x v="4"/>
    <x v="3"/>
    <x v="0"/>
    <x v="0"/>
    <x v="0"/>
    <x v="0"/>
    <m/>
    <x v="0"/>
    <x v="0"/>
    <n v="0.15579000000000001"/>
    <m/>
    <x v="1"/>
    <x v="0"/>
    <x v="0"/>
    <x v="2"/>
    <x v="0"/>
  </r>
  <r>
    <s v="Singapore"/>
    <x v="3"/>
    <s v="SG3"/>
    <m/>
    <x v="0"/>
    <x v="2"/>
    <x v="0"/>
    <x v="1"/>
    <x v="0"/>
    <x v="0"/>
    <x v="0"/>
    <m/>
    <x v="0"/>
    <x v="0"/>
    <n v="-42.337132083"/>
    <m/>
    <x v="2"/>
    <x v="3"/>
    <x v="0"/>
    <x v="3"/>
    <x v="1"/>
  </r>
  <r>
    <s v="Singapore"/>
    <x v="5"/>
    <s v="SG2"/>
    <m/>
    <x v="2"/>
    <x v="2"/>
    <x v="0"/>
    <x v="4"/>
    <x v="0"/>
    <x v="0"/>
    <x v="0"/>
    <m/>
    <x v="0"/>
    <x v="0"/>
    <n v="-4.6737000000000001E-2"/>
    <m/>
    <x v="0"/>
    <x v="1"/>
    <x v="0"/>
    <x v="5"/>
    <x v="0"/>
  </r>
  <r>
    <s v="Singapore"/>
    <x v="2"/>
    <s v="SG3"/>
    <m/>
    <x v="2"/>
    <x v="1"/>
    <x v="4"/>
    <x v="4"/>
    <x v="0"/>
    <x v="0"/>
    <x v="0"/>
    <m/>
    <x v="0"/>
    <x v="0"/>
    <n v="-0.233685"/>
    <m/>
    <x v="0"/>
    <x v="3"/>
    <x v="0"/>
    <x v="0"/>
    <x v="2"/>
  </r>
  <r>
    <s v="Singapore"/>
    <x v="0"/>
    <s v="SG3"/>
    <m/>
    <x v="3"/>
    <x v="4"/>
    <x v="3"/>
    <x v="5"/>
    <x v="0"/>
    <x v="0"/>
    <x v="0"/>
    <m/>
    <x v="0"/>
    <x v="0"/>
    <n v="0.1838322"/>
    <m/>
    <x v="4"/>
    <x v="2"/>
    <x v="0"/>
    <x v="5"/>
    <x v="0"/>
  </r>
  <r>
    <s v="Singapore"/>
    <x v="1"/>
    <s v="SG4"/>
    <m/>
    <x v="2"/>
    <x v="0"/>
    <x v="3"/>
    <x v="0"/>
    <x v="0"/>
    <x v="0"/>
    <x v="0"/>
    <m/>
    <x v="0"/>
    <x v="0"/>
    <n v="2.7263250000000001"/>
    <m/>
    <x v="1"/>
    <x v="0"/>
    <x v="0"/>
    <x v="4"/>
    <x v="2"/>
  </r>
  <r>
    <s v="Singapore"/>
    <x v="3"/>
    <s v="SG2"/>
    <m/>
    <x v="5"/>
    <x v="3"/>
    <x v="0"/>
    <x v="4"/>
    <x v="0"/>
    <x v="0"/>
    <x v="0"/>
    <m/>
    <x v="0"/>
    <x v="0"/>
    <n v="-0.264843"/>
    <m/>
    <x v="4"/>
    <x v="2"/>
    <x v="0"/>
    <x v="4"/>
    <x v="0"/>
  </r>
  <r>
    <s v="Singapore"/>
    <x v="5"/>
    <s v="SG2"/>
    <m/>
    <x v="5"/>
    <x v="4"/>
    <x v="2"/>
    <x v="5"/>
    <x v="0"/>
    <x v="0"/>
    <x v="0"/>
    <m/>
    <x v="0"/>
    <x v="0"/>
    <n v="-4.6737000000000001E-2"/>
    <m/>
    <x v="0"/>
    <x v="3"/>
    <x v="0"/>
    <x v="2"/>
    <x v="0"/>
  </r>
  <r>
    <s v="Singapore"/>
    <x v="3"/>
    <s v="SG2"/>
    <m/>
    <x v="0"/>
    <x v="3"/>
    <x v="2"/>
    <x v="5"/>
    <x v="0"/>
    <x v="0"/>
    <x v="0"/>
    <m/>
    <x v="0"/>
    <x v="0"/>
    <n v="1.86948"/>
    <m/>
    <x v="2"/>
    <x v="0"/>
    <x v="0"/>
    <x v="1"/>
    <x v="2"/>
  </r>
  <r>
    <s v="Singapore"/>
    <x v="0"/>
    <s v="SG1"/>
    <m/>
    <x v="5"/>
    <x v="4"/>
    <x v="4"/>
    <x v="4"/>
    <x v="0"/>
    <x v="0"/>
    <x v="0"/>
    <m/>
    <x v="0"/>
    <x v="0"/>
    <n v="-3.1158000000000002E-2"/>
    <m/>
    <x v="0"/>
    <x v="3"/>
    <x v="0"/>
    <x v="4"/>
    <x v="0"/>
  </r>
  <r>
    <s v="Singapore"/>
    <x v="4"/>
    <s v="SG3"/>
    <m/>
    <x v="0"/>
    <x v="3"/>
    <x v="2"/>
    <x v="5"/>
    <x v="0"/>
    <x v="0"/>
    <x v="0"/>
    <m/>
    <x v="0"/>
    <x v="0"/>
    <n v="-0.31158000000000002"/>
    <m/>
    <x v="0"/>
    <x v="0"/>
    <x v="0"/>
    <x v="4"/>
    <x v="1"/>
  </r>
  <r>
    <s v="Singapore"/>
    <x v="2"/>
    <s v="SG3"/>
    <m/>
    <x v="4"/>
    <x v="1"/>
    <x v="1"/>
    <x v="5"/>
    <x v="0"/>
    <x v="0"/>
    <x v="0"/>
    <m/>
    <x v="0"/>
    <x v="0"/>
    <n v="-0.11595449700000002"/>
    <m/>
    <x v="3"/>
    <x v="0"/>
    <x v="0"/>
    <x v="0"/>
    <x v="0"/>
  </r>
  <r>
    <s v="Singapore"/>
    <x v="5"/>
    <s v="SG2"/>
    <m/>
    <x v="2"/>
    <x v="3"/>
    <x v="3"/>
    <x v="5"/>
    <x v="0"/>
    <x v="0"/>
    <x v="0"/>
    <m/>
    <x v="0"/>
    <x v="0"/>
    <n v="-7.7895000000000004E-3"/>
    <m/>
    <x v="0"/>
    <x v="1"/>
    <x v="0"/>
    <x v="2"/>
    <x v="2"/>
  </r>
  <r>
    <s v="Singapore"/>
    <x v="1"/>
    <s v="SG4"/>
    <m/>
    <x v="2"/>
    <x v="4"/>
    <x v="2"/>
    <x v="0"/>
    <x v="0"/>
    <x v="0"/>
    <x v="0"/>
    <m/>
    <x v="0"/>
    <x v="0"/>
    <n v="-0.12463200000000001"/>
    <m/>
    <x v="0"/>
    <x v="3"/>
    <x v="0"/>
    <x v="1"/>
    <x v="1"/>
  </r>
  <r>
    <s v="Singapore"/>
    <x v="5"/>
    <s v="SG2"/>
    <m/>
    <x v="1"/>
    <x v="0"/>
    <x v="3"/>
    <x v="1"/>
    <x v="0"/>
    <x v="0"/>
    <x v="0"/>
    <m/>
    <x v="0"/>
    <x v="0"/>
    <n v="-34.618874850000005"/>
    <m/>
    <x v="4"/>
    <x v="3"/>
    <x v="0"/>
    <x v="4"/>
    <x v="0"/>
  </r>
  <r>
    <s v="Singapore"/>
    <x v="4"/>
    <s v="SG1"/>
    <m/>
    <x v="3"/>
    <x v="4"/>
    <x v="1"/>
    <x v="3"/>
    <x v="0"/>
    <x v="0"/>
    <x v="0"/>
    <m/>
    <x v="0"/>
    <x v="0"/>
    <n v="0.40505400000000003"/>
    <m/>
    <x v="1"/>
    <x v="2"/>
    <x v="0"/>
    <x v="5"/>
    <x v="1"/>
  </r>
  <r>
    <s v="Singapore"/>
    <x v="0"/>
    <s v="SG4"/>
    <m/>
    <x v="0"/>
    <x v="4"/>
    <x v="0"/>
    <x v="2"/>
    <x v="0"/>
    <x v="0"/>
    <x v="0"/>
    <m/>
    <x v="0"/>
    <x v="0"/>
    <n v="2.7263250000000001"/>
    <m/>
    <x v="1"/>
    <x v="3"/>
    <x v="0"/>
    <x v="4"/>
    <x v="2"/>
  </r>
  <r>
    <s v="Singapore"/>
    <x v="2"/>
    <s v="SG4"/>
    <m/>
    <x v="5"/>
    <x v="2"/>
    <x v="4"/>
    <x v="3"/>
    <x v="0"/>
    <x v="0"/>
    <x v="0"/>
    <m/>
    <x v="0"/>
    <x v="0"/>
    <n v="-0.140211"/>
    <m/>
    <x v="0"/>
    <x v="3"/>
    <x v="0"/>
    <x v="2"/>
    <x v="0"/>
  </r>
  <r>
    <s v="Singapore"/>
    <x v="3"/>
    <s v="SG1"/>
    <m/>
    <x v="3"/>
    <x v="1"/>
    <x v="2"/>
    <x v="2"/>
    <x v="0"/>
    <x v="0"/>
    <x v="0"/>
    <m/>
    <x v="0"/>
    <x v="0"/>
    <n v="-0.233685"/>
    <m/>
    <x v="0"/>
    <x v="2"/>
    <x v="0"/>
    <x v="3"/>
    <x v="1"/>
  </r>
  <r>
    <s v="Singapore"/>
    <x v="0"/>
    <s v="SG4"/>
    <m/>
    <x v="3"/>
    <x v="0"/>
    <x v="4"/>
    <x v="2"/>
    <x v="0"/>
    <x v="0"/>
    <x v="0"/>
    <m/>
    <x v="0"/>
    <x v="0"/>
    <n v="-0.10905300000000001"/>
    <m/>
    <x v="4"/>
    <x v="0"/>
    <x v="0"/>
    <x v="0"/>
    <x v="1"/>
  </r>
  <r>
    <s v="Singapore"/>
    <x v="5"/>
    <s v="SG3"/>
    <m/>
    <x v="2"/>
    <x v="3"/>
    <x v="4"/>
    <x v="2"/>
    <x v="0"/>
    <x v="0"/>
    <x v="0"/>
    <m/>
    <x v="0"/>
    <x v="0"/>
    <n v="0.86214186000000004"/>
    <m/>
    <x v="1"/>
    <x v="0"/>
    <x v="0"/>
    <x v="5"/>
    <x v="0"/>
  </r>
  <r>
    <s v="Singapore"/>
    <x v="5"/>
    <s v="SG1"/>
    <m/>
    <x v="1"/>
    <x v="1"/>
    <x v="0"/>
    <x v="0"/>
    <x v="0"/>
    <x v="0"/>
    <x v="0"/>
    <m/>
    <x v="0"/>
    <x v="0"/>
    <n v="-0.93474000000000002"/>
    <m/>
    <x v="3"/>
    <x v="3"/>
    <x v="0"/>
    <x v="4"/>
    <x v="1"/>
  </r>
  <r>
    <s v="Singapore"/>
    <x v="0"/>
    <s v="SG3"/>
    <m/>
    <x v="0"/>
    <x v="3"/>
    <x v="4"/>
    <x v="2"/>
    <x v="0"/>
    <x v="0"/>
    <x v="0"/>
    <m/>
    <x v="0"/>
    <x v="0"/>
    <n v="0.15579000000000001"/>
    <m/>
    <x v="1"/>
    <x v="2"/>
    <x v="0"/>
    <x v="2"/>
    <x v="1"/>
  </r>
  <r>
    <s v="Singapore"/>
    <x v="0"/>
    <s v="SG3"/>
    <m/>
    <x v="0"/>
    <x v="4"/>
    <x v="4"/>
    <x v="1"/>
    <x v="0"/>
    <x v="0"/>
    <x v="0"/>
    <m/>
    <x v="0"/>
    <x v="0"/>
    <n v="-0.81010800000000005"/>
    <m/>
    <x v="4"/>
    <x v="2"/>
    <x v="0"/>
    <x v="2"/>
    <x v="0"/>
  </r>
  <r>
    <s v="Singapore"/>
    <x v="2"/>
    <s v="SG3"/>
    <m/>
    <x v="2"/>
    <x v="4"/>
    <x v="3"/>
    <x v="3"/>
    <x v="0"/>
    <x v="0"/>
    <x v="0"/>
    <m/>
    <x v="0"/>
    <x v="0"/>
    <n v="-7.0105500000000001E-2"/>
    <m/>
    <x v="4"/>
    <x v="2"/>
    <x v="0"/>
    <x v="4"/>
    <x v="1"/>
  </r>
  <r>
    <s v="Singapore"/>
    <x v="3"/>
    <s v="SG2"/>
    <m/>
    <x v="2"/>
    <x v="1"/>
    <x v="0"/>
    <x v="0"/>
    <x v="0"/>
    <x v="0"/>
    <x v="0"/>
    <m/>
    <x v="0"/>
    <x v="0"/>
    <n v="-0.280422"/>
    <m/>
    <x v="0"/>
    <x v="0"/>
    <x v="0"/>
    <x v="1"/>
    <x v="0"/>
  </r>
  <r>
    <s v="Singapore"/>
    <x v="1"/>
    <s v="SG1"/>
    <m/>
    <x v="0"/>
    <x v="0"/>
    <x v="1"/>
    <x v="4"/>
    <x v="0"/>
    <x v="0"/>
    <x v="0"/>
    <m/>
    <x v="0"/>
    <x v="0"/>
    <n v="-4.6737000000000001E-2"/>
    <m/>
    <x v="0"/>
    <x v="0"/>
    <x v="0"/>
    <x v="5"/>
    <x v="1"/>
  </r>
  <r>
    <s v="Singapore"/>
    <x v="5"/>
    <s v="SG4"/>
    <m/>
    <x v="1"/>
    <x v="1"/>
    <x v="0"/>
    <x v="2"/>
    <x v="0"/>
    <x v="0"/>
    <x v="0"/>
    <m/>
    <x v="0"/>
    <x v="0"/>
    <n v="-3.8947500000000003E-2"/>
    <m/>
    <x v="0"/>
    <x v="0"/>
    <x v="0"/>
    <x v="5"/>
    <x v="2"/>
  </r>
  <r>
    <s v="Singapore"/>
    <x v="5"/>
    <s v="SG2"/>
    <m/>
    <x v="1"/>
    <x v="4"/>
    <x v="3"/>
    <x v="4"/>
    <x v="0"/>
    <x v="0"/>
    <x v="0"/>
    <m/>
    <x v="0"/>
    <x v="0"/>
    <n v="-0.233685"/>
    <m/>
    <x v="0"/>
    <x v="3"/>
    <x v="0"/>
    <x v="1"/>
    <x v="1"/>
  </r>
  <r>
    <s v="Singapore"/>
    <x v="0"/>
    <s v="SG2"/>
    <m/>
    <x v="2"/>
    <x v="0"/>
    <x v="4"/>
    <x v="0"/>
    <x v="0"/>
    <x v="0"/>
    <x v="0"/>
    <m/>
    <x v="0"/>
    <x v="0"/>
    <n v="-1465.51902264"/>
    <m/>
    <x v="2"/>
    <x v="0"/>
    <x v="0"/>
    <x v="0"/>
    <x v="0"/>
  </r>
  <r>
    <s v="Singapore"/>
    <x v="5"/>
    <s v="SG3"/>
    <m/>
    <x v="1"/>
    <x v="0"/>
    <x v="0"/>
    <x v="0"/>
    <x v="0"/>
    <x v="0"/>
    <x v="0"/>
    <m/>
    <x v="0"/>
    <x v="0"/>
    <n v="-5.6707560000000008E-3"/>
    <m/>
    <x v="7"/>
    <x v="3"/>
    <x v="0"/>
    <x v="3"/>
    <x v="1"/>
  </r>
  <r>
    <s v="Singapore"/>
    <x v="3"/>
    <s v="SG4"/>
    <m/>
    <x v="2"/>
    <x v="1"/>
    <x v="1"/>
    <x v="0"/>
    <x v="0"/>
    <x v="0"/>
    <x v="0"/>
    <m/>
    <x v="0"/>
    <x v="0"/>
    <n v="1.86948"/>
    <m/>
    <x v="8"/>
    <x v="2"/>
    <x v="0"/>
    <x v="5"/>
    <x v="2"/>
  </r>
  <r>
    <s v="Singapore"/>
    <x v="5"/>
    <s v="SG3"/>
    <m/>
    <x v="2"/>
    <x v="0"/>
    <x v="1"/>
    <x v="1"/>
    <x v="0"/>
    <x v="0"/>
    <x v="0"/>
    <m/>
    <x v="0"/>
    <x v="0"/>
    <n v="-7.7895000000000006E-2"/>
    <m/>
    <x v="1"/>
    <x v="3"/>
    <x v="0"/>
    <x v="5"/>
    <x v="2"/>
  </r>
  <r>
    <s v="Singapore"/>
    <x v="4"/>
    <s v="SG2"/>
    <m/>
    <x v="1"/>
    <x v="0"/>
    <x v="1"/>
    <x v="0"/>
    <x v="0"/>
    <x v="0"/>
    <x v="0"/>
    <m/>
    <x v="0"/>
    <x v="0"/>
    <n v="-0.15579000000000001"/>
    <m/>
    <x v="0"/>
    <x v="3"/>
    <x v="0"/>
    <x v="0"/>
    <x v="1"/>
  </r>
  <r>
    <s v="Singapore"/>
    <x v="4"/>
    <s v="SG3"/>
    <m/>
    <x v="0"/>
    <x v="1"/>
    <x v="3"/>
    <x v="3"/>
    <x v="0"/>
    <x v="0"/>
    <x v="0"/>
    <m/>
    <x v="0"/>
    <x v="0"/>
    <n v="-7.0105500000000001E-2"/>
    <m/>
    <x v="4"/>
    <x v="2"/>
    <x v="0"/>
    <x v="2"/>
    <x v="1"/>
  </r>
  <r>
    <s v="Singapore"/>
    <x v="1"/>
    <s v="SG4"/>
    <m/>
    <x v="3"/>
    <x v="1"/>
    <x v="1"/>
    <x v="4"/>
    <x v="0"/>
    <x v="0"/>
    <x v="0"/>
    <m/>
    <x v="0"/>
    <x v="0"/>
    <n v="0.197152245"/>
    <m/>
    <x v="8"/>
    <x v="0"/>
    <x v="0"/>
    <x v="2"/>
    <x v="0"/>
  </r>
  <r>
    <s v="Singapore"/>
    <x v="2"/>
    <s v="SG3"/>
    <m/>
    <x v="1"/>
    <x v="2"/>
    <x v="4"/>
    <x v="5"/>
    <x v="0"/>
    <x v="0"/>
    <x v="0"/>
    <m/>
    <x v="0"/>
    <x v="0"/>
    <n v="-0.1838322"/>
    <m/>
    <x v="4"/>
    <x v="0"/>
    <x v="0"/>
    <x v="5"/>
    <x v="2"/>
  </r>
  <r>
    <s v="Singapore"/>
    <x v="1"/>
    <s v="SG3"/>
    <m/>
    <x v="2"/>
    <x v="3"/>
    <x v="2"/>
    <x v="5"/>
    <x v="0"/>
    <x v="0"/>
    <x v="0"/>
    <m/>
    <x v="0"/>
    <x v="0"/>
    <n v="-3.1158000000000002E-2"/>
    <m/>
    <x v="0"/>
    <x v="3"/>
    <x v="0"/>
    <x v="2"/>
    <x v="0"/>
  </r>
  <r>
    <s v="Singapore"/>
    <x v="2"/>
    <s v="SG3"/>
    <m/>
    <x v="2"/>
    <x v="2"/>
    <x v="3"/>
    <x v="4"/>
    <x v="0"/>
    <x v="0"/>
    <x v="0"/>
    <m/>
    <x v="0"/>
    <x v="0"/>
    <n v="-0.21810600000000002"/>
    <m/>
    <x v="4"/>
    <x v="3"/>
    <x v="0"/>
    <x v="0"/>
    <x v="1"/>
  </r>
  <r>
    <s v="Singapore"/>
    <x v="4"/>
    <s v="SG3"/>
    <m/>
    <x v="1"/>
    <x v="2"/>
    <x v="4"/>
    <x v="5"/>
    <x v="0"/>
    <x v="0"/>
    <x v="0"/>
    <m/>
    <x v="0"/>
    <x v="0"/>
    <n v="-7.7895000000000006E-2"/>
    <m/>
    <x v="4"/>
    <x v="3"/>
    <x v="0"/>
    <x v="4"/>
    <x v="1"/>
  </r>
  <r>
    <s v="Singapore"/>
    <x v="2"/>
    <s v="SG4"/>
    <m/>
    <x v="0"/>
    <x v="3"/>
    <x v="0"/>
    <x v="4"/>
    <x v="0"/>
    <x v="0"/>
    <x v="0"/>
    <m/>
    <x v="0"/>
    <x v="0"/>
    <n v="-4.6737000000000001E-2"/>
    <m/>
    <x v="0"/>
    <x v="1"/>
    <x v="0"/>
    <x v="1"/>
    <x v="0"/>
  </r>
  <r>
    <s v="Singapore"/>
    <x v="4"/>
    <s v="SG1"/>
    <m/>
    <x v="5"/>
    <x v="2"/>
    <x v="1"/>
    <x v="2"/>
    <x v="0"/>
    <x v="0"/>
    <x v="0"/>
    <m/>
    <x v="0"/>
    <x v="0"/>
    <n v="-0.280422"/>
    <m/>
    <x v="0"/>
    <x v="1"/>
    <x v="0"/>
    <x v="2"/>
    <x v="1"/>
  </r>
  <r>
    <s v="Singapore"/>
    <x v="2"/>
    <s v="SG4"/>
    <m/>
    <x v="3"/>
    <x v="1"/>
    <x v="0"/>
    <x v="0"/>
    <x v="0"/>
    <x v="0"/>
    <x v="0"/>
    <m/>
    <x v="0"/>
    <x v="0"/>
    <n v="233.685"/>
    <m/>
    <x v="1"/>
    <x v="2"/>
    <x v="0"/>
    <x v="1"/>
    <x v="0"/>
  </r>
  <r>
    <s v="Singapore"/>
    <x v="5"/>
    <s v="SG3"/>
    <m/>
    <x v="2"/>
    <x v="4"/>
    <x v="1"/>
    <x v="5"/>
    <x v="0"/>
    <x v="0"/>
    <x v="0"/>
    <m/>
    <x v="0"/>
    <x v="0"/>
    <n v="-2.0252700000000002E-2"/>
    <m/>
    <x v="2"/>
    <x v="3"/>
    <x v="0"/>
    <x v="1"/>
    <x v="2"/>
  </r>
  <r>
    <s v="Singapore"/>
    <x v="3"/>
    <s v="SG2"/>
    <m/>
    <x v="0"/>
    <x v="0"/>
    <x v="3"/>
    <x v="1"/>
    <x v="0"/>
    <x v="0"/>
    <x v="0"/>
    <m/>
    <x v="0"/>
    <x v="0"/>
    <n v="0.21031650000000002"/>
    <m/>
    <x v="7"/>
    <x v="3"/>
    <x v="0"/>
    <x v="5"/>
    <x v="0"/>
  </r>
  <r>
    <s v="Singapore"/>
    <x v="0"/>
    <s v="SG1"/>
    <m/>
    <x v="5"/>
    <x v="4"/>
    <x v="2"/>
    <x v="4"/>
    <x v="0"/>
    <x v="0"/>
    <x v="0"/>
    <m/>
    <x v="0"/>
    <x v="0"/>
    <n v="-3.1158000000000002E-2"/>
    <m/>
    <x v="0"/>
    <x v="1"/>
    <x v="0"/>
    <x v="3"/>
    <x v="0"/>
  </r>
  <r>
    <s v="Singapore"/>
    <x v="5"/>
    <s v="SG2"/>
    <m/>
    <x v="1"/>
    <x v="1"/>
    <x v="1"/>
    <x v="1"/>
    <x v="0"/>
    <x v="0"/>
    <x v="0"/>
    <m/>
    <x v="0"/>
    <x v="0"/>
    <n v="-0.1324215"/>
    <m/>
    <x v="4"/>
    <x v="1"/>
    <x v="0"/>
    <x v="3"/>
    <x v="0"/>
  </r>
  <r>
    <s v="Singapore"/>
    <x v="2"/>
    <s v="SG4"/>
    <m/>
    <x v="1"/>
    <x v="0"/>
    <x v="2"/>
    <x v="3"/>
    <x v="0"/>
    <x v="0"/>
    <x v="0"/>
    <m/>
    <x v="0"/>
    <x v="0"/>
    <n v="-0.68547600000000009"/>
    <m/>
    <x v="0"/>
    <x v="0"/>
    <x v="0"/>
    <x v="0"/>
    <x v="0"/>
  </r>
  <r>
    <s v="Singapore"/>
    <x v="5"/>
    <s v="SG1"/>
    <m/>
    <x v="5"/>
    <x v="2"/>
    <x v="2"/>
    <x v="1"/>
    <x v="0"/>
    <x v="0"/>
    <x v="0"/>
    <m/>
    <x v="0"/>
    <x v="0"/>
    <n v="2.3695659"/>
    <m/>
    <x v="3"/>
    <x v="1"/>
    <x v="0"/>
    <x v="0"/>
    <x v="1"/>
  </r>
  <r>
    <s v="Singapore"/>
    <x v="1"/>
    <s v="SG2"/>
    <m/>
    <x v="2"/>
    <x v="1"/>
    <x v="0"/>
    <x v="5"/>
    <x v="0"/>
    <x v="0"/>
    <x v="0"/>
    <m/>
    <x v="0"/>
    <x v="0"/>
    <n v="-24.649483275000001"/>
    <m/>
    <x v="4"/>
    <x v="1"/>
    <x v="0"/>
    <x v="2"/>
    <x v="1"/>
  </r>
  <r>
    <s v="Singapore"/>
    <x v="2"/>
    <s v="SG2"/>
    <m/>
    <x v="5"/>
    <x v="1"/>
    <x v="3"/>
    <x v="2"/>
    <x v="0"/>
    <x v="0"/>
    <x v="0"/>
    <m/>
    <x v="0"/>
    <x v="0"/>
    <n v="0.46737000000000001"/>
    <m/>
    <x v="7"/>
    <x v="3"/>
    <x v="0"/>
    <x v="0"/>
    <x v="0"/>
  </r>
  <r>
    <s v="Singapore"/>
    <x v="0"/>
    <s v="SG3"/>
    <m/>
    <x v="3"/>
    <x v="3"/>
    <x v="1"/>
    <x v="5"/>
    <x v="0"/>
    <x v="0"/>
    <x v="0"/>
    <m/>
    <x v="0"/>
    <x v="0"/>
    <n v="-3.7389600000000002E-2"/>
    <m/>
    <x v="0"/>
    <x v="3"/>
    <x v="0"/>
    <x v="3"/>
    <x v="1"/>
  </r>
  <r>
    <s v="Singapore"/>
    <x v="1"/>
    <s v="SG1"/>
    <m/>
    <x v="1"/>
    <x v="1"/>
    <x v="4"/>
    <x v="5"/>
    <x v="0"/>
    <x v="0"/>
    <x v="0"/>
    <m/>
    <x v="0"/>
    <x v="0"/>
    <n v="-0.32715900000000003"/>
    <m/>
    <x v="0"/>
    <x v="2"/>
    <x v="0"/>
    <x v="3"/>
    <x v="2"/>
  </r>
  <r>
    <s v="Singapore"/>
    <x v="0"/>
    <s v="SG3"/>
    <m/>
    <x v="4"/>
    <x v="0"/>
    <x v="3"/>
    <x v="4"/>
    <x v="0"/>
    <x v="0"/>
    <x v="0"/>
    <m/>
    <x v="0"/>
    <x v="0"/>
    <n v="-0.12463200000000001"/>
    <m/>
    <x v="4"/>
    <x v="1"/>
    <x v="0"/>
    <x v="0"/>
    <x v="2"/>
  </r>
  <r>
    <s v="Singapore"/>
    <x v="2"/>
    <s v="SG3"/>
    <m/>
    <x v="4"/>
    <x v="4"/>
    <x v="1"/>
    <x v="2"/>
    <x v="0"/>
    <x v="0"/>
    <x v="0"/>
    <m/>
    <x v="0"/>
    <x v="0"/>
    <n v="-9.3474000000000002E-2"/>
    <m/>
    <x v="6"/>
    <x v="1"/>
    <x v="0"/>
    <x v="4"/>
    <x v="1"/>
  </r>
  <r>
    <s v="Singapore"/>
    <x v="2"/>
    <s v="SG4"/>
    <m/>
    <x v="5"/>
    <x v="2"/>
    <x v="3"/>
    <x v="0"/>
    <x v="0"/>
    <x v="0"/>
    <x v="0"/>
    <m/>
    <x v="0"/>
    <x v="0"/>
    <n v="-0.33494850000000004"/>
    <m/>
    <x v="4"/>
    <x v="3"/>
    <x v="0"/>
    <x v="3"/>
    <x v="2"/>
  </r>
  <r>
    <s v="Singapore"/>
    <x v="4"/>
    <s v="SG1"/>
    <m/>
    <x v="5"/>
    <x v="3"/>
    <x v="0"/>
    <x v="3"/>
    <x v="0"/>
    <x v="0"/>
    <x v="0"/>
    <m/>
    <x v="0"/>
    <x v="0"/>
    <n v="-5.9200200000000001"/>
    <m/>
    <x v="4"/>
    <x v="0"/>
    <x v="0"/>
    <x v="1"/>
    <x v="2"/>
  </r>
  <r>
    <s v="Singapore"/>
    <x v="0"/>
    <s v="SG2"/>
    <m/>
    <x v="1"/>
    <x v="4"/>
    <x v="2"/>
    <x v="1"/>
    <x v="0"/>
    <x v="0"/>
    <x v="0"/>
    <m/>
    <x v="0"/>
    <x v="0"/>
    <n v="-1.5579000000000001E-2"/>
    <m/>
    <x v="0"/>
    <x v="0"/>
    <x v="0"/>
    <x v="5"/>
    <x v="1"/>
  </r>
  <r>
    <s v="Singapore"/>
    <x v="4"/>
    <s v="SG3"/>
    <m/>
    <x v="5"/>
    <x v="3"/>
    <x v="2"/>
    <x v="0"/>
    <x v="0"/>
    <x v="0"/>
    <x v="0"/>
    <m/>
    <x v="0"/>
    <x v="0"/>
    <n v="86.463450000000009"/>
    <m/>
    <x v="3"/>
    <x v="1"/>
    <x v="0"/>
    <x v="4"/>
    <x v="2"/>
  </r>
  <r>
    <s v="Singapore"/>
    <x v="3"/>
    <s v="SG4"/>
    <m/>
    <x v="1"/>
    <x v="2"/>
    <x v="2"/>
    <x v="2"/>
    <x v="0"/>
    <x v="0"/>
    <x v="0"/>
    <m/>
    <x v="0"/>
    <x v="0"/>
    <n v="-0.140211"/>
    <m/>
    <x v="0"/>
    <x v="3"/>
    <x v="0"/>
    <x v="3"/>
    <x v="1"/>
  </r>
  <r>
    <s v="Singapore"/>
    <x v="2"/>
    <s v="SG2"/>
    <m/>
    <x v="2"/>
    <x v="4"/>
    <x v="3"/>
    <x v="4"/>
    <x v="0"/>
    <x v="0"/>
    <x v="0"/>
    <m/>
    <x v="0"/>
    <x v="0"/>
    <n v="-1.8944064"/>
    <m/>
    <x v="6"/>
    <x v="3"/>
    <x v="0"/>
    <x v="2"/>
    <x v="1"/>
  </r>
  <r>
    <s v="Singapore"/>
    <x v="1"/>
    <s v="SG4"/>
    <m/>
    <x v="4"/>
    <x v="3"/>
    <x v="1"/>
    <x v="3"/>
    <x v="0"/>
    <x v="0"/>
    <x v="0"/>
    <m/>
    <x v="0"/>
    <x v="0"/>
    <n v="-0.12463200000000001"/>
    <m/>
    <x v="0"/>
    <x v="0"/>
    <x v="0"/>
    <x v="4"/>
    <x v="2"/>
  </r>
  <r>
    <s v="Singapore"/>
    <x v="2"/>
    <s v="SG4"/>
    <m/>
    <x v="1"/>
    <x v="2"/>
    <x v="3"/>
    <x v="0"/>
    <x v="0"/>
    <x v="0"/>
    <x v="0"/>
    <m/>
    <x v="0"/>
    <x v="0"/>
    <n v="0.15579000000000001"/>
    <m/>
    <x v="1"/>
    <x v="3"/>
    <x v="0"/>
    <x v="5"/>
    <x v="2"/>
  </r>
  <r>
    <s v="Singapore"/>
    <x v="3"/>
    <s v="SG2"/>
    <m/>
    <x v="0"/>
    <x v="2"/>
    <x v="4"/>
    <x v="1"/>
    <x v="0"/>
    <x v="0"/>
    <x v="0"/>
    <m/>
    <x v="0"/>
    <x v="0"/>
    <n v="-4.6737000000000001E-2"/>
    <m/>
    <x v="0"/>
    <x v="1"/>
    <x v="0"/>
    <x v="0"/>
    <x v="0"/>
  </r>
  <r>
    <s v="Singapore"/>
    <x v="0"/>
    <s v="SG3"/>
    <m/>
    <x v="5"/>
    <x v="0"/>
    <x v="0"/>
    <x v="0"/>
    <x v="0"/>
    <x v="0"/>
    <x v="0"/>
    <m/>
    <x v="0"/>
    <x v="0"/>
    <n v="-0.21031650000000002"/>
    <m/>
    <x v="1"/>
    <x v="3"/>
    <x v="0"/>
    <x v="0"/>
    <x v="2"/>
  </r>
  <r>
    <s v="Singapore"/>
    <x v="3"/>
    <s v="SG3"/>
    <m/>
    <x v="5"/>
    <x v="2"/>
    <x v="0"/>
    <x v="3"/>
    <x v="0"/>
    <x v="0"/>
    <x v="0"/>
    <m/>
    <x v="0"/>
    <x v="0"/>
    <n v="-0.124616421"/>
    <m/>
    <x v="4"/>
    <x v="3"/>
    <x v="0"/>
    <x v="0"/>
    <x v="2"/>
  </r>
  <r>
    <s v="Singapore"/>
    <x v="0"/>
    <s v="SG4"/>
    <m/>
    <x v="1"/>
    <x v="4"/>
    <x v="3"/>
    <x v="4"/>
    <x v="0"/>
    <x v="0"/>
    <x v="0"/>
    <m/>
    <x v="0"/>
    <x v="0"/>
    <n v="-6.2316000000000003E-2"/>
    <m/>
    <x v="4"/>
    <x v="2"/>
    <x v="0"/>
    <x v="3"/>
    <x v="1"/>
  </r>
  <r>
    <s v="Singapore"/>
    <x v="3"/>
    <s v="SG1"/>
    <m/>
    <x v="3"/>
    <x v="3"/>
    <x v="1"/>
    <x v="2"/>
    <x v="0"/>
    <x v="0"/>
    <x v="0"/>
    <m/>
    <x v="0"/>
    <x v="0"/>
    <n v="1.3242150000000001"/>
    <m/>
    <x v="1"/>
    <x v="2"/>
    <x v="0"/>
    <x v="0"/>
    <x v="0"/>
  </r>
  <r>
    <s v="Singapore"/>
    <x v="5"/>
    <s v="SG3"/>
    <m/>
    <x v="2"/>
    <x v="1"/>
    <x v="3"/>
    <x v="2"/>
    <x v="0"/>
    <x v="0"/>
    <x v="0"/>
    <m/>
    <x v="0"/>
    <x v="0"/>
    <n v="-0.1838322"/>
    <m/>
    <x v="4"/>
    <x v="3"/>
    <x v="0"/>
    <x v="4"/>
    <x v="2"/>
  </r>
  <r>
    <s v="Singapore"/>
    <x v="1"/>
    <s v="SG3"/>
    <m/>
    <x v="3"/>
    <x v="3"/>
    <x v="1"/>
    <x v="0"/>
    <x v="0"/>
    <x v="0"/>
    <x v="0"/>
    <m/>
    <x v="0"/>
    <x v="0"/>
    <n v="-1.8461115000000001"/>
    <m/>
    <x v="1"/>
    <x v="1"/>
    <x v="0"/>
    <x v="3"/>
    <x v="0"/>
  </r>
  <r>
    <s v="Singapore"/>
    <x v="1"/>
    <s v="SG2"/>
    <m/>
    <x v="2"/>
    <x v="2"/>
    <x v="4"/>
    <x v="5"/>
    <x v="0"/>
    <x v="0"/>
    <x v="0"/>
    <m/>
    <x v="0"/>
    <x v="0"/>
    <n v="-1.5579000000000001E-2"/>
    <m/>
    <x v="0"/>
    <x v="3"/>
    <x v="0"/>
    <x v="3"/>
    <x v="2"/>
  </r>
  <r>
    <s v="Singapore"/>
    <x v="2"/>
    <s v="SG3"/>
    <m/>
    <x v="3"/>
    <x v="0"/>
    <x v="4"/>
    <x v="5"/>
    <x v="0"/>
    <x v="0"/>
    <x v="0"/>
    <m/>
    <x v="0"/>
    <x v="0"/>
    <n v="-7.7895000000000004E-3"/>
    <m/>
    <x v="0"/>
    <x v="0"/>
    <x v="0"/>
    <x v="3"/>
    <x v="2"/>
  </r>
  <r>
    <s v="Singapore"/>
    <x v="0"/>
    <s v="SG1"/>
    <m/>
    <x v="5"/>
    <x v="3"/>
    <x v="2"/>
    <x v="1"/>
    <x v="0"/>
    <x v="0"/>
    <x v="0"/>
    <m/>
    <x v="0"/>
    <x v="0"/>
    <n v="-7.0105500000000001E-2"/>
    <m/>
    <x v="4"/>
    <x v="1"/>
    <x v="0"/>
    <x v="4"/>
    <x v="2"/>
  </r>
  <r>
    <s v="Singapore"/>
    <x v="0"/>
    <s v="SG1"/>
    <m/>
    <x v="5"/>
    <x v="4"/>
    <x v="3"/>
    <x v="2"/>
    <x v="0"/>
    <x v="0"/>
    <x v="0"/>
    <m/>
    <x v="0"/>
    <x v="0"/>
    <n v="-1.09053"/>
    <m/>
    <x v="4"/>
    <x v="2"/>
    <x v="0"/>
    <x v="1"/>
    <x v="0"/>
  </r>
  <r>
    <s v="Singapore"/>
    <x v="2"/>
    <s v="SG3"/>
    <m/>
    <x v="3"/>
    <x v="0"/>
    <x v="3"/>
    <x v="3"/>
    <x v="0"/>
    <x v="0"/>
    <x v="0"/>
    <m/>
    <x v="0"/>
    <x v="0"/>
    <n v="0.70105499999999998"/>
    <m/>
    <x v="1"/>
    <x v="3"/>
    <x v="0"/>
    <x v="3"/>
    <x v="1"/>
  </r>
  <r>
    <s v="Singapore"/>
    <x v="0"/>
    <s v="SG3"/>
    <m/>
    <x v="5"/>
    <x v="1"/>
    <x v="1"/>
    <x v="0"/>
    <x v="0"/>
    <x v="0"/>
    <x v="0"/>
    <m/>
    <x v="0"/>
    <x v="0"/>
    <n v="-0.186948"/>
    <m/>
    <x v="0"/>
    <x v="3"/>
    <x v="0"/>
    <x v="4"/>
    <x v="0"/>
  </r>
  <r>
    <s v="Singapore"/>
    <x v="0"/>
    <s v="SG4"/>
    <m/>
    <x v="0"/>
    <x v="4"/>
    <x v="3"/>
    <x v="3"/>
    <x v="0"/>
    <x v="0"/>
    <x v="0"/>
    <m/>
    <x v="0"/>
    <x v="0"/>
    <n v="-7.0105500000000003"/>
    <m/>
    <x v="4"/>
    <x v="1"/>
    <x v="0"/>
    <x v="1"/>
    <x v="2"/>
  </r>
  <r>
    <s v="Singapore"/>
    <x v="4"/>
    <s v="SG3"/>
    <m/>
    <x v="2"/>
    <x v="2"/>
    <x v="0"/>
    <x v="3"/>
    <x v="0"/>
    <x v="0"/>
    <x v="0"/>
    <m/>
    <x v="0"/>
    <x v="0"/>
    <n v="1.1450565000000001"/>
    <m/>
    <x v="1"/>
    <x v="2"/>
    <x v="0"/>
    <x v="1"/>
    <x v="1"/>
  </r>
  <r>
    <s v="Singapore"/>
    <x v="3"/>
    <s v="SG1"/>
    <m/>
    <x v="2"/>
    <x v="1"/>
    <x v="3"/>
    <x v="5"/>
    <x v="0"/>
    <x v="0"/>
    <x v="0"/>
    <m/>
    <x v="0"/>
    <x v="0"/>
    <n v="-15.189525000000001"/>
    <m/>
    <x v="9"/>
    <x v="2"/>
    <x v="0"/>
    <x v="3"/>
    <x v="2"/>
  </r>
  <r>
    <s v="Singapore"/>
    <x v="0"/>
    <s v="SG3"/>
    <m/>
    <x v="4"/>
    <x v="0"/>
    <x v="3"/>
    <x v="5"/>
    <x v="0"/>
    <x v="0"/>
    <x v="0"/>
    <m/>
    <x v="0"/>
    <x v="0"/>
    <n v="-0.233685"/>
    <m/>
    <x v="0"/>
    <x v="0"/>
    <x v="0"/>
    <x v="2"/>
    <x v="2"/>
  </r>
  <r>
    <s v="Singapore"/>
    <x v="4"/>
    <s v="SG1"/>
    <m/>
    <x v="3"/>
    <x v="2"/>
    <x v="1"/>
    <x v="4"/>
    <x v="0"/>
    <x v="0"/>
    <x v="0"/>
    <m/>
    <x v="0"/>
    <x v="0"/>
    <n v="-4.6737000000000001E-2"/>
    <m/>
    <x v="0"/>
    <x v="2"/>
    <x v="0"/>
    <x v="5"/>
    <x v="1"/>
  </r>
  <r>
    <s v="Singapore"/>
    <x v="4"/>
    <s v="SG3"/>
    <m/>
    <x v="0"/>
    <x v="0"/>
    <x v="2"/>
    <x v="5"/>
    <x v="0"/>
    <x v="0"/>
    <x v="0"/>
    <m/>
    <x v="0"/>
    <x v="0"/>
    <n v="8.4471363270000008"/>
    <m/>
    <x v="7"/>
    <x v="3"/>
    <x v="0"/>
    <x v="1"/>
    <x v="0"/>
  </r>
  <r>
    <s v="Singapore"/>
    <x v="0"/>
    <s v="SG4"/>
    <m/>
    <x v="2"/>
    <x v="4"/>
    <x v="4"/>
    <x v="4"/>
    <x v="0"/>
    <x v="0"/>
    <x v="0"/>
    <m/>
    <x v="0"/>
    <x v="0"/>
    <n v="0.86214186000000004"/>
    <m/>
    <x v="1"/>
    <x v="2"/>
    <x v="0"/>
    <x v="1"/>
    <x v="0"/>
  </r>
  <r>
    <s v="Singapore"/>
    <x v="5"/>
    <s v="SG3"/>
    <m/>
    <x v="3"/>
    <x v="3"/>
    <x v="4"/>
    <x v="5"/>
    <x v="0"/>
    <x v="0"/>
    <x v="0"/>
    <m/>
    <x v="0"/>
    <x v="0"/>
    <n v="-1.5579000000000001E-2"/>
    <m/>
    <x v="0"/>
    <x v="1"/>
    <x v="0"/>
    <x v="4"/>
    <x v="2"/>
  </r>
  <r>
    <s v="Singapore"/>
    <x v="4"/>
    <s v="SG4"/>
    <m/>
    <x v="2"/>
    <x v="1"/>
    <x v="1"/>
    <x v="1"/>
    <x v="0"/>
    <x v="0"/>
    <x v="0"/>
    <m/>
    <x v="0"/>
    <x v="0"/>
    <n v="-0.43621200000000004"/>
    <m/>
    <x v="1"/>
    <x v="3"/>
    <x v="0"/>
    <x v="1"/>
    <x v="0"/>
  </r>
  <r>
    <s v="Singapore"/>
    <x v="3"/>
    <s v="SG4"/>
    <m/>
    <x v="5"/>
    <x v="2"/>
    <x v="1"/>
    <x v="2"/>
    <x v="0"/>
    <x v="0"/>
    <x v="0"/>
    <m/>
    <x v="0"/>
    <x v="0"/>
    <n v="2.2901130000000003"/>
    <m/>
    <x v="1"/>
    <x v="1"/>
    <x v="0"/>
    <x v="2"/>
    <x v="0"/>
  </r>
  <r>
    <s v="Singapore"/>
    <x v="2"/>
    <s v="SG2"/>
    <m/>
    <x v="0"/>
    <x v="1"/>
    <x v="2"/>
    <x v="0"/>
    <x v="0"/>
    <x v="0"/>
    <x v="0"/>
    <m/>
    <x v="0"/>
    <x v="0"/>
    <n v="-2.775180744"/>
    <m/>
    <x v="4"/>
    <x v="1"/>
    <x v="0"/>
    <x v="2"/>
    <x v="2"/>
  </r>
  <r>
    <s v="Singapore"/>
    <x v="1"/>
    <s v="SG4"/>
    <m/>
    <x v="4"/>
    <x v="1"/>
    <x v="4"/>
    <x v="0"/>
    <x v="0"/>
    <x v="0"/>
    <x v="0"/>
    <m/>
    <x v="0"/>
    <x v="0"/>
    <n v="-0.77895000000000003"/>
    <m/>
    <x v="4"/>
    <x v="1"/>
    <x v="0"/>
    <x v="1"/>
    <x v="0"/>
  </r>
  <r>
    <s v="Singapore"/>
    <x v="3"/>
    <s v="SG3"/>
    <m/>
    <x v="0"/>
    <x v="0"/>
    <x v="0"/>
    <x v="0"/>
    <x v="0"/>
    <x v="0"/>
    <x v="0"/>
    <m/>
    <x v="0"/>
    <x v="0"/>
    <n v="-0.17950123800000001"/>
    <m/>
    <x v="4"/>
    <x v="0"/>
    <x v="0"/>
    <x v="3"/>
    <x v="2"/>
  </r>
  <r>
    <s v="Singapore"/>
    <x v="2"/>
    <s v="SG1"/>
    <m/>
    <x v="4"/>
    <x v="2"/>
    <x v="3"/>
    <x v="5"/>
    <x v="0"/>
    <x v="0"/>
    <x v="0"/>
    <m/>
    <x v="0"/>
    <x v="0"/>
    <n v="0.140211"/>
    <m/>
    <x v="8"/>
    <x v="3"/>
    <x v="0"/>
    <x v="3"/>
    <x v="2"/>
  </r>
  <r>
    <s v="Singapore"/>
    <x v="1"/>
    <s v="SG3"/>
    <m/>
    <x v="5"/>
    <x v="3"/>
    <x v="3"/>
    <x v="1"/>
    <x v="0"/>
    <x v="0"/>
    <x v="0"/>
    <m/>
    <x v="0"/>
    <x v="0"/>
    <n v="-23.896628100000001"/>
    <m/>
    <x v="9"/>
    <x v="2"/>
    <x v="0"/>
    <x v="1"/>
    <x v="2"/>
  </r>
  <r>
    <s v="Singapore"/>
    <x v="5"/>
    <s v="SG3"/>
    <m/>
    <x v="2"/>
    <x v="0"/>
    <x v="0"/>
    <x v="2"/>
    <x v="0"/>
    <x v="0"/>
    <x v="0"/>
    <m/>
    <x v="0"/>
    <x v="0"/>
    <n v="0.46737000000000001"/>
    <m/>
    <x v="1"/>
    <x v="1"/>
    <x v="0"/>
    <x v="4"/>
    <x v="1"/>
  </r>
  <r>
    <s v="Singapore"/>
    <x v="5"/>
    <s v="SG3"/>
    <m/>
    <x v="2"/>
    <x v="0"/>
    <x v="4"/>
    <x v="0"/>
    <x v="0"/>
    <x v="0"/>
    <x v="0"/>
    <m/>
    <x v="0"/>
    <x v="0"/>
    <n v="-1.5579000000000001E-2"/>
    <m/>
    <x v="0"/>
    <x v="0"/>
    <x v="0"/>
    <x v="1"/>
    <x v="1"/>
  </r>
  <r>
    <s v="Singapore"/>
    <x v="5"/>
    <s v="SG3"/>
    <m/>
    <x v="2"/>
    <x v="4"/>
    <x v="0"/>
    <x v="4"/>
    <x v="0"/>
    <x v="0"/>
    <x v="0"/>
    <m/>
    <x v="0"/>
    <x v="0"/>
    <n v="-0.186948"/>
    <m/>
    <x v="0"/>
    <x v="2"/>
    <x v="0"/>
    <x v="0"/>
    <x v="0"/>
  </r>
  <r>
    <s v="Singapore"/>
    <x v="5"/>
    <s v="SG1"/>
    <m/>
    <x v="5"/>
    <x v="0"/>
    <x v="3"/>
    <x v="5"/>
    <x v="0"/>
    <x v="0"/>
    <x v="0"/>
    <m/>
    <x v="0"/>
    <x v="0"/>
    <n v="149.55840000000001"/>
    <m/>
    <x v="1"/>
    <x v="3"/>
    <x v="0"/>
    <x v="5"/>
    <x v="2"/>
  </r>
  <r>
    <s v="Singapore"/>
    <x v="4"/>
    <s v="SG4"/>
    <m/>
    <x v="2"/>
    <x v="4"/>
    <x v="4"/>
    <x v="2"/>
    <x v="0"/>
    <x v="0"/>
    <x v="0"/>
    <m/>
    <x v="0"/>
    <x v="0"/>
    <n v="0.280422"/>
    <m/>
    <x v="0"/>
    <x v="3"/>
    <x v="0"/>
    <x v="1"/>
    <x v="1"/>
  </r>
  <r>
    <s v="Singapore"/>
    <x v="3"/>
    <s v="SG1"/>
    <m/>
    <x v="2"/>
    <x v="3"/>
    <x v="2"/>
    <x v="3"/>
    <x v="0"/>
    <x v="0"/>
    <x v="0"/>
    <m/>
    <x v="0"/>
    <x v="0"/>
    <n v="0.14055373800000001"/>
    <m/>
    <x v="3"/>
    <x v="0"/>
    <x v="0"/>
    <x v="0"/>
    <x v="1"/>
  </r>
  <r>
    <s v="Singapore"/>
    <x v="4"/>
    <s v="SG3"/>
    <m/>
    <x v="4"/>
    <x v="1"/>
    <x v="0"/>
    <x v="4"/>
    <x v="0"/>
    <x v="0"/>
    <x v="0"/>
    <m/>
    <x v="0"/>
    <x v="0"/>
    <n v="-7.7895000000000004E-3"/>
    <m/>
    <x v="0"/>
    <x v="0"/>
    <x v="0"/>
    <x v="1"/>
    <x v="0"/>
  </r>
  <r>
    <s v="Singapore"/>
    <x v="0"/>
    <s v="SG1"/>
    <m/>
    <x v="0"/>
    <x v="3"/>
    <x v="3"/>
    <x v="1"/>
    <x v="0"/>
    <x v="0"/>
    <x v="0"/>
    <m/>
    <x v="0"/>
    <x v="0"/>
    <n v="3.4812677610000002"/>
    <m/>
    <x v="8"/>
    <x v="0"/>
    <x v="0"/>
    <x v="0"/>
    <x v="0"/>
  </r>
  <r>
    <s v="Singapore"/>
    <x v="3"/>
    <s v="SG2"/>
    <m/>
    <x v="4"/>
    <x v="4"/>
    <x v="1"/>
    <x v="3"/>
    <x v="0"/>
    <x v="0"/>
    <x v="0"/>
    <m/>
    <x v="0"/>
    <x v="0"/>
    <n v="-2.33685E-2"/>
    <m/>
    <x v="0"/>
    <x v="0"/>
    <x v="0"/>
    <x v="2"/>
    <x v="0"/>
  </r>
  <r>
    <s v="Singapore"/>
    <x v="5"/>
    <s v="SG1"/>
    <m/>
    <x v="5"/>
    <x v="3"/>
    <x v="1"/>
    <x v="5"/>
    <x v="0"/>
    <x v="0"/>
    <x v="0"/>
    <m/>
    <x v="0"/>
    <x v="0"/>
    <n v="-3.5520120000000004"/>
    <m/>
    <x v="4"/>
    <x v="0"/>
    <x v="0"/>
    <x v="4"/>
    <x v="0"/>
  </r>
  <r>
    <s v="Singapore"/>
    <x v="4"/>
    <s v="SG3"/>
    <m/>
    <x v="0"/>
    <x v="0"/>
    <x v="2"/>
    <x v="2"/>
    <x v="0"/>
    <x v="0"/>
    <x v="0"/>
    <m/>
    <x v="0"/>
    <x v="0"/>
    <n v="2.4926400000000002"/>
    <m/>
    <x v="1"/>
    <x v="0"/>
    <x v="0"/>
    <x v="5"/>
    <x v="1"/>
  </r>
  <r>
    <s v="Singapore"/>
    <x v="0"/>
    <s v="SG1"/>
    <m/>
    <x v="5"/>
    <x v="0"/>
    <x v="4"/>
    <x v="2"/>
    <x v="0"/>
    <x v="0"/>
    <x v="0"/>
    <m/>
    <x v="0"/>
    <x v="0"/>
    <n v="-0.59200200000000003"/>
    <m/>
    <x v="1"/>
    <x v="1"/>
    <x v="0"/>
    <x v="0"/>
    <x v="0"/>
  </r>
  <r>
    <s v="Singapore"/>
    <x v="0"/>
    <s v="SG3"/>
    <m/>
    <x v="2"/>
    <x v="3"/>
    <x v="3"/>
    <x v="1"/>
    <x v="0"/>
    <x v="0"/>
    <x v="0"/>
    <m/>
    <x v="0"/>
    <x v="0"/>
    <n v="1.3550146830000001"/>
    <m/>
    <x v="1"/>
    <x v="0"/>
    <x v="0"/>
    <x v="2"/>
    <x v="1"/>
  </r>
  <r>
    <s v="Singapore"/>
    <x v="1"/>
    <s v="SG2"/>
    <m/>
    <x v="3"/>
    <x v="1"/>
    <x v="2"/>
    <x v="5"/>
    <x v="0"/>
    <x v="0"/>
    <x v="0"/>
    <m/>
    <x v="0"/>
    <x v="0"/>
    <n v="7.7895000000000003"/>
    <m/>
    <x v="8"/>
    <x v="0"/>
    <x v="0"/>
    <x v="4"/>
    <x v="2"/>
  </r>
  <r>
    <s v="Singapore"/>
    <x v="0"/>
    <s v="SG2"/>
    <m/>
    <x v="3"/>
    <x v="2"/>
    <x v="2"/>
    <x v="1"/>
    <x v="0"/>
    <x v="0"/>
    <x v="0"/>
    <m/>
    <x v="0"/>
    <x v="0"/>
    <n v="-0.12463200000000001"/>
    <m/>
    <x v="0"/>
    <x v="1"/>
    <x v="0"/>
    <x v="5"/>
    <x v="1"/>
  </r>
  <r>
    <s v="Singapore"/>
    <x v="2"/>
    <s v="SG4"/>
    <m/>
    <x v="1"/>
    <x v="2"/>
    <x v="0"/>
    <x v="2"/>
    <x v="0"/>
    <x v="0"/>
    <x v="0"/>
    <m/>
    <x v="0"/>
    <x v="0"/>
    <n v="-9.3474000000000004"/>
    <m/>
    <x v="1"/>
    <x v="0"/>
    <x v="0"/>
    <x v="4"/>
    <x v="2"/>
  </r>
  <r>
    <s v="Singapore"/>
    <x v="5"/>
    <s v="SG4"/>
    <m/>
    <x v="4"/>
    <x v="4"/>
    <x v="2"/>
    <x v="0"/>
    <x v="0"/>
    <x v="0"/>
    <x v="0"/>
    <m/>
    <x v="0"/>
    <x v="0"/>
    <n v="1.2463200000000001E-2"/>
    <m/>
    <x v="6"/>
    <x v="1"/>
    <x v="0"/>
    <x v="5"/>
    <x v="0"/>
  </r>
  <r>
    <s v="Singapore"/>
    <x v="4"/>
    <s v="SG2"/>
    <m/>
    <x v="1"/>
    <x v="3"/>
    <x v="4"/>
    <x v="3"/>
    <x v="0"/>
    <x v="0"/>
    <x v="0"/>
    <m/>
    <x v="0"/>
    <x v="0"/>
    <n v="3.2152563360000004"/>
    <m/>
    <x v="1"/>
    <x v="2"/>
    <x v="0"/>
    <x v="4"/>
    <x v="0"/>
  </r>
  <r>
    <s v="Singapore"/>
    <x v="4"/>
    <s v="SG1"/>
    <m/>
    <x v="0"/>
    <x v="2"/>
    <x v="2"/>
    <x v="2"/>
    <x v="0"/>
    <x v="0"/>
    <x v="0"/>
    <m/>
    <x v="0"/>
    <x v="0"/>
    <n v="1.7837955000000001"/>
    <m/>
    <x v="1"/>
    <x v="2"/>
    <x v="0"/>
    <x v="5"/>
    <x v="2"/>
  </r>
  <r>
    <s v="Singapore"/>
    <x v="5"/>
    <s v="SG2"/>
    <m/>
    <x v="2"/>
    <x v="2"/>
    <x v="2"/>
    <x v="0"/>
    <x v="0"/>
    <x v="0"/>
    <x v="0"/>
    <m/>
    <x v="0"/>
    <x v="0"/>
    <n v="-0.31158000000000002"/>
    <m/>
    <x v="4"/>
    <x v="0"/>
    <x v="0"/>
    <x v="0"/>
    <x v="1"/>
  </r>
  <r>
    <s v="Singapore"/>
    <x v="2"/>
    <s v="SG1"/>
    <m/>
    <x v="4"/>
    <x v="2"/>
    <x v="3"/>
    <x v="2"/>
    <x v="0"/>
    <x v="0"/>
    <x v="0"/>
    <m/>
    <x v="0"/>
    <x v="0"/>
    <n v="-0.15390494100000002"/>
    <m/>
    <x v="4"/>
    <x v="1"/>
    <x v="0"/>
    <x v="3"/>
    <x v="2"/>
  </r>
  <r>
    <s v="Singapore"/>
    <x v="5"/>
    <s v="SG3"/>
    <m/>
    <x v="0"/>
    <x v="4"/>
    <x v="2"/>
    <x v="1"/>
    <x v="0"/>
    <x v="0"/>
    <x v="0"/>
    <m/>
    <x v="0"/>
    <x v="0"/>
    <n v="-4.6737000000000001E-2"/>
    <m/>
    <x v="0"/>
    <x v="3"/>
    <x v="0"/>
    <x v="0"/>
    <x v="0"/>
  </r>
  <r>
    <s v="Singapore"/>
    <x v="0"/>
    <s v="SG3"/>
    <m/>
    <x v="4"/>
    <x v="3"/>
    <x v="2"/>
    <x v="2"/>
    <x v="0"/>
    <x v="0"/>
    <x v="0"/>
    <m/>
    <x v="0"/>
    <x v="0"/>
    <n v="-0.62316000000000005"/>
    <m/>
    <x v="0"/>
    <x v="3"/>
    <x v="0"/>
    <x v="1"/>
    <x v="0"/>
  </r>
  <r>
    <s v="Singapore"/>
    <x v="3"/>
    <s v="SG1"/>
    <m/>
    <x v="4"/>
    <x v="3"/>
    <x v="4"/>
    <x v="3"/>
    <x v="0"/>
    <x v="0"/>
    <x v="0"/>
    <m/>
    <x v="0"/>
    <x v="0"/>
    <n v="-0.233685"/>
    <m/>
    <x v="0"/>
    <x v="2"/>
    <x v="0"/>
    <x v="3"/>
    <x v="2"/>
  </r>
  <r>
    <s v="Singapore"/>
    <x v="5"/>
    <s v="SG3"/>
    <m/>
    <x v="0"/>
    <x v="0"/>
    <x v="4"/>
    <x v="4"/>
    <x v="0"/>
    <x v="0"/>
    <x v="0"/>
    <m/>
    <x v="0"/>
    <x v="0"/>
    <n v="0.15968475000000001"/>
    <m/>
    <x v="7"/>
    <x v="0"/>
    <x v="0"/>
    <x v="5"/>
    <x v="2"/>
  </r>
  <r>
    <s v="Singapore"/>
    <x v="4"/>
    <s v="SG4"/>
    <m/>
    <x v="1"/>
    <x v="4"/>
    <x v="4"/>
    <x v="5"/>
    <x v="0"/>
    <x v="0"/>
    <x v="0"/>
    <m/>
    <x v="0"/>
    <x v="0"/>
    <n v="-0.93474000000000002"/>
    <m/>
    <x v="4"/>
    <x v="3"/>
    <x v="0"/>
    <x v="1"/>
    <x v="1"/>
  </r>
  <r>
    <s v="Singapore"/>
    <x v="4"/>
    <s v="SG3"/>
    <m/>
    <x v="3"/>
    <x v="4"/>
    <x v="1"/>
    <x v="5"/>
    <x v="0"/>
    <x v="0"/>
    <x v="0"/>
    <m/>
    <x v="0"/>
    <x v="0"/>
    <n v="-4.0505400000000004E-2"/>
    <m/>
    <x v="3"/>
    <x v="0"/>
    <x v="0"/>
    <x v="0"/>
    <x v="1"/>
  </r>
  <r>
    <s v="Singapore"/>
    <x v="5"/>
    <s v="SG3"/>
    <m/>
    <x v="3"/>
    <x v="3"/>
    <x v="3"/>
    <x v="3"/>
    <x v="0"/>
    <x v="0"/>
    <x v="0"/>
    <m/>
    <x v="0"/>
    <x v="0"/>
    <n v="1.5423210000000001"/>
    <m/>
    <x v="1"/>
    <x v="0"/>
    <x v="0"/>
    <x v="3"/>
    <x v="0"/>
  </r>
  <r>
    <s v="Singapore"/>
    <x v="5"/>
    <s v="SG2"/>
    <m/>
    <x v="2"/>
    <x v="0"/>
    <x v="0"/>
    <x v="4"/>
    <x v="0"/>
    <x v="0"/>
    <x v="0"/>
    <m/>
    <x v="0"/>
    <x v="0"/>
    <n v="-0.233685"/>
    <m/>
    <x v="0"/>
    <x v="1"/>
    <x v="0"/>
    <x v="5"/>
    <x v="1"/>
  </r>
  <r>
    <s v="Singapore"/>
    <x v="2"/>
    <s v="SG1"/>
    <m/>
    <x v="0"/>
    <x v="0"/>
    <x v="3"/>
    <x v="0"/>
    <x v="0"/>
    <x v="0"/>
    <x v="0"/>
    <m/>
    <x v="0"/>
    <x v="0"/>
    <n v="-1.40211"/>
    <m/>
    <x v="4"/>
    <x v="3"/>
    <x v="0"/>
    <x v="1"/>
    <x v="1"/>
  </r>
  <r>
    <s v="Singapore"/>
    <x v="1"/>
    <s v="SG1"/>
    <m/>
    <x v="5"/>
    <x v="4"/>
    <x v="3"/>
    <x v="5"/>
    <x v="0"/>
    <x v="0"/>
    <x v="0"/>
    <m/>
    <x v="0"/>
    <x v="0"/>
    <n v="1.2208483350000001"/>
    <m/>
    <x v="1"/>
    <x v="3"/>
    <x v="0"/>
    <x v="2"/>
    <x v="2"/>
  </r>
  <r>
    <s v="Singapore"/>
    <x v="1"/>
    <s v="SG3"/>
    <m/>
    <x v="4"/>
    <x v="2"/>
    <x v="3"/>
    <x v="5"/>
    <x v="0"/>
    <x v="0"/>
    <x v="0"/>
    <m/>
    <x v="0"/>
    <x v="0"/>
    <n v="-0.1838322"/>
    <m/>
    <x v="4"/>
    <x v="3"/>
    <x v="0"/>
    <x v="1"/>
    <x v="2"/>
  </r>
  <r>
    <s v="Singapore"/>
    <x v="0"/>
    <s v="SG4"/>
    <m/>
    <x v="3"/>
    <x v="4"/>
    <x v="2"/>
    <x v="4"/>
    <x v="0"/>
    <x v="0"/>
    <x v="0"/>
    <m/>
    <x v="0"/>
    <x v="0"/>
    <n v="-7.7895000000000006E-2"/>
    <m/>
    <x v="0"/>
    <x v="2"/>
    <x v="0"/>
    <x v="3"/>
    <x v="0"/>
  </r>
  <r>
    <s v="Singapore"/>
    <x v="5"/>
    <s v="SG1"/>
    <m/>
    <x v="5"/>
    <x v="1"/>
    <x v="0"/>
    <x v="4"/>
    <x v="0"/>
    <x v="0"/>
    <x v="0"/>
    <m/>
    <x v="0"/>
    <x v="0"/>
    <n v="0.70105499999999998"/>
    <m/>
    <x v="1"/>
    <x v="1"/>
    <x v="0"/>
    <x v="1"/>
    <x v="0"/>
  </r>
  <r>
    <s v="Singapore"/>
    <x v="1"/>
    <s v="SG3"/>
    <m/>
    <x v="4"/>
    <x v="2"/>
    <x v="2"/>
    <x v="3"/>
    <x v="0"/>
    <x v="0"/>
    <x v="0"/>
    <m/>
    <x v="0"/>
    <x v="0"/>
    <n v="-4.9852800000000003E-2"/>
    <m/>
    <x v="6"/>
    <x v="2"/>
    <x v="0"/>
    <x v="5"/>
    <x v="1"/>
  </r>
  <r>
    <s v="Singapore"/>
    <x v="0"/>
    <s v="SG1"/>
    <m/>
    <x v="3"/>
    <x v="0"/>
    <x v="2"/>
    <x v="0"/>
    <x v="0"/>
    <x v="0"/>
    <x v="0"/>
    <m/>
    <x v="0"/>
    <x v="0"/>
    <n v="0.67644018000000006"/>
    <m/>
    <x v="1"/>
    <x v="1"/>
    <x v="0"/>
    <x v="2"/>
    <x v="1"/>
  </r>
  <r>
    <s v="Singapore"/>
    <x v="4"/>
    <s v="SG2"/>
    <m/>
    <x v="1"/>
    <x v="0"/>
    <x v="3"/>
    <x v="2"/>
    <x v="0"/>
    <x v="0"/>
    <x v="0"/>
    <m/>
    <x v="0"/>
    <x v="0"/>
    <n v="-0.12463200000000001"/>
    <m/>
    <x v="0"/>
    <x v="3"/>
    <x v="0"/>
    <x v="0"/>
    <x v="2"/>
  </r>
  <r>
    <s v="Singapore"/>
    <x v="5"/>
    <s v="SG4"/>
    <m/>
    <x v="1"/>
    <x v="2"/>
    <x v="2"/>
    <x v="5"/>
    <x v="0"/>
    <x v="0"/>
    <x v="0"/>
    <m/>
    <x v="0"/>
    <x v="0"/>
    <n v="-3.1158000000000002E-2"/>
    <m/>
    <x v="0"/>
    <x v="2"/>
    <x v="0"/>
    <x v="2"/>
    <x v="2"/>
  </r>
  <r>
    <s v="Singapore"/>
    <x v="5"/>
    <s v="SG3"/>
    <m/>
    <x v="4"/>
    <x v="1"/>
    <x v="1"/>
    <x v="3"/>
    <x v="0"/>
    <x v="0"/>
    <x v="0"/>
    <m/>
    <x v="0"/>
    <x v="0"/>
    <n v="-0.77895000000000003"/>
    <m/>
    <x v="4"/>
    <x v="0"/>
    <x v="0"/>
    <x v="2"/>
    <x v="0"/>
  </r>
  <r>
    <s v="Singapore"/>
    <x v="4"/>
    <s v="SG3"/>
    <m/>
    <x v="2"/>
    <x v="1"/>
    <x v="3"/>
    <x v="4"/>
    <x v="0"/>
    <x v="0"/>
    <x v="0"/>
    <m/>
    <x v="0"/>
    <x v="0"/>
    <n v="-1.4469930989999999"/>
    <m/>
    <x v="2"/>
    <x v="3"/>
    <x v="0"/>
    <x v="5"/>
    <x v="2"/>
  </r>
  <r>
    <s v="Singapore"/>
    <x v="5"/>
    <s v="SG3"/>
    <m/>
    <x v="1"/>
    <x v="1"/>
    <x v="0"/>
    <x v="5"/>
    <x v="0"/>
    <x v="0"/>
    <x v="0"/>
    <m/>
    <x v="0"/>
    <x v="0"/>
    <n v="7.0105500000000001E-2"/>
    <m/>
    <x v="1"/>
    <x v="3"/>
    <x v="0"/>
    <x v="3"/>
    <x v="1"/>
  </r>
  <r>
    <s v="Singapore"/>
    <x v="5"/>
    <s v="SG4"/>
    <m/>
    <x v="3"/>
    <x v="0"/>
    <x v="3"/>
    <x v="5"/>
    <x v="0"/>
    <x v="0"/>
    <x v="0"/>
    <m/>
    <x v="0"/>
    <x v="0"/>
    <n v="-7.7895000000000006E-2"/>
    <m/>
    <x v="4"/>
    <x v="1"/>
    <x v="0"/>
    <x v="0"/>
    <x v="2"/>
  </r>
  <r>
    <s v="Singapore"/>
    <x v="3"/>
    <s v="SG2"/>
    <m/>
    <x v="4"/>
    <x v="0"/>
    <x v="3"/>
    <x v="5"/>
    <x v="0"/>
    <x v="0"/>
    <x v="0"/>
    <m/>
    <x v="0"/>
    <x v="0"/>
    <n v="20.474996751000003"/>
    <m/>
    <x v="7"/>
    <x v="1"/>
    <x v="0"/>
    <x v="4"/>
    <x v="2"/>
  </r>
  <r>
    <s v="Singapore"/>
    <x v="5"/>
    <s v="SG4"/>
    <m/>
    <x v="3"/>
    <x v="2"/>
    <x v="0"/>
    <x v="1"/>
    <x v="0"/>
    <x v="0"/>
    <x v="0"/>
    <m/>
    <x v="0"/>
    <x v="0"/>
    <n v="-1.0422351000000001"/>
    <m/>
    <x v="4"/>
    <x v="3"/>
    <x v="0"/>
    <x v="4"/>
    <x v="2"/>
  </r>
  <r>
    <s v="Singapore"/>
    <x v="5"/>
    <s v="SG4"/>
    <m/>
    <x v="3"/>
    <x v="2"/>
    <x v="0"/>
    <x v="1"/>
    <x v="0"/>
    <x v="0"/>
    <x v="0"/>
    <m/>
    <x v="0"/>
    <x v="0"/>
    <n v="-0.60758100000000004"/>
    <m/>
    <x v="0"/>
    <x v="1"/>
    <x v="0"/>
    <x v="5"/>
    <x v="1"/>
  </r>
  <r>
    <s v="Singapore"/>
    <x v="5"/>
    <s v="SG3"/>
    <m/>
    <x v="0"/>
    <x v="0"/>
    <x v="2"/>
    <x v="2"/>
    <x v="0"/>
    <x v="0"/>
    <x v="0"/>
    <m/>
    <x v="0"/>
    <x v="0"/>
    <n v="-2.3368500000000001E-3"/>
    <m/>
    <x v="6"/>
    <x v="2"/>
    <x v="0"/>
    <x v="3"/>
    <x v="0"/>
  </r>
  <r>
    <s v="Singapore"/>
    <x v="4"/>
    <s v="SG3"/>
    <m/>
    <x v="4"/>
    <x v="0"/>
    <x v="3"/>
    <x v="0"/>
    <x v="0"/>
    <x v="0"/>
    <x v="0"/>
    <m/>
    <x v="0"/>
    <x v="0"/>
    <n v="0.71446851900000008"/>
    <m/>
    <x v="1"/>
    <x v="2"/>
    <x v="0"/>
    <x v="1"/>
    <x v="1"/>
  </r>
  <r>
    <s v="Singapore"/>
    <x v="1"/>
    <s v="SG3"/>
    <m/>
    <x v="3"/>
    <x v="4"/>
    <x v="2"/>
    <x v="3"/>
    <x v="0"/>
    <x v="0"/>
    <x v="0"/>
    <m/>
    <x v="0"/>
    <x v="0"/>
    <n v="-0.12463200000000001"/>
    <m/>
    <x v="0"/>
    <x v="3"/>
    <x v="0"/>
    <x v="3"/>
    <x v="0"/>
  </r>
  <r>
    <s v="Singapore"/>
    <x v="5"/>
    <s v="SG3"/>
    <m/>
    <x v="4"/>
    <x v="0"/>
    <x v="3"/>
    <x v="4"/>
    <x v="0"/>
    <x v="0"/>
    <x v="0"/>
    <m/>
    <x v="0"/>
    <x v="0"/>
    <n v="-0.28012599900000001"/>
    <m/>
    <x v="0"/>
    <x v="1"/>
    <x v="0"/>
    <x v="5"/>
    <x v="1"/>
  </r>
  <r>
    <s v="Singapore"/>
    <x v="1"/>
    <s v="SG2"/>
    <m/>
    <x v="1"/>
    <x v="4"/>
    <x v="0"/>
    <x v="3"/>
    <x v="0"/>
    <x v="0"/>
    <x v="0"/>
    <m/>
    <x v="0"/>
    <x v="0"/>
    <n v="-0.57826132200000002"/>
    <m/>
    <x v="3"/>
    <x v="2"/>
    <x v="0"/>
    <x v="5"/>
    <x v="0"/>
  </r>
  <r>
    <s v="Singapore"/>
    <x v="0"/>
    <s v="SG2"/>
    <m/>
    <x v="4"/>
    <x v="1"/>
    <x v="1"/>
    <x v="1"/>
    <x v="0"/>
    <x v="0"/>
    <x v="0"/>
    <m/>
    <x v="0"/>
    <x v="0"/>
    <n v="-9.3474000000000002E-2"/>
    <m/>
    <x v="0"/>
    <x v="0"/>
    <x v="0"/>
    <x v="4"/>
    <x v="2"/>
  </r>
  <r>
    <s v="Singapore"/>
    <x v="5"/>
    <s v="SG2"/>
    <m/>
    <x v="2"/>
    <x v="4"/>
    <x v="0"/>
    <x v="4"/>
    <x v="0"/>
    <x v="0"/>
    <x v="0"/>
    <m/>
    <x v="0"/>
    <x v="0"/>
    <n v="1.385829945"/>
    <m/>
    <x v="1"/>
    <x v="2"/>
    <x v="0"/>
    <x v="5"/>
    <x v="2"/>
  </r>
  <r>
    <s v="Singapore"/>
    <x v="3"/>
    <s v="SG4"/>
    <m/>
    <x v="3"/>
    <x v="4"/>
    <x v="3"/>
    <x v="3"/>
    <x v="0"/>
    <x v="0"/>
    <x v="0"/>
    <m/>
    <x v="0"/>
    <x v="0"/>
    <n v="-4.6737000000000001E-2"/>
    <m/>
    <x v="0"/>
    <x v="2"/>
    <x v="0"/>
    <x v="1"/>
    <x v="2"/>
  </r>
  <r>
    <s v="Singapore"/>
    <x v="3"/>
    <s v="SG3"/>
    <m/>
    <x v="1"/>
    <x v="0"/>
    <x v="2"/>
    <x v="2"/>
    <x v="0"/>
    <x v="0"/>
    <x v="0"/>
    <m/>
    <x v="0"/>
    <x v="0"/>
    <n v="-0.233685"/>
    <m/>
    <x v="0"/>
    <x v="3"/>
    <x v="0"/>
    <x v="3"/>
    <x v="1"/>
  </r>
  <r>
    <s v="Singapore"/>
    <x v="3"/>
    <s v="SG3"/>
    <m/>
    <x v="1"/>
    <x v="4"/>
    <x v="3"/>
    <x v="5"/>
    <x v="0"/>
    <x v="0"/>
    <x v="0"/>
    <m/>
    <x v="0"/>
    <x v="0"/>
    <n v="-0.12463200000000001"/>
    <m/>
    <x v="6"/>
    <x v="0"/>
    <x v="0"/>
    <x v="5"/>
    <x v="0"/>
  </r>
  <r>
    <s v="Singapore"/>
    <x v="5"/>
    <s v="SG2"/>
    <m/>
    <x v="2"/>
    <x v="3"/>
    <x v="0"/>
    <x v="4"/>
    <x v="0"/>
    <x v="0"/>
    <x v="0"/>
    <m/>
    <x v="0"/>
    <x v="0"/>
    <n v="1.7760060000000002"/>
    <m/>
    <x v="8"/>
    <x v="0"/>
    <x v="0"/>
    <x v="2"/>
    <x v="1"/>
  </r>
  <r>
    <s v="Singapore"/>
    <x v="1"/>
    <s v="SG3"/>
    <m/>
    <x v="0"/>
    <x v="2"/>
    <x v="4"/>
    <x v="1"/>
    <x v="0"/>
    <x v="0"/>
    <x v="0"/>
    <m/>
    <x v="0"/>
    <x v="0"/>
    <n v="-2.8338201000000001"/>
    <m/>
    <x v="3"/>
    <x v="0"/>
    <x v="0"/>
    <x v="5"/>
    <x v="1"/>
  </r>
  <r>
    <s v="Singapore"/>
    <x v="1"/>
    <s v="SG2"/>
    <m/>
    <x v="3"/>
    <x v="0"/>
    <x v="0"/>
    <x v="4"/>
    <x v="0"/>
    <x v="0"/>
    <x v="0"/>
    <m/>
    <x v="0"/>
    <x v="0"/>
    <n v="-0.62013767400000008"/>
    <m/>
    <x v="4"/>
    <x v="0"/>
    <x v="0"/>
    <x v="2"/>
    <x v="1"/>
  </r>
  <r>
    <s v="Singapore"/>
    <x v="1"/>
    <s v="SG1"/>
    <m/>
    <x v="0"/>
    <x v="1"/>
    <x v="4"/>
    <x v="5"/>
    <x v="0"/>
    <x v="0"/>
    <x v="0"/>
    <m/>
    <x v="0"/>
    <x v="0"/>
    <n v="-9.3474000000000002E-2"/>
    <m/>
    <x v="0"/>
    <x v="2"/>
    <x v="0"/>
    <x v="5"/>
    <x v="1"/>
  </r>
  <r>
    <s v="Singapore"/>
    <x v="0"/>
    <s v="SG1"/>
    <m/>
    <x v="0"/>
    <x v="4"/>
    <x v="1"/>
    <x v="3"/>
    <x v="0"/>
    <x v="0"/>
    <x v="0"/>
    <m/>
    <x v="0"/>
    <x v="0"/>
    <n v="0.94003685999999997"/>
    <m/>
    <x v="1"/>
    <x v="2"/>
    <x v="0"/>
    <x v="5"/>
    <x v="2"/>
  </r>
  <r>
    <s v="Singapore"/>
    <x v="3"/>
    <s v="SG4"/>
    <m/>
    <x v="4"/>
    <x v="1"/>
    <x v="3"/>
    <x v="0"/>
    <x v="0"/>
    <x v="0"/>
    <x v="0"/>
    <m/>
    <x v="0"/>
    <x v="0"/>
    <n v="-0.46737000000000001"/>
    <m/>
    <x v="4"/>
    <x v="1"/>
    <x v="0"/>
    <x v="0"/>
    <x v="0"/>
  </r>
  <r>
    <s v="Singapore"/>
    <x v="2"/>
    <s v="SG2"/>
    <m/>
    <x v="5"/>
    <x v="2"/>
    <x v="4"/>
    <x v="1"/>
    <x v="0"/>
    <x v="0"/>
    <x v="0"/>
    <m/>
    <x v="0"/>
    <x v="0"/>
    <n v="0.233685"/>
    <m/>
    <x v="1"/>
    <x v="3"/>
    <x v="0"/>
    <x v="3"/>
    <x v="1"/>
  </r>
  <r>
    <s v="Singapore"/>
    <x v="2"/>
    <s v="SG3"/>
    <m/>
    <x v="5"/>
    <x v="1"/>
    <x v="3"/>
    <x v="2"/>
    <x v="0"/>
    <x v="0"/>
    <x v="0"/>
    <m/>
    <x v="0"/>
    <x v="0"/>
    <n v="-3.1158000000000001"/>
    <m/>
    <x v="0"/>
    <x v="3"/>
    <x v="0"/>
    <x v="4"/>
    <x v="1"/>
  </r>
  <r>
    <s v="Singapore"/>
    <x v="4"/>
    <s v="SG1"/>
    <m/>
    <x v="2"/>
    <x v="3"/>
    <x v="4"/>
    <x v="2"/>
    <x v="0"/>
    <x v="0"/>
    <x v="0"/>
    <m/>
    <x v="0"/>
    <x v="0"/>
    <n v="-0.233685"/>
    <m/>
    <x v="0"/>
    <x v="1"/>
    <x v="0"/>
    <x v="0"/>
    <x v="1"/>
  </r>
  <r>
    <s v="Singapore"/>
    <x v="4"/>
    <s v="SG2"/>
    <m/>
    <x v="2"/>
    <x v="3"/>
    <x v="1"/>
    <x v="0"/>
    <x v="0"/>
    <x v="0"/>
    <x v="0"/>
    <m/>
    <x v="0"/>
    <x v="0"/>
    <n v="-1.5579000000000001E-2"/>
    <m/>
    <x v="4"/>
    <x v="2"/>
    <x v="0"/>
    <x v="1"/>
    <x v="0"/>
  </r>
  <r>
    <s v="Singapore"/>
    <x v="5"/>
    <s v="SG1"/>
    <m/>
    <x v="3"/>
    <x v="3"/>
    <x v="3"/>
    <x v="4"/>
    <x v="0"/>
    <x v="0"/>
    <x v="0"/>
    <m/>
    <x v="0"/>
    <x v="0"/>
    <n v="-20.599176960000001"/>
    <m/>
    <x v="8"/>
    <x v="2"/>
    <x v="0"/>
    <x v="2"/>
    <x v="2"/>
  </r>
  <r>
    <s v="Singapore"/>
    <x v="3"/>
    <s v="SG2"/>
    <m/>
    <x v="4"/>
    <x v="2"/>
    <x v="2"/>
    <x v="2"/>
    <x v="0"/>
    <x v="0"/>
    <x v="0"/>
    <m/>
    <x v="0"/>
    <x v="0"/>
    <n v="-1.5579000000000001E-2"/>
    <m/>
    <x v="0"/>
    <x v="2"/>
    <x v="0"/>
    <x v="5"/>
    <x v="1"/>
  </r>
  <r>
    <s v="Singapore"/>
    <x v="1"/>
    <s v="SG4"/>
    <m/>
    <x v="4"/>
    <x v="3"/>
    <x v="0"/>
    <x v="1"/>
    <x v="0"/>
    <x v="0"/>
    <x v="0"/>
    <m/>
    <x v="0"/>
    <x v="0"/>
    <n v="-0.15579000000000001"/>
    <m/>
    <x v="0"/>
    <x v="2"/>
    <x v="0"/>
    <x v="0"/>
    <x v="0"/>
  </r>
  <r>
    <s v="Singapore"/>
    <x v="5"/>
    <s v="SG1"/>
    <m/>
    <x v="4"/>
    <x v="1"/>
    <x v="3"/>
    <x v="2"/>
    <x v="0"/>
    <x v="0"/>
    <x v="0"/>
    <m/>
    <x v="0"/>
    <x v="0"/>
    <n v="-1.5579000000000001E-2"/>
    <m/>
    <x v="0"/>
    <x v="1"/>
    <x v="0"/>
    <x v="1"/>
    <x v="0"/>
  </r>
  <r>
    <s v="Singapore"/>
    <x v="4"/>
    <s v="SG3"/>
    <m/>
    <x v="1"/>
    <x v="0"/>
    <x v="1"/>
    <x v="5"/>
    <x v="0"/>
    <x v="0"/>
    <x v="0"/>
    <m/>
    <x v="0"/>
    <x v="0"/>
    <n v="-19.754172000000001"/>
    <m/>
    <x v="4"/>
    <x v="1"/>
    <x v="0"/>
    <x v="3"/>
    <x v="2"/>
  </r>
  <r>
    <s v="Singapore"/>
    <x v="3"/>
    <s v="SG2"/>
    <m/>
    <x v="1"/>
    <x v="0"/>
    <x v="1"/>
    <x v="1"/>
    <x v="0"/>
    <x v="0"/>
    <x v="0"/>
    <m/>
    <x v="0"/>
    <x v="0"/>
    <n v="0.17136900000000002"/>
    <m/>
    <x v="7"/>
    <x v="2"/>
    <x v="0"/>
    <x v="5"/>
    <x v="1"/>
  </r>
  <r>
    <s v="Singapore"/>
    <x v="2"/>
    <s v="SG2"/>
    <m/>
    <x v="1"/>
    <x v="0"/>
    <x v="0"/>
    <x v="5"/>
    <x v="0"/>
    <x v="0"/>
    <x v="0"/>
    <m/>
    <x v="0"/>
    <x v="0"/>
    <n v="-0.15579000000000001"/>
    <m/>
    <x v="0"/>
    <x v="2"/>
    <x v="0"/>
    <x v="4"/>
    <x v="2"/>
  </r>
  <r>
    <s v="Singapore"/>
    <x v="0"/>
    <s v="SG1"/>
    <m/>
    <x v="0"/>
    <x v="3"/>
    <x v="4"/>
    <x v="0"/>
    <x v="0"/>
    <x v="0"/>
    <x v="0"/>
    <m/>
    <x v="0"/>
    <x v="0"/>
    <n v="-0.140211"/>
    <m/>
    <x v="0"/>
    <x v="0"/>
    <x v="0"/>
    <x v="5"/>
    <x v="1"/>
  </r>
  <r>
    <s v="Singapore"/>
    <x v="0"/>
    <s v="SG2"/>
    <m/>
    <x v="4"/>
    <x v="1"/>
    <x v="1"/>
    <x v="4"/>
    <x v="0"/>
    <x v="0"/>
    <x v="0"/>
    <m/>
    <x v="0"/>
    <x v="0"/>
    <n v="-0.1838322"/>
    <m/>
    <x v="4"/>
    <x v="1"/>
    <x v="0"/>
    <x v="4"/>
    <x v="1"/>
  </r>
  <r>
    <s v="Singapore"/>
    <x v="1"/>
    <s v="SG2"/>
    <m/>
    <x v="2"/>
    <x v="2"/>
    <x v="0"/>
    <x v="2"/>
    <x v="0"/>
    <x v="0"/>
    <x v="0"/>
    <m/>
    <x v="0"/>
    <x v="0"/>
    <n v="0.1324215"/>
    <m/>
    <x v="1"/>
    <x v="3"/>
    <x v="0"/>
    <x v="3"/>
    <x v="1"/>
  </r>
  <r>
    <s v="Singapore"/>
    <x v="4"/>
    <s v="SG2"/>
    <m/>
    <x v="3"/>
    <x v="2"/>
    <x v="3"/>
    <x v="4"/>
    <x v="0"/>
    <x v="0"/>
    <x v="0"/>
    <m/>
    <x v="0"/>
    <x v="0"/>
    <n v="-4.6737000000000001E-2"/>
    <m/>
    <x v="0"/>
    <x v="1"/>
    <x v="0"/>
    <x v="0"/>
    <x v="2"/>
  </r>
  <r>
    <s v="Singapore"/>
    <x v="2"/>
    <s v="SG3"/>
    <m/>
    <x v="4"/>
    <x v="1"/>
    <x v="0"/>
    <x v="0"/>
    <x v="0"/>
    <x v="0"/>
    <x v="0"/>
    <m/>
    <x v="0"/>
    <x v="0"/>
    <n v="-0.140211"/>
    <m/>
    <x v="0"/>
    <x v="2"/>
    <x v="0"/>
    <x v="2"/>
    <x v="1"/>
  </r>
  <r>
    <s v="Singapore"/>
    <x v="4"/>
    <s v="SG3"/>
    <m/>
    <x v="5"/>
    <x v="2"/>
    <x v="2"/>
    <x v="3"/>
    <x v="0"/>
    <x v="0"/>
    <x v="0"/>
    <m/>
    <x v="0"/>
    <x v="0"/>
    <n v="1.5161482800000001"/>
    <m/>
    <x v="1"/>
    <x v="0"/>
    <x v="0"/>
    <x v="1"/>
    <x v="0"/>
  </r>
  <r>
    <s v="Singapore"/>
    <x v="5"/>
    <s v="SG3"/>
    <m/>
    <x v="4"/>
    <x v="4"/>
    <x v="0"/>
    <x v="3"/>
    <x v="0"/>
    <x v="0"/>
    <x v="0"/>
    <m/>
    <x v="0"/>
    <x v="0"/>
    <n v="-0.34273800000000004"/>
    <m/>
    <x v="8"/>
    <x v="0"/>
    <x v="0"/>
    <x v="0"/>
    <x v="2"/>
  </r>
  <r>
    <s v="Singapore"/>
    <x v="3"/>
    <s v="SG1"/>
    <m/>
    <x v="0"/>
    <x v="0"/>
    <x v="4"/>
    <x v="1"/>
    <x v="0"/>
    <x v="0"/>
    <x v="0"/>
    <m/>
    <x v="0"/>
    <x v="0"/>
    <n v="-3.1158000000000002E-2"/>
    <m/>
    <x v="0"/>
    <x v="0"/>
    <x v="0"/>
    <x v="3"/>
    <x v="1"/>
  </r>
  <r>
    <s v="Singapore"/>
    <x v="3"/>
    <s v="SG3"/>
    <m/>
    <x v="2"/>
    <x v="2"/>
    <x v="2"/>
    <x v="3"/>
    <x v="0"/>
    <x v="0"/>
    <x v="0"/>
    <m/>
    <x v="0"/>
    <x v="0"/>
    <n v="2.8556307000000003"/>
    <m/>
    <x v="1"/>
    <x v="2"/>
    <x v="0"/>
    <x v="3"/>
    <x v="2"/>
  </r>
  <r>
    <s v="Singapore"/>
    <x v="2"/>
    <s v="SG2"/>
    <m/>
    <x v="3"/>
    <x v="2"/>
    <x v="2"/>
    <x v="0"/>
    <x v="0"/>
    <x v="0"/>
    <x v="0"/>
    <m/>
    <x v="0"/>
    <x v="0"/>
    <n v="0.15579000000000001"/>
    <m/>
    <x v="1"/>
    <x v="2"/>
    <x v="0"/>
    <x v="0"/>
    <x v="0"/>
  </r>
  <r>
    <s v="Singapore"/>
    <x v="5"/>
    <s v="SG2"/>
    <m/>
    <x v="2"/>
    <x v="4"/>
    <x v="0"/>
    <x v="4"/>
    <x v="0"/>
    <x v="0"/>
    <x v="0"/>
    <m/>
    <x v="0"/>
    <x v="0"/>
    <n v="2.4303240000000002"/>
    <m/>
    <x v="1"/>
    <x v="3"/>
    <x v="0"/>
    <x v="0"/>
    <x v="2"/>
  </r>
  <r>
    <s v="Singapore"/>
    <x v="3"/>
    <s v="SG1"/>
    <m/>
    <x v="3"/>
    <x v="4"/>
    <x v="4"/>
    <x v="0"/>
    <x v="0"/>
    <x v="0"/>
    <x v="0"/>
    <m/>
    <x v="0"/>
    <x v="0"/>
    <n v="1.9324191600000002"/>
    <m/>
    <x v="1"/>
    <x v="2"/>
    <x v="0"/>
    <x v="5"/>
    <x v="0"/>
  </r>
  <r>
    <s v="Singapore"/>
    <x v="3"/>
    <s v="SG4"/>
    <m/>
    <x v="3"/>
    <x v="1"/>
    <x v="0"/>
    <x v="2"/>
    <x v="0"/>
    <x v="0"/>
    <x v="0"/>
    <m/>
    <x v="0"/>
    <x v="0"/>
    <n v="-16.3190025"/>
    <m/>
    <x v="1"/>
    <x v="1"/>
    <x v="0"/>
    <x v="1"/>
    <x v="1"/>
  </r>
  <r>
    <s v="Singapore"/>
    <x v="4"/>
    <s v="SG2"/>
    <m/>
    <x v="2"/>
    <x v="0"/>
    <x v="3"/>
    <x v="2"/>
    <x v="0"/>
    <x v="0"/>
    <x v="0"/>
    <m/>
    <x v="0"/>
    <x v="0"/>
    <n v="-0.31158000000000002"/>
    <m/>
    <x v="0"/>
    <x v="0"/>
    <x v="0"/>
    <x v="1"/>
    <x v="1"/>
  </r>
  <r>
    <s v="Singapore"/>
    <x v="3"/>
    <s v="SG2"/>
    <m/>
    <x v="2"/>
    <x v="1"/>
    <x v="0"/>
    <x v="3"/>
    <x v="0"/>
    <x v="0"/>
    <x v="0"/>
    <m/>
    <x v="0"/>
    <x v="0"/>
    <n v="-0.77895000000000003"/>
    <m/>
    <x v="4"/>
    <x v="3"/>
    <x v="0"/>
    <x v="1"/>
    <x v="1"/>
  </r>
  <r>
    <s v="Singapore"/>
    <x v="0"/>
    <s v="SG3"/>
    <m/>
    <x v="5"/>
    <x v="1"/>
    <x v="0"/>
    <x v="0"/>
    <x v="0"/>
    <x v="0"/>
    <x v="0"/>
    <m/>
    <x v="0"/>
    <x v="0"/>
    <n v="0.93474000000000002"/>
    <m/>
    <x v="0"/>
    <x v="2"/>
    <x v="0"/>
    <x v="3"/>
    <x v="0"/>
  </r>
  <r>
    <s v="Singapore"/>
    <x v="0"/>
    <s v="SG2"/>
    <m/>
    <x v="0"/>
    <x v="1"/>
    <x v="2"/>
    <x v="0"/>
    <x v="0"/>
    <x v="0"/>
    <x v="0"/>
    <m/>
    <x v="0"/>
    <x v="0"/>
    <n v="-0.46737000000000001"/>
    <m/>
    <x v="0"/>
    <x v="3"/>
    <x v="0"/>
    <x v="4"/>
    <x v="2"/>
  </r>
  <r>
    <s v="Singapore"/>
    <x v="5"/>
    <s v="SG2"/>
    <m/>
    <x v="4"/>
    <x v="0"/>
    <x v="3"/>
    <x v="2"/>
    <x v="0"/>
    <x v="0"/>
    <x v="0"/>
    <m/>
    <x v="0"/>
    <x v="0"/>
    <n v="-27.148697613000003"/>
    <m/>
    <x v="0"/>
    <x v="0"/>
    <x v="0"/>
    <x v="0"/>
    <x v="1"/>
  </r>
  <r>
    <s v="Singapore"/>
    <x v="4"/>
    <s v="SG4"/>
    <m/>
    <x v="4"/>
    <x v="1"/>
    <x v="3"/>
    <x v="4"/>
    <x v="0"/>
    <x v="0"/>
    <x v="0"/>
    <m/>
    <x v="0"/>
    <x v="0"/>
    <n v="-4.6737000000000001E-2"/>
    <m/>
    <x v="0"/>
    <x v="3"/>
    <x v="0"/>
    <x v="5"/>
    <x v="2"/>
  </r>
  <r>
    <s v="Singapore"/>
    <x v="2"/>
    <s v="SG3"/>
    <m/>
    <x v="4"/>
    <x v="3"/>
    <x v="1"/>
    <x v="2"/>
    <x v="0"/>
    <x v="0"/>
    <x v="0"/>
    <m/>
    <x v="0"/>
    <x v="0"/>
    <n v="-0.21810600000000002"/>
    <m/>
    <x v="4"/>
    <x v="1"/>
    <x v="0"/>
    <x v="2"/>
    <x v="2"/>
  </r>
  <r>
    <s v="Singapore"/>
    <x v="0"/>
    <s v="SG2"/>
    <m/>
    <x v="3"/>
    <x v="0"/>
    <x v="4"/>
    <x v="1"/>
    <x v="0"/>
    <x v="0"/>
    <x v="0"/>
    <m/>
    <x v="0"/>
    <x v="0"/>
    <n v="-0.1838322"/>
    <m/>
    <x v="4"/>
    <x v="2"/>
    <x v="0"/>
    <x v="4"/>
    <x v="0"/>
  </r>
  <r>
    <s v="Singapore"/>
    <x v="5"/>
    <s v="SG2"/>
    <m/>
    <x v="3"/>
    <x v="3"/>
    <x v="3"/>
    <x v="0"/>
    <x v="0"/>
    <x v="0"/>
    <x v="0"/>
    <m/>
    <x v="0"/>
    <x v="0"/>
    <n v="0.31158000000000002"/>
    <m/>
    <x v="7"/>
    <x v="0"/>
    <x v="0"/>
    <x v="3"/>
    <x v="2"/>
  </r>
  <r>
    <s v="Singapore"/>
    <x v="4"/>
    <s v="SG3"/>
    <m/>
    <x v="4"/>
    <x v="0"/>
    <x v="4"/>
    <x v="3"/>
    <x v="0"/>
    <x v="0"/>
    <x v="0"/>
    <m/>
    <x v="0"/>
    <x v="0"/>
    <n v="-0.38947500000000002"/>
    <m/>
    <x v="4"/>
    <x v="1"/>
    <x v="0"/>
    <x v="0"/>
    <x v="1"/>
  </r>
  <r>
    <s v="Singapore"/>
    <x v="5"/>
    <s v="SG2"/>
    <m/>
    <x v="4"/>
    <x v="4"/>
    <x v="2"/>
    <x v="2"/>
    <x v="0"/>
    <x v="0"/>
    <x v="0"/>
    <m/>
    <x v="0"/>
    <x v="0"/>
    <n v="1.0801232280000002"/>
    <m/>
    <x v="1"/>
    <x v="2"/>
    <x v="0"/>
    <x v="0"/>
    <x v="2"/>
  </r>
  <r>
    <s v="Singapore"/>
    <x v="0"/>
    <s v="SG3"/>
    <m/>
    <x v="2"/>
    <x v="2"/>
    <x v="2"/>
    <x v="2"/>
    <x v="0"/>
    <x v="0"/>
    <x v="0"/>
    <m/>
    <x v="0"/>
    <x v="0"/>
    <n v="-0.15504220800000001"/>
    <m/>
    <x v="0"/>
    <x v="1"/>
    <x v="0"/>
    <x v="4"/>
    <x v="1"/>
  </r>
  <r>
    <s v="Singapore"/>
    <x v="0"/>
    <s v="SG3"/>
    <m/>
    <x v="0"/>
    <x v="3"/>
    <x v="2"/>
    <x v="1"/>
    <x v="0"/>
    <x v="0"/>
    <x v="0"/>
    <m/>
    <x v="0"/>
    <x v="0"/>
    <n v="2.3680080000000001"/>
    <m/>
    <x v="1"/>
    <x v="2"/>
    <x v="0"/>
    <x v="4"/>
    <x v="1"/>
  </r>
  <r>
    <s v="Singapore"/>
    <x v="3"/>
    <s v="SG2"/>
    <m/>
    <x v="3"/>
    <x v="2"/>
    <x v="1"/>
    <x v="4"/>
    <x v="0"/>
    <x v="0"/>
    <x v="0"/>
    <m/>
    <x v="0"/>
    <x v="0"/>
    <n v="-0.46737000000000001"/>
    <m/>
    <x v="0"/>
    <x v="2"/>
    <x v="0"/>
    <x v="1"/>
    <x v="0"/>
  </r>
  <r>
    <s v="Singapore"/>
    <x v="5"/>
    <s v="SG4"/>
    <m/>
    <x v="0"/>
    <x v="3"/>
    <x v="4"/>
    <x v="4"/>
    <x v="0"/>
    <x v="0"/>
    <x v="0"/>
    <m/>
    <x v="0"/>
    <x v="0"/>
    <n v="-227.65592700000002"/>
    <m/>
    <x v="7"/>
    <x v="1"/>
    <x v="0"/>
    <x v="4"/>
    <x v="2"/>
  </r>
  <r>
    <s v="Singapore"/>
    <x v="3"/>
    <s v="SG2"/>
    <m/>
    <x v="4"/>
    <x v="2"/>
    <x v="4"/>
    <x v="1"/>
    <x v="0"/>
    <x v="0"/>
    <x v="0"/>
    <m/>
    <x v="0"/>
    <x v="0"/>
    <n v="-0.29989575000000002"/>
    <m/>
    <x v="3"/>
    <x v="2"/>
    <x v="0"/>
    <x v="0"/>
    <x v="2"/>
  </r>
  <r>
    <s v="Singapore"/>
    <x v="5"/>
    <s v="SG2"/>
    <m/>
    <x v="4"/>
    <x v="1"/>
    <x v="2"/>
    <x v="2"/>
    <x v="0"/>
    <x v="0"/>
    <x v="0"/>
    <m/>
    <x v="0"/>
    <x v="0"/>
    <n v="-9.3474000000000002E-2"/>
    <m/>
    <x v="0"/>
    <x v="2"/>
    <x v="0"/>
    <x v="3"/>
    <x v="0"/>
  </r>
  <r>
    <s v="Singapore"/>
    <x v="5"/>
    <s v="SG3"/>
    <m/>
    <x v="1"/>
    <x v="2"/>
    <x v="0"/>
    <x v="5"/>
    <x v="0"/>
    <x v="0"/>
    <x v="0"/>
    <m/>
    <x v="0"/>
    <x v="0"/>
    <n v="-2.4926400000000002"/>
    <m/>
    <x v="0"/>
    <x v="0"/>
    <x v="0"/>
    <x v="5"/>
    <x v="2"/>
  </r>
  <r>
    <s v="Singapore"/>
    <x v="5"/>
    <s v="SG1"/>
    <m/>
    <x v="0"/>
    <x v="1"/>
    <x v="0"/>
    <x v="0"/>
    <x v="0"/>
    <x v="0"/>
    <x v="0"/>
    <m/>
    <x v="0"/>
    <x v="0"/>
    <n v="-3.1158000000000002E-2"/>
    <m/>
    <x v="0"/>
    <x v="1"/>
    <x v="0"/>
    <x v="3"/>
    <x v="1"/>
  </r>
  <r>
    <s v="Singapore"/>
    <x v="0"/>
    <s v="SG2"/>
    <m/>
    <x v="4"/>
    <x v="4"/>
    <x v="4"/>
    <x v="5"/>
    <x v="0"/>
    <x v="0"/>
    <x v="0"/>
    <m/>
    <x v="0"/>
    <x v="0"/>
    <n v="-50.134826637000003"/>
    <m/>
    <x v="2"/>
    <x v="0"/>
    <x v="0"/>
    <x v="3"/>
    <x v="1"/>
  </r>
  <r>
    <s v="Singapore"/>
    <x v="1"/>
    <s v="SG1"/>
    <m/>
    <x v="3"/>
    <x v="3"/>
    <x v="4"/>
    <x v="3"/>
    <x v="0"/>
    <x v="0"/>
    <x v="0"/>
    <m/>
    <x v="0"/>
    <x v="0"/>
    <n v="5.328018000000001E-2"/>
    <m/>
    <x v="1"/>
    <x v="0"/>
    <x v="0"/>
    <x v="0"/>
    <x v="2"/>
  </r>
  <r>
    <s v="Singapore"/>
    <x v="3"/>
    <s v="SG2"/>
    <m/>
    <x v="0"/>
    <x v="3"/>
    <x v="0"/>
    <x v="5"/>
    <x v="0"/>
    <x v="0"/>
    <x v="0"/>
    <m/>
    <x v="0"/>
    <x v="0"/>
    <n v="-0.37389600000000001"/>
    <m/>
    <x v="1"/>
    <x v="2"/>
    <x v="0"/>
    <x v="5"/>
    <x v="1"/>
  </r>
  <r>
    <s v="Singapore"/>
    <x v="5"/>
    <s v="SG4"/>
    <m/>
    <x v="5"/>
    <x v="2"/>
    <x v="2"/>
    <x v="1"/>
    <x v="0"/>
    <x v="0"/>
    <x v="0"/>
    <m/>
    <x v="0"/>
    <x v="0"/>
    <n v="0.1838322"/>
    <m/>
    <x v="4"/>
    <x v="3"/>
    <x v="0"/>
    <x v="0"/>
    <x v="0"/>
  </r>
  <r>
    <s v="Singapore"/>
    <x v="0"/>
    <s v="SG2"/>
    <m/>
    <x v="4"/>
    <x v="3"/>
    <x v="1"/>
    <x v="1"/>
    <x v="0"/>
    <x v="0"/>
    <x v="0"/>
    <m/>
    <x v="0"/>
    <x v="0"/>
    <n v="-0.17136900000000002"/>
    <m/>
    <x v="0"/>
    <x v="1"/>
    <x v="0"/>
    <x v="2"/>
    <x v="1"/>
  </r>
  <r>
    <s v="Singapore"/>
    <x v="3"/>
    <s v="SG1"/>
    <m/>
    <x v="1"/>
    <x v="1"/>
    <x v="3"/>
    <x v="1"/>
    <x v="0"/>
    <x v="0"/>
    <x v="0"/>
    <m/>
    <x v="0"/>
    <x v="0"/>
    <n v="-4.1730532560000002"/>
    <m/>
    <x v="1"/>
    <x v="0"/>
    <x v="0"/>
    <x v="4"/>
    <x v="0"/>
  </r>
  <r>
    <s v="Singapore"/>
    <x v="2"/>
    <s v="SG3"/>
    <m/>
    <x v="0"/>
    <x v="2"/>
    <x v="3"/>
    <x v="3"/>
    <x v="0"/>
    <x v="0"/>
    <x v="0"/>
    <m/>
    <x v="0"/>
    <x v="0"/>
    <n v="-0.12463200000000001"/>
    <m/>
    <x v="0"/>
    <x v="1"/>
    <x v="0"/>
    <x v="0"/>
    <x v="1"/>
  </r>
  <r>
    <s v="Singapore"/>
    <x v="5"/>
    <s v="SG2"/>
    <m/>
    <x v="5"/>
    <x v="2"/>
    <x v="1"/>
    <x v="3"/>
    <x v="0"/>
    <x v="0"/>
    <x v="0"/>
    <m/>
    <x v="0"/>
    <x v="0"/>
    <n v="-7.7895000000000004E-3"/>
    <m/>
    <x v="0"/>
    <x v="3"/>
    <x v="0"/>
    <x v="0"/>
    <x v="2"/>
  </r>
  <r>
    <s v="Singapore"/>
    <x v="2"/>
    <s v="SG3"/>
    <m/>
    <x v="5"/>
    <x v="2"/>
    <x v="3"/>
    <x v="3"/>
    <x v="0"/>
    <x v="0"/>
    <x v="0"/>
    <m/>
    <x v="0"/>
    <x v="0"/>
    <n v="0.7290972"/>
    <m/>
    <x v="2"/>
    <x v="2"/>
    <x v="0"/>
    <x v="5"/>
    <x v="0"/>
  </r>
  <r>
    <s v="Singapore"/>
    <x v="4"/>
    <s v="SG1"/>
    <m/>
    <x v="0"/>
    <x v="4"/>
    <x v="4"/>
    <x v="4"/>
    <x v="0"/>
    <x v="0"/>
    <x v="0"/>
    <m/>
    <x v="0"/>
    <x v="0"/>
    <n v="-0.1838322"/>
    <m/>
    <x v="4"/>
    <x v="3"/>
    <x v="0"/>
    <x v="3"/>
    <x v="2"/>
  </r>
  <r>
    <s v="Singapore"/>
    <x v="0"/>
    <s v="SG1"/>
    <m/>
    <x v="5"/>
    <x v="3"/>
    <x v="4"/>
    <x v="1"/>
    <x v="0"/>
    <x v="0"/>
    <x v="0"/>
    <m/>
    <x v="0"/>
    <x v="0"/>
    <n v="-1.121688"/>
    <m/>
    <x v="0"/>
    <x v="0"/>
    <x v="0"/>
    <x v="4"/>
    <x v="2"/>
  </r>
  <r>
    <s v="Singapore"/>
    <x v="4"/>
    <s v="SG3"/>
    <m/>
    <x v="4"/>
    <x v="1"/>
    <x v="2"/>
    <x v="3"/>
    <x v="0"/>
    <x v="0"/>
    <x v="0"/>
    <m/>
    <x v="0"/>
    <x v="0"/>
    <n v="-0.31158000000000002"/>
    <m/>
    <x v="0"/>
    <x v="2"/>
    <x v="0"/>
    <x v="3"/>
    <x v="2"/>
  </r>
  <r>
    <s v="Singapore"/>
    <x v="0"/>
    <s v="SG1"/>
    <m/>
    <x v="3"/>
    <x v="0"/>
    <x v="3"/>
    <x v="5"/>
    <x v="0"/>
    <x v="0"/>
    <x v="0"/>
    <m/>
    <x v="0"/>
    <x v="0"/>
    <n v="-0.69669288000000007"/>
    <m/>
    <x v="0"/>
    <x v="3"/>
    <x v="0"/>
    <x v="3"/>
    <x v="1"/>
  </r>
  <r>
    <s v="Singapore"/>
    <x v="2"/>
    <s v="SG2"/>
    <m/>
    <x v="3"/>
    <x v="3"/>
    <x v="2"/>
    <x v="4"/>
    <x v="0"/>
    <x v="0"/>
    <x v="0"/>
    <m/>
    <x v="0"/>
    <x v="0"/>
    <n v="2.7263250000000001"/>
    <m/>
    <x v="1"/>
    <x v="0"/>
    <x v="0"/>
    <x v="4"/>
    <x v="2"/>
  </r>
  <r>
    <s v="Singapore"/>
    <x v="0"/>
    <s v="SG4"/>
    <m/>
    <x v="5"/>
    <x v="4"/>
    <x v="4"/>
    <x v="5"/>
    <x v="0"/>
    <x v="0"/>
    <x v="0"/>
    <m/>
    <x v="0"/>
    <x v="0"/>
    <n v="0.46737000000000001"/>
    <m/>
    <x v="1"/>
    <x v="1"/>
    <x v="0"/>
    <x v="4"/>
    <x v="0"/>
  </r>
  <r>
    <s v="Singapore"/>
    <x v="4"/>
    <s v="SG4"/>
    <m/>
    <x v="4"/>
    <x v="1"/>
    <x v="2"/>
    <x v="2"/>
    <x v="0"/>
    <x v="0"/>
    <x v="0"/>
    <m/>
    <x v="0"/>
    <x v="0"/>
    <n v="-0.31006883700000004"/>
    <m/>
    <x v="0"/>
    <x v="0"/>
    <x v="0"/>
    <x v="2"/>
    <x v="1"/>
  </r>
  <r>
    <s v="Singapore"/>
    <x v="1"/>
    <s v="SG2"/>
    <m/>
    <x v="4"/>
    <x v="1"/>
    <x v="4"/>
    <x v="3"/>
    <x v="0"/>
    <x v="0"/>
    <x v="0"/>
    <m/>
    <x v="0"/>
    <x v="0"/>
    <n v="-0.62316000000000005"/>
    <m/>
    <x v="4"/>
    <x v="0"/>
    <x v="0"/>
    <x v="2"/>
    <x v="2"/>
  </r>
  <r>
    <s v="Singapore"/>
    <x v="4"/>
    <s v="SG1"/>
    <m/>
    <x v="5"/>
    <x v="2"/>
    <x v="3"/>
    <x v="1"/>
    <x v="0"/>
    <x v="0"/>
    <x v="0"/>
    <m/>
    <x v="0"/>
    <x v="0"/>
    <n v="1.7136900000000002E-4"/>
    <m/>
    <x v="8"/>
    <x v="0"/>
    <x v="0"/>
    <x v="3"/>
    <x v="2"/>
  </r>
  <r>
    <s v="Singapore"/>
    <x v="2"/>
    <s v="SG3"/>
    <m/>
    <x v="3"/>
    <x v="4"/>
    <x v="4"/>
    <x v="2"/>
    <x v="0"/>
    <x v="0"/>
    <x v="0"/>
    <m/>
    <x v="0"/>
    <x v="0"/>
    <n v="-0.79452900000000004"/>
    <m/>
    <x v="0"/>
    <x v="0"/>
    <x v="0"/>
    <x v="1"/>
    <x v="0"/>
  </r>
  <r>
    <s v="Singapore"/>
    <x v="0"/>
    <s v="SG4"/>
    <m/>
    <x v="3"/>
    <x v="1"/>
    <x v="0"/>
    <x v="3"/>
    <x v="0"/>
    <x v="0"/>
    <x v="0"/>
    <m/>
    <x v="0"/>
    <x v="0"/>
    <n v="-0.56863350000000001"/>
    <m/>
    <x v="0"/>
    <x v="0"/>
    <x v="0"/>
    <x v="2"/>
    <x v="0"/>
  </r>
  <r>
    <s v="Singapore"/>
    <x v="5"/>
    <s v="SG1"/>
    <m/>
    <x v="0"/>
    <x v="1"/>
    <x v="0"/>
    <x v="0"/>
    <x v="0"/>
    <x v="0"/>
    <x v="0"/>
    <m/>
    <x v="0"/>
    <x v="0"/>
    <n v="-0.15579000000000001"/>
    <m/>
    <x v="4"/>
    <x v="1"/>
    <x v="0"/>
    <x v="5"/>
    <x v="0"/>
  </r>
  <r>
    <s v="Singapore"/>
    <x v="5"/>
    <s v="SG3"/>
    <m/>
    <x v="5"/>
    <x v="0"/>
    <x v="1"/>
    <x v="2"/>
    <x v="0"/>
    <x v="0"/>
    <x v="0"/>
    <m/>
    <x v="0"/>
    <x v="0"/>
    <n v="0.82568700000000006"/>
    <m/>
    <x v="1"/>
    <x v="0"/>
    <x v="0"/>
    <x v="2"/>
    <x v="2"/>
  </r>
  <r>
    <s v="Singapore"/>
    <x v="5"/>
    <s v="SG4"/>
    <m/>
    <x v="5"/>
    <x v="1"/>
    <x v="1"/>
    <x v="1"/>
    <x v="0"/>
    <x v="0"/>
    <x v="0"/>
    <m/>
    <x v="0"/>
    <x v="0"/>
    <n v="-0.12463200000000001"/>
    <m/>
    <x v="0"/>
    <x v="0"/>
    <x v="0"/>
    <x v="2"/>
    <x v="0"/>
  </r>
  <r>
    <s v="Singapore"/>
    <x v="3"/>
    <s v="SG4"/>
    <m/>
    <x v="2"/>
    <x v="4"/>
    <x v="3"/>
    <x v="5"/>
    <x v="0"/>
    <x v="0"/>
    <x v="0"/>
    <m/>
    <x v="0"/>
    <x v="0"/>
    <n v="9.3474000000000002E-2"/>
    <m/>
    <x v="0"/>
    <x v="2"/>
    <x v="0"/>
    <x v="4"/>
    <x v="2"/>
  </r>
  <r>
    <s v="Singapore"/>
    <x v="0"/>
    <s v="SG1"/>
    <m/>
    <x v="4"/>
    <x v="3"/>
    <x v="2"/>
    <x v="2"/>
    <x v="0"/>
    <x v="0"/>
    <x v="0"/>
    <m/>
    <x v="0"/>
    <x v="0"/>
    <n v="-0.85684500000000008"/>
    <m/>
    <x v="4"/>
    <x v="1"/>
    <x v="0"/>
    <x v="1"/>
    <x v="0"/>
  </r>
  <r>
    <s v="Singapore"/>
    <x v="1"/>
    <s v="SG2"/>
    <m/>
    <x v="0"/>
    <x v="0"/>
    <x v="1"/>
    <x v="3"/>
    <x v="0"/>
    <x v="0"/>
    <x v="0"/>
    <m/>
    <x v="0"/>
    <x v="0"/>
    <n v="5.0838327540000003"/>
    <m/>
    <x v="8"/>
    <x v="3"/>
    <x v="0"/>
    <x v="1"/>
    <x v="1"/>
  </r>
  <r>
    <s v="Singapore"/>
    <x v="5"/>
    <s v="SG2"/>
    <m/>
    <x v="1"/>
    <x v="3"/>
    <x v="0"/>
    <x v="1"/>
    <x v="0"/>
    <x v="0"/>
    <x v="0"/>
    <m/>
    <x v="0"/>
    <x v="0"/>
    <n v="-2.8042199999999999"/>
    <m/>
    <x v="4"/>
    <x v="0"/>
    <x v="0"/>
    <x v="5"/>
    <x v="0"/>
  </r>
  <r>
    <s v="Singapore"/>
    <x v="4"/>
    <s v="SG1"/>
    <m/>
    <x v="1"/>
    <x v="3"/>
    <x v="3"/>
    <x v="5"/>
    <x v="0"/>
    <x v="0"/>
    <x v="0"/>
    <m/>
    <x v="0"/>
    <x v="0"/>
    <n v="-6.2316000000000003E-2"/>
    <m/>
    <x v="0"/>
    <x v="2"/>
    <x v="0"/>
    <x v="5"/>
    <x v="0"/>
  </r>
  <r>
    <s v="Singapore"/>
    <x v="1"/>
    <s v="SG2"/>
    <m/>
    <x v="4"/>
    <x v="3"/>
    <x v="3"/>
    <x v="2"/>
    <x v="0"/>
    <x v="0"/>
    <x v="0"/>
    <m/>
    <x v="0"/>
    <x v="0"/>
    <n v="1.0801232280000002"/>
    <m/>
    <x v="1"/>
    <x v="1"/>
    <x v="0"/>
    <x v="0"/>
    <x v="1"/>
  </r>
  <r>
    <s v="Singapore"/>
    <x v="0"/>
    <s v="SG3"/>
    <m/>
    <x v="5"/>
    <x v="0"/>
    <x v="1"/>
    <x v="0"/>
    <x v="0"/>
    <x v="0"/>
    <x v="0"/>
    <m/>
    <x v="0"/>
    <x v="0"/>
    <n v="-2.7263250000000001"/>
    <m/>
    <x v="1"/>
    <x v="3"/>
    <x v="0"/>
    <x v="3"/>
    <x v="1"/>
  </r>
  <r>
    <s v="Singapore"/>
    <x v="0"/>
    <s v="SG2"/>
    <m/>
    <x v="3"/>
    <x v="0"/>
    <x v="2"/>
    <x v="3"/>
    <x v="0"/>
    <x v="0"/>
    <x v="0"/>
    <m/>
    <x v="0"/>
    <x v="0"/>
    <n v="-0.14800050000000001"/>
    <m/>
    <x v="4"/>
    <x v="3"/>
    <x v="0"/>
    <x v="0"/>
    <x v="2"/>
  </r>
  <r>
    <s v="Singapore"/>
    <x v="1"/>
    <s v="SG1"/>
    <m/>
    <x v="1"/>
    <x v="2"/>
    <x v="1"/>
    <x v="3"/>
    <x v="0"/>
    <x v="0"/>
    <x v="0"/>
    <m/>
    <x v="0"/>
    <x v="0"/>
    <n v="-0.77895000000000003"/>
    <m/>
    <x v="4"/>
    <x v="1"/>
    <x v="0"/>
    <x v="5"/>
    <x v="2"/>
  </r>
  <r>
    <s v="Singapore"/>
    <x v="4"/>
    <s v="SG3"/>
    <m/>
    <x v="2"/>
    <x v="1"/>
    <x v="2"/>
    <x v="3"/>
    <x v="0"/>
    <x v="0"/>
    <x v="0"/>
    <m/>
    <x v="0"/>
    <x v="0"/>
    <n v="-0.12463200000000001"/>
    <m/>
    <x v="0"/>
    <x v="2"/>
    <x v="0"/>
    <x v="4"/>
    <x v="1"/>
  </r>
  <r>
    <s v="Singapore"/>
    <x v="4"/>
    <s v="SG1"/>
    <m/>
    <x v="0"/>
    <x v="0"/>
    <x v="2"/>
    <x v="5"/>
    <x v="0"/>
    <x v="0"/>
    <x v="0"/>
    <m/>
    <x v="0"/>
    <x v="0"/>
    <n v="-0.12463200000000001"/>
    <m/>
    <x v="4"/>
    <x v="0"/>
    <x v="0"/>
    <x v="4"/>
    <x v="2"/>
  </r>
  <r>
    <s v="Singapore"/>
    <x v="3"/>
    <s v="SG1"/>
    <m/>
    <x v="0"/>
    <x v="3"/>
    <x v="2"/>
    <x v="1"/>
    <x v="0"/>
    <x v="0"/>
    <x v="0"/>
    <m/>
    <x v="0"/>
    <x v="0"/>
    <n v="-3.7389600000000001"/>
    <m/>
    <x v="4"/>
    <x v="1"/>
    <x v="0"/>
    <x v="5"/>
    <x v="1"/>
  </r>
  <r>
    <s v="Singapore"/>
    <x v="4"/>
    <s v="SG2"/>
    <m/>
    <x v="0"/>
    <x v="4"/>
    <x v="2"/>
    <x v="3"/>
    <x v="0"/>
    <x v="0"/>
    <x v="0"/>
    <m/>
    <x v="0"/>
    <x v="0"/>
    <n v="-0.26328509999999999"/>
    <m/>
    <x v="2"/>
    <x v="2"/>
    <x v="0"/>
    <x v="1"/>
    <x v="0"/>
  </r>
  <r>
    <s v="Singapore"/>
    <x v="1"/>
    <s v="SG1"/>
    <m/>
    <x v="1"/>
    <x v="2"/>
    <x v="2"/>
    <x v="1"/>
    <x v="0"/>
    <x v="0"/>
    <x v="0"/>
    <m/>
    <x v="0"/>
    <x v="0"/>
    <n v="-35.831700000000005"/>
    <m/>
    <x v="2"/>
    <x v="0"/>
    <x v="0"/>
    <x v="2"/>
    <x v="2"/>
  </r>
  <r>
    <s v="Singapore"/>
    <x v="1"/>
    <s v="SG1"/>
    <m/>
    <x v="0"/>
    <x v="1"/>
    <x v="1"/>
    <x v="2"/>
    <x v="0"/>
    <x v="0"/>
    <x v="0"/>
    <m/>
    <x v="0"/>
    <x v="0"/>
    <n v="-4.6737000000000003E-3"/>
    <m/>
    <x v="3"/>
    <x v="3"/>
    <x v="0"/>
    <x v="3"/>
    <x v="2"/>
  </r>
  <r>
    <s v="Singapore"/>
    <x v="5"/>
    <s v="SG3"/>
    <m/>
    <x v="5"/>
    <x v="2"/>
    <x v="1"/>
    <x v="3"/>
    <x v="0"/>
    <x v="0"/>
    <x v="0"/>
    <m/>
    <x v="0"/>
    <x v="0"/>
    <n v="-0.70105499999999998"/>
    <m/>
    <x v="2"/>
    <x v="1"/>
    <x v="0"/>
    <x v="1"/>
    <x v="0"/>
  </r>
  <r>
    <s v="Singapore"/>
    <x v="0"/>
    <s v="SG3"/>
    <m/>
    <x v="4"/>
    <x v="0"/>
    <x v="3"/>
    <x v="0"/>
    <x v="0"/>
    <x v="0"/>
    <x v="0"/>
    <m/>
    <x v="0"/>
    <x v="0"/>
    <n v="-2.3368500000000001E-3"/>
    <m/>
    <x v="6"/>
    <x v="2"/>
    <x v="0"/>
    <x v="1"/>
    <x v="1"/>
  </r>
  <r>
    <s v="Singapore"/>
    <x v="0"/>
    <s v="SG4"/>
    <m/>
    <x v="2"/>
    <x v="2"/>
    <x v="1"/>
    <x v="0"/>
    <x v="0"/>
    <x v="0"/>
    <x v="0"/>
    <m/>
    <x v="0"/>
    <x v="0"/>
    <n v="0.21031650000000002"/>
    <m/>
    <x v="1"/>
    <x v="2"/>
    <x v="0"/>
    <x v="5"/>
    <x v="0"/>
  </r>
  <r>
    <s v="Singapore"/>
    <x v="2"/>
    <s v="SG1"/>
    <m/>
    <x v="5"/>
    <x v="1"/>
    <x v="2"/>
    <x v="2"/>
    <x v="0"/>
    <x v="0"/>
    <x v="0"/>
    <m/>
    <x v="0"/>
    <x v="0"/>
    <n v="-0.15579000000000001"/>
    <m/>
    <x v="0"/>
    <x v="0"/>
    <x v="0"/>
    <x v="5"/>
    <x v="1"/>
  </r>
  <r>
    <s v="Singapore"/>
    <x v="1"/>
    <s v="SG1"/>
    <m/>
    <x v="0"/>
    <x v="1"/>
    <x v="1"/>
    <x v="5"/>
    <x v="0"/>
    <x v="0"/>
    <x v="0"/>
    <m/>
    <x v="0"/>
    <x v="0"/>
    <n v="0.17136900000000002"/>
    <m/>
    <x v="1"/>
    <x v="0"/>
    <x v="0"/>
    <x v="2"/>
    <x v="0"/>
  </r>
  <r>
    <s v="Singapore"/>
    <x v="2"/>
    <s v="SG1"/>
    <m/>
    <x v="0"/>
    <x v="3"/>
    <x v="2"/>
    <x v="5"/>
    <x v="0"/>
    <x v="0"/>
    <x v="0"/>
    <m/>
    <x v="0"/>
    <x v="0"/>
    <n v="-16.825475790000002"/>
    <m/>
    <x v="3"/>
    <x v="1"/>
    <x v="0"/>
    <x v="4"/>
    <x v="1"/>
  </r>
  <r>
    <s v="Singapore"/>
    <x v="5"/>
    <s v="SG4"/>
    <m/>
    <x v="2"/>
    <x v="4"/>
    <x v="3"/>
    <x v="3"/>
    <x v="0"/>
    <x v="0"/>
    <x v="0"/>
    <m/>
    <x v="0"/>
    <x v="0"/>
    <n v="1.9980067500000001"/>
    <m/>
    <x v="7"/>
    <x v="1"/>
    <x v="0"/>
    <x v="1"/>
    <x v="1"/>
  </r>
  <r>
    <s v="Singapore"/>
    <x v="4"/>
    <s v="SG3"/>
    <m/>
    <x v="2"/>
    <x v="3"/>
    <x v="0"/>
    <x v="5"/>
    <x v="0"/>
    <x v="0"/>
    <x v="0"/>
    <m/>
    <x v="0"/>
    <x v="0"/>
    <n v="-0.22277970000000002"/>
    <m/>
    <x v="2"/>
    <x v="3"/>
    <x v="0"/>
    <x v="2"/>
    <x v="1"/>
  </r>
  <r>
    <s v="Singapore"/>
    <x v="4"/>
    <s v="SG3"/>
    <m/>
    <x v="4"/>
    <x v="4"/>
    <x v="1"/>
    <x v="3"/>
    <x v="0"/>
    <x v="0"/>
    <x v="0"/>
    <m/>
    <x v="0"/>
    <x v="0"/>
    <n v="1.2208483350000001"/>
    <m/>
    <x v="1"/>
    <x v="2"/>
    <x v="0"/>
    <x v="2"/>
    <x v="1"/>
  </r>
  <r>
    <s v="Singapore"/>
    <x v="0"/>
    <s v="SG3"/>
    <m/>
    <x v="2"/>
    <x v="2"/>
    <x v="4"/>
    <x v="3"/>
    <x v="0"/>
    <x v="0"/>
    <x v="0"/>
    <m/>
    <x v="0"/>
    <x v="0"/>
    <n v="1.2307410000000001"/>
    <m/>
    <x v="1"/>
    <x v="0"/>
    <x v="0"/>
    <x v="5"/>
    <x v="2"/>
  </r>
  <r>
    <s v="Singapore"/>
    <x v="3"/>
    <s v="SG3"/>
    <m/>
    <x v="3"/>
    <x v="3"/>
    <x v="2"/>
    <x v="1"/>
    <x v="0"/>
    <x v="0"/>
    <x v="0"/>
    <m/>
    <x v="0"/>
    <x v="0"/>
    <n v="15.111630000000002"/>
    <m/>
    <x v="7"/>
    <x v="0"/>
    <x v="0"/>
    <x v="3"/>
    <x v="0"/>
  </r>
  <r>
    <s v="Singapore"/>
    <x v="0"/>
    <s v="SG4"/>
    <m/>
    <x v="2"/>
    <x v="3"/>
    <x v="2"/>
    <x v="5"/>
    <x v="0"/>
    <x v="0"/>
    <x v="0"/>
    <m/>
    <x v="0"/>
    <x v="0"/>
    <n v="-2.0279807460000003"/>
    <m/>
    <x v="2"/>
    <x v="2"/>
    <x v="0"/>
    <x v="4"/>
    <x v="2"/>
  </r>
  <r>
    <s v="Singapore"/>
    <x v="5"/>
    <s v="SG1"/>
    <m/>
    <x v="0"/>
    <x v="1"/>
    <x v="2"/>
    <x v="1"/>
    <x v="0"/>
    <x v="0"/>
    <x v="0"/>
    <m/>
    <x v="0"/>
    <x v="0"/>
    <n v="-1.458755244"/>
    <m/>
    <x v="4"/>
    <x v="0"/>
    <x v="0"/>
    <x v="4"/>
    <x v="2"/>
  </r>
  <r>
    <s v="Singapore"/>
    <x v="4"/>
    <s v="SG2"/>
    <m/>
    <x v="1"/>
    <x v="2"/>
    <x v="3"/>
    <x v="3"/>
    <x v="0"/>
    <x v="0"/>
    <x v="0"/>
    <m/>
    <x v="0"/>
    <x v="0"/>
    <n v="-18.358262442000001"/>
    <m/>
    <x v="2"/>
    <x v="2"/>
    <x v="0"/>
    <x v="0"/>
    <x v="1"/>
  </r>
  <r>
    <s v="Singapore"/>
    <x v="4"/>
    <s v="SG1"/>
    <m/>
    <x v="0"/>
    <x v="4"/>
    <x v="4"/>
    <x v="1"/>
    <x v="0"/>
    <x v="0"/>
    <x v="0"/>
    <m/>
    <x v="0"/>
    <x v="0"/>
    <n v="-0.15579000000000001"/>
    <m/>
    <x v="1"/>
    <x v="1"/>
    <x v="0"/>
    <x v="1"/>
    <x v="2"/>
  </r>
  <r>
    <s v="Singapore"/>
    <x v="3"/>
    <s v="SG3"/>
    <m/>
    <x v="0"/>
    <x v="3"/>
    <x v="4"/>
    <x v="3"/>
    <x v="0"/>
    <x v="0"/>
    <x v="0"/>
    <m/>
    <x v="0"/>
    <x v="0"/>
    <n v="-0.66989700000000008"/>
    <m/>
    <x v="4"/>
    <x v="1"/>
    <x v="0"/>
    <x v="5"/>
    <x v="2"/>
  </r>
  <r>
    <s v="Singapore"/>
    <x v="0"/>
    <s v="SG4"/>
    <m/>
    <x v="2"/>
    <x v="0"/>
    <x v="2"/>
    <x v="0"/>
    <x v="0"/>
    <x v="0"/>
    <x v="0"/>
    <m/>
    <x v="0"/>
    <x v="0"/>
    <n v="-1.8694800000000001E-2"/>
    <m/>
    <x v="3"/>
    <x v="2"/>
    <x v="0"/>
    <x v="3"/>
    <x v="2"/>
  </r>
  <r>
    <s v="Singapore"/>
    <x v="2"/>
    <s v="SG2"/>
    <m/>
    <x v="5"/>
    <x v="0"/>
    <x v="4"/>
    <x v="2"/>
    <x v="0"/>
    <x v="0"/>
    <x v="0"/>
    <m/>
    <x v="0"/>
    <x v="0"/>
    <n v="0.15579000000000001"/>
    <m/>
    <x v="1"/>
    <x v="0"/>
    <x v="0"/>
    <x v="3"/>
    <x v="0"/>
  </r>
  <r>
    <s v="Singapore"/>
    <x v="4"/>
    <s v="SG4"/>
    <m/>
    <x v="3"/>
    <x v="1"/>
    <x v="1"/>
    <x v="5"/>
    <x v="0"/>
    <x v="0"/>
    <x v="0"/>
    <m/>
    <x v="0"/>
    <x v="0"/>
    <n v="-1.7760060000000002"/>
    <m/>
    <x v="4"/>
    <x v="2"/>
    <x v="0"/>
    <x v="1"/>
    <x v="0"/>
  </r>
  <r>
    <s v="Singapore"/>
    <x v="2"/>
    <s v="SG2"/>
    <m/>
    <x v="1"/>
    <x v="1"/>
    <x v="0"/>
    <x v="2"/>
    <x v="0"/>
    <x v="0"/>
    <x v="0"/>
    <m/>
    <x v="0"/>
    <x v="0"/>
    <n v="-3.8947500000000003E-2"/>
    <m/>
    <x v="0"/>
    <x v="1"/>
    <x v="0"/>
    <x v="5"/>
    <x v="2"/>
  </r>
  <r>
    <s v="Singapore"/>
    <x v="5"/>
    <s v="SG4"/>
    <m/>
    <x v="3"/>
    <x v="3"/>
    <x v="1"/>
    <x v="5"/>
    <x v="0"/>
    <x v="0"/>
    <x v="0"/>
    <m/>
    <x v="0"/>
    <x v="0"/>
    <n v="0.233685"/>
    <m/>
    <x v="1"/>
    <x v="0"/>
    <x v="0"/>
    <x v="2"/>
    <x v="0"/>
  </r>
  <r>
    <s v="Singapore"/>
    <x v="0"/>
    <s v="SG4"/>
    <m/>
    <x v="0"/>
    <x v="2"/>
    <x v="0"/>
    <x v="0"/>
    <x v="0"/>
    <x v="0"/>
    <x v="0"/>
    <m/>
    <x v="0"/>
    <x v="0"/>
    <n v="1.900638"/>
    <m/>
    <x v="1"/>
    <x v="2"/>
    <x v="0"/>
    <x v="5"/>
    <x v="1"/>
  </r>
  <r>
    <s v="Singapore"/>
    <x v="0"/>
    <s v="SG1"/>
    <m/>
    <x v="0"/>
    <x v="3"/>
    <x v="2"/>
    <x v="1"/>
    <x v="0"/>
    <x v="0"/>
    <x v="0"/>
    <m/>
    <x v="0"/>
    <x v="0"/>
    <n v="-9.8770860000000003"/>
    <m/>
    <x v="4"/>
    <x v="2"/>
    <x v="0"/>
    <x v="3"/>
    <x v="2"/>
  </r>
  <r>
    <s v="Singapore"/>
    <x v="2"/>
    <s v="SG1"/>
    <m/>
    <x v="4"/>
    <x v="1"/>
    <x v="0"/>
    <x v="0"/>
    <x v="0"/>
    <x v="0"/>
    <x v="0"/>
    <m/>
    <x v="0"/>
    <x v="0"/>
    <n v="-0.140211"/>
    <m/>
    <x v="0"/>
    <x v="0"/>
    <x v="0"/>
    <x v="4"/>
    <x v="2"/>
  </r>
  <r>
    <s v="Singapore"/>
    <x v="3"/>
    <s v="SG2"/>
    <m/>
    <x v="4"/>
    <x v="0"/>
    <x v="0"/>
    <x v="2"/>
    <x v="0"/>
    <x v="0"/>
    <x v="0"/>
    <m/>
    <x v="0"/>
    <x v="0"/>
    <n v="1.0801232280000002"/>
    <m/>
    <x v="1"/>
    <x v="1"/>
    <x v="0"/>
    <x v="3"/>
    <x v="2"/>
  </r>
  <r>
    <s v="Singapore"/>
    <x v="1"/>
    <s v="SG3"/>
    <m/>
    <x v="3"/>
    <x v="1"/>
    <x v="3"/>
    <x v="1"/>
    <x v="0"/>
    <x v="0"/>
    <x v="0"/>
    <m/>
    <x v="0"/>
    <x v="0"/>
    <n v="0.21810600000000002"/>
    <m/>
    <x v="4"/>
    <x v="1"/>
    <x v="0"/>
    <x v="2"/>
    <x v="1"/>
  </r>
  <r>
    <s v="Singapore"/>
    <x v="0"/>
    <s v="SG3"/>
    <m/>
    <x v="3"/>
    <x v="3"/>
    <x v="0"/>
    <x v="2"/>
    <x v="0"/>
    <x v="0"/>
    <x v="0"/>
    <m/>
    <x v="0"/>
    <x v="0"/>
    <n v="7.0105500000000001E-2"/>
    <m/>
    <x v="1"/>
    <x v="1"/>
    <x v="0"/>
    <x v="2"/>
    <x v="2"/>
  </r>
  <r>
    <s v="Singapore"/>
    <x v="2"/>
    <s v="SG1"/>
    <m/>
    <x v="4"/>
    <x v="3"/>
    <x v="1"/>
    <x v="3"/>
    <x v="0"/>
    <x v="0"/>
    <x v="0"/>
    <m/>
    <x v="0"/>
    <x v="0"/>
    <n v="1.2463200000000001"/>
    <m/>
    <x v="0"/>
    <x v="3"/>
    <x v="0"/>
    <x v="4"/>
    <x v="2"/>
  </r>
  <r>
    <s v="Singapore"/>
    <x v="1"/>
    <s v="SG3"/>
    <m/>
    <x v="1"/>
    <x v="0"/>
    <x v="2"/>
    <x v="3"/>
    <x v="0"/>
    <x v="0"/>
    <x v="0"/>
    <m/>
    <x v="0"/>
    <x v="0"/>
    <n v="-1.9402086600000001"/>
    <m/>
    <x v="2"/>
    <x v="2"/>
    <x v="0"/>
    <x v="0"/>
    <x v="0"/>
  </r>
  <r>
    <s v="Singapore"/>
    <x v="2"/>
    <s v="SG4"/>
    <m/>
    <x v="5"/>
    <x v="2"/>
    <x v="3"/>
    <x v="3"/>
    <x v="0"/>
    <x v="0"/>
    <x v="0"/>
    <m/>
    <x v="0"/>
    <x v="0"/>
    <n v="39.243501000000002"/>
    <m/>
    <x v="1"/>
    <x v="3"/>
    <x v="0"/>
    <x v="3"/>
    <x v="1"/>
  </r>
  <r>
    <s v="Singapore"/>
    <x v="4"/>
    <s v="SG3"/>
    <m/>
    <x v="0"/>
    <x v="3"/>
    <x v="0"/>
    <x v="5"/>
    <x v="0"/>
    <x v="0"/>
    <x v="0"/>
    <m/>
    <x v="0"/>
    <x v="0"/>
    <n v="0.15579000000000001"/>
    <m/>
    <x v="1"/>
    <x v="0"/>
    <x v="0"/>
    <x v="2"/>
    <x v="0"/>
  </r>
  <r>
    <s v="Singapore"/>
    <x v="2"/>
    <s v="SG1"/>
    <m/>
    <x v="0"/>
    <x v="2"/>
    <x v="4"/>
    <x v="5"/>
    <x v="0"/>
    <x v="0"/>
    <x v="0"/>
    <m/>
    <x v="0"/>
    <x v="0"/>
    <n v="7.0105500000000001E-2"/>
    <m/>
    <x v="3"/>
    <x v="3"/>
    <x v="0"/>
    <x v="2"/>
    <x v="2"/>
  </r>
  <r>
    <s v="Singapore"/>
    <x v="3"/>
    <s v="SG2"/>
    <m/>
    <x v="4"/>
    <x v="3"/>
    <x v="1"/>
    <x v="3"/>
    <x v="0"/>
    <x v="0"/>
    <x v="0"/>
    <m/>
    <x v="0"/>
    <x v="0"/>
    <n v="-0.84126600000000007"/>
    <m/>
    <x v="0"/>
    <x v="3"/>
    <x v="0"/>
    <x v="0"/>
    <x v="2"/>
  </r>
  <r>
    <s v="Singapore"/>
    <x v="2"/>
    <s v="SG1"/>
    <m/>
    <x v="2"/>
    <x v="1"/>
    <x v="1"/>
    <x v="0"/>
    <x v="0"/>
    <x v="0"/>
    <x v="0"/>
    <m/>
    <x v="0"/>
    <x v="0"/>
    <n v="7.7895000000000003"/>
    <m/>
    <x v="2"/>
    <x v="3"/>
    <x v="0"/>
    <x v="5"/>
    <x v="0"/>
  </r>
  <r>
    <s v="Singapore"/>
    <x v="4"/>
    <s v="SG3"/>
    <m/>
    <x v="4"/>
    <x v="3"/>
    <x v="3"/>
    <x v="5"/>
    <x v="0"/>
    <x v="0"/>
    <x v="0"/>
    <m/>
    <x v="0"/>
    <x v="0"/>
    <n v="-4.3745832"/>
    <m/>
    <x v="2"/>
    <x v="1"/>
    <x v="0"/>
    <x v="1"/>
    <x v="2"/>
  </r>
  <r>
    <s v="Singapore"/>
    <x v="5"/>
    <s v="SG2"/>
    <m/>
    <x v="4"/>
    <x v="4"/>
    <x v="1"/>
    <x v="2"/>
    <x v="0"/>
    <x v="0"/>
    <x v="0"/>
    <m/>
    <x v="0"/>
    <x v="0"/>
    <n v="-4.6737000000000001E-2"/>
    <m/>
    <x v="0"/>
    <x v="0"/>
    <x v="0"/>
    <x v="4"/>
    <x v="1"/>
  </r>
  <r>
    <s v="Singapore"/>
    <x v="5"/>
    <s v="SG2"/>
    <m/>
    <x v="1"/>
    <x v="3"/>
    <x v="0"/>
    <x v="1"/>
    <x v="0"/>
    <x v="0"/>
    <x v="0"/>
    <m/>
    <x v="0"/>
    <x v="0"/>
    <n v="-0.21810600000000002"/>
    <m/>
    <x v="4"/>
    <x v="2"/>
    <x v="0"/>
    <x v="0"/>
    <x v="0"/>
  </r>
  <r>
    <s v="Singapore"/>
    <x v="4"/>
    <s v="SG4"/>
    <m/>
    <x v="1"/>
    <x v="4"/>
    <x v="0"/>
    <x v="0"/>
    <x v="0"/>
    <x v="0"/>
    <x v="0"/>
    <m/>
    <x v="0"/>
    <x v="0"/>
    <n v="-0.31158000000000002"/>
    <m/>
    <x v="0"/>
    <x v="1"/>
    <x v="0"/>
    <x v="0"/>
    <x v="0"/>
  </r>
  <r>
    <s v="Singapore"/>
    <x v="5"/>
    <s v="SG4"/>
    <m/>
    <x v="1"/>
    <x v="3"/>
    <x v="3"/>
    <x v="2"/>
    <x v="0"/>
    <x v="0"/>
    <x v="0"/>
    <m/>
    <x v="0"/>
    <x v="0"/>
    <n v="-0.91916100000000001"/>
    <m/>
    <x v="1"/>
    <x v="2"/>
    <x v="0"/>
    <x v="1"/>
    <x v="2"/>
  </r>
  <r>
    <s v="Singapore"/>
    <x v="1"/>
    <s v="SG3"/>
    <m/>
    <x v="2"/>
    <x v="4"/>
    <x v="4"/>
    <x v="1"/>
    <x v="0"/>
    <x v="0"/>
    <x v="0"/>
    <m/>
    <x v="0"/>
    <x v="0"/>
    <n v="-0.50631749999999998"/>
    <m/>
    <x v="2"/>
    <x v="3"/>
    <x v="0"/>
    <x v="1"/>
    <x v="1"/>
  </r>
  <r>
    <s v="Singapore"/>
    <x v="3"/>
    <s v="SG4"/>
    <m/>
    <x v="4"/>
    <x v="0"/>
    <x v="2"/>
    <x v="0"/>
    <x v="0"/>
    <x v="0"/>
    <x v="0"/>
    <m/>
    <x v="0"/>
    <x v="0"/>
    <n v="61.684240392000007"/>
    <m/>
    <x v="1"/>
    <x v="1"/>
    <x v="0"/>
    <x v="3"/>
    <x v="0"/>
  </r>
  <r>
    <s v="Singapore"/>
    <x v="5"/>
    <s v="SG2"/>
    <m/>
    <x v="2"/>
    <x v="1"/>
    <x v="2"/>
    <x v="5"/>
    <x v="0"/>
    <x v="0"/>
    <x v="0"/>
    <m/>
    <x v="0"/>
    <x v="0"/>
    <n v="0.5530545"/>
    <m/>
    <x v="1"/>
    <x v="0"/>
    <x v="0"/>
    <x v="1"/>
    <x v="0"/>
  </r>
  <r>
    <s v="Singapore"/>
    <x v="0"/>
    <s v="SG4"/>
    <m/>
    <x v="1"/>
    <x v="3"/>
    <x v="2"/>
    <x v="1"/>
    <x v="0"/>
    <x v="0"/>
    <x v="0"/>
    <m/>
    <x v="0"/>
    <x v="0"/>
    <n v="-0.93474000000000002"/>
    <m/>
    <x v="1"/>
    <x v="3"/>
    <x v="0"/>
    <x v="1"/>
    <x v="0"/>
  </r>
  <r>
    <s v="Singapore"/>
    <x v="1"/>
    <s v="SG2"/>
    <m/>
    <x v="4"/>
    <x v="4"/>
    <x v="3"/>
    <x v="4"/>
    <x v="0"/>
    <x v="0"/>
    <x v="0"/>
    <m/>
    <x v="0"/>
    <x v="0"/>
    <n v="-0.77895000000000003"/>
    <m/>
    <x v="4"/>
    <x v="0"/>
    <x v="0"/>
    <x v="2"/>
    <x v="0"/>
  </r>
  <r>
    <s v="Singapore"/>
    <x v="5"/>
    <s v="SG1"/>
    <m/>
    <x v="3"/>
    <x v="3"/>
    <x v="0"/>
    <x v="2"/>
    <x v="0"/>
    <x v="0"/>
    <x v="0"/>
    <m/>
    <x v="0"/>
    <x v="0"/>
    <n v="-0.80334671400000002"/>
    <m/>
    <x v="4"/>
    <x v="0"/>
    <x v="0"/>
    <x v="0"/>
    <x v="2"/>
  </r>
  <r>
    <s v="Singapore"/>
    <x v="4"/>
    <s v="SG2"/>
    <m/>
    <x v="4"/>
    <x v="0"/>
    <x v="2"/>
    <x v="0"/>
    <x v="0"/>
    <x v="0"/>
    <x v="0"/>
    <m/>
    <x v="0"/>
    <x v="0"/>
    <n v="0.77895000000000003"/>
    <m/>
    <x v="4"/>
    <x v="0"/>
    <x v="0"/>
    <x v="2"/>
    <x v="1"/>
  </r>
  <r>
    <s v="Singapore"/>
    <x v="3"/>
    <s v="SG3"/>
    <m/>
    <x v="5"/>
    <x v="2"/>
    <x v="4"/>
    <x v="1"/>
    <x v="0"/>
    <x v="0"/>
    <x v="0"/>
    <m/>
    <x v="0"/>
    <x v="0"/>
    <n v="-0.31158000000000002"/>
    <m/>
    <x v="4"/>
    <x v="1"/>
    <x v="0"/>
    <x v="5"/>
    <x v="1"/>
  </r>
  <r>
    <s v="Singapore"/>
    <x v="2"/>
    <s v="SG1"/>
    <m/>
    <x v="3"/>
    <x v="2"/>
    <x v="4"/>
    <x v="2"/>
    <x v="0"/>
    <x v="0"/>
    <x v="0"/>
    <m/>
    <x v="0"/>
    <x v="0"/>
    <n v="-1.5579000000000001"/>
    <m/>
    <x v="1"/>
    <x v="1"/>
    <x v="0"/>
    <x v="4"/>
    <x v="1"/>
  </r>
  <r>
    <s v="Singapore"/>
    <x v="0"/>
    <s v="SG1"/>
    <m/>
    <x v="1"/>
    <x v="3"/>
    <x v="2"/>
    <x v="3"/>
    <x v="0"/>
    <x v="0"/>
    <x v="0"/>
    <m/>
    <x v="0"/>
    <x v="0"/>
    <n v="-2.4976720170000002"/>
    <m/>
    <x v="4"/>
    <x v="0"/>
    <x v="0"/>
    <x v="2"/>
    <x v="2"/>
  </r>
  <r>
    <s v="Singapore"/>
    <x v="0"/>
    <s v="SG4"/>
    <m/>
    <x v="3"/>
    <x v="1"/>
    <x v="2"/>
    <x v="4"/>
    <x v="0"/>
    <x v="0"/>
    <x v="0"/>
    <m/>
    <x v="0"/>
    <x v="0"/>
    <n v="-22.174837020000002"/>
    <m/>
    <x v="4"/>
    <x v="0"/>
    <x v="0"/>
    <x v="0"/>
    <x v="2"/>
  </r>
  <r>
    <s v="Singapore"/>
    <x v="1"/>
    <s v="SG4"/>
    <m/>
    <x v="2"/>
    <x v="3"/>
    <x v="1"/>
    <x v="0"/>
    <x v="0"/>
    <x v="0"/>
    <x v="0"/>
    <m/>
    <x v="0"/>
    <x v="0"/>
    <n v="-0.93474000000000002"/>
    <m/>
    <x v="4"/>
    <x v="1"/>
    <x v="0"/>
    <x v="0"/>
    <x v="2"/>
  </r>
  <r>
    <s v="Singapore"/>
    <x v="3"/>
    <s v="SG2"/>
    <m/>
    <x v="5"/>
    <x v="3"/>
    <x v="3"/>
    <x v="5"/>
    <x v="0"/>
    <x v="0"/>
    <x v="0"/>
    <m/>
    <x v="0"/>
    <x v="0"/>
    <n v="-94.276707975000008"/>
    <m/>
    <x v="3"/>
    <x v="1"/>
    <x v="0"/>
    <x v="0"/>
    <x v="2"/>
  </r>
  <r>
    <s v="Singapore"/>
    <x v="3"/>
    <s v="SG3"/>
    <m/>
    <x v="2"/>
    <x v="2"/>
    <x v="0"/>
    <x v="3"/>
    <x v="0"/>
    <x v="0"/>
    <x v="0"/>
    <m/>
    <x v="0"/>
    <x v="0"/>
    <n v="9.4405624200000009"/>
    <m/>
    <x v="8"/>
    <x v="0"/>
    <x v="0"/>
    <x v="5"/>
    <x v="2"/>
  </r>
  <r>
    <s v="Singapore"/>
    <x v="4"/>
    <s v="SG3"/>
    <m/>
    <x v="1"/>
    <x v="0"/>
    <x v="0"/>
    <x v="3"/>
    <x v="0"/>
    <x v="0"/>
    <x v="0"/>
    <m/>
    <x v="0"/>
    <x v="0"/>
    <n v="-4.6737000000000001E-2"/>
    <m/>
    <x v="0"/>
    <x v="0"/>
    <x v="0"/>
    <x v="3"/>
    <x v="0"/>
  </r>
  <r>
    <s v="Singapore"/>
    <x v="1"/>
    <s v="SG4"/>
    <m/>
    <x v="4"/>
    <x v="1"/>
    <x v="2"/>
    <x v="3"/>
    <x v="0"/>
    <x v="0"/>
    <x v="0"/>
    <m/>
    <x v="0"/>
    <x v="0"/>
    <n v="2.96001"/>
    <m/>
    <x v="1"/>
    <x v="0"/>
    <x v="0"/>
    <x v="4"/>
    <x v="1"/>
  </r>
  <r>
    <s v="Singapore"/>
    <x v="1"/>
    <s v="SG2"/>
    <m/>
    <x v="1"/>
    <x v="3"/>
    <x v="1"/>
    <x v="2"/>
    <x v="0"/>
    <x v="0"/>
    <x v="0"/>
    <m/>
    <x v="0"/>
    <x v="0"/>
    <n v="-0.34024536000000005"/>
    <m/>
    <x v="6"/>
    <x v="0"/>
    <x v="0"/>
    <x v="4"/>
    <x v="0"/>
  </r>
  <r>
    <s v="Singapore"/>
    <x v="4"/>
    <s v="SG3"/>
    <m/>
    <x v="4"/>
    <x v="4"/>
    <x v="4"/>
    <x v="4"/>
    <x v="0"/>
    <x v="0"/>
    <x v="0"/>
    <m/>
    <x v="0"/>
    <x v="0"/>
    <n v="-0.15579000000000001"/>
    <m/>
    <x v="0"/>
    <x v="0"/>
    <x v="0"/>
    <x v="0"/>
    <x v="0"/>
  </r>
  <r>
    <s v="Singapore"/>
    <x v="0"/>
    <s v="SG3"/>
    <m/>
    <x v="1"/>
    <x v="1"/>
    <x v="1"/>
    <x v="1"/>
    <x v="0"/>
    <x v="0"/>
    <x v="0"/>
    <m/>
    <x v="0"/>
    <x v="0"/>
    <n v="-1.09053"/>
    <m/>
    <x v="4"/>
    <x v="0"/>
    <x v="0"/>
    <x v="5"/>
    <x v="0"/>
  </r>
  <r>
    <s v="Singapore"/>
    <x v="1"/>
    <s v="SG1"/>
    <m/>
    <x v="4"/>
    <x v="3"/>
    <x v="1"/>
    <x v="4"/>
    <x v="0"/>
    <x v="0"/>
    <x v="0"/>
    <m/>
    <x v="0"/>
    <x v="0"/>
    <n v="0.21810600000000002"/>
    <m/>
    <x v="4"/>
    <x v="2"/>
    <x v="0"/>
    <x v="4"/>
    <x v="2"/>
  </r>
  <r>
    <s v="Singapore"/>
    <x v="5"/>
    <s v="SG3"/>
    <m/>
    <x v="5"/>
    <x v="3"/>
    <x v="2"/>
    <x v="4"/>
    <x v="0"/>
    <x v="0"/>
    <x v="0"/>
    <m/>
    <x v="0"/>
    <x v="0"/>
    <n v="-0.1838322"/>
    <m/>
    <x v="4"/>
    <x v="0"/>
    <x v="0"/>
    <x v="2"/>
    <x v="2"/>
  </r>
  <r>
    <s v="Singapore"/>
    <x v="4"/>
    <s v="SG1"/>
    <m/>
    <x v="0"/>
    <x v="0"/>
    <x v="4"/>
    <x v="5"/>
    <x v="0"/>
    <x v="0"/>
    <x v="0"/>
    <m/>
    <x v="0"/>
    <x v="0"/>
    <n v="1.9027255860000001"/>
    <m/>
    <x v="1"/>
    <x v="0"/>
    <x v="0"/>
    <x v="1"/>
    <x v="2"/>
  </r>
  <r>
    <s v="Singapore"/>
    <x v="5"/>
    <s v="SG3"/>
    <m/>
    <x v="0"/>
    <x v="2"/>
    <x v="3"/>
    <x v="3"/>
    <x v="0"/>
    <x v="0"/>
    <x v="0"/>
    <m/>
    <x v="0"/>
    <x v="0"/>
    <n v="10.983195"/>
    <m/>
    <x v="1"/>
    <x v="0"/>
    <x v="0"/>
    <x v="3"/>
    <x v="1"/>
  </r>
  <r>
    <s v="Singapore"/>
    <x v="1"/>
    <s v="SG3"/>
    <m/>
    <x v="2"/>
    <x v="0"/>
    <x v="4"/>
    <x v="1"/>
    <x v="0"/>
    <x v="0"/>
    <x v="0"/>
    <m/>
    <x v="0"/>
    <x v="0"/>
    <n v="-6.2316000000000003"/>
    <m/>
    <x v="4"/>
    <x v="2"/>
    <x v="0"/>
    <x v="3"/>
    <x v="0"/>
  </r>
  <r>
    <s v="Singapore"/>
    <x v="4"/>
    <s v="SG4"/>
    <m/>
    <x v="1"/>
    <x v="2"/>
    <x v="1"/>
    <x v="2"/>
    <x v="0"/>
    <x v="0"/>
    <x v="0"/>
    <m/>
    <x v="0"/>
    <x v="0"/>
    <n v="-30.840811560000002"/>
    <m/>
    <x v="7"/>
    <x v="3"/>
    <x v="0"/>
    <x v="2"/>
    <x v="2"/>
  </r>
  <r>
    <s v="Singapore"/>
    <x v="4"/>
    <s v="SG4"/>
    <m/>
    <x v="3"/>
    <x v="2"/>
    <x v="2"/>
    <x v="1"/>
    <x v="0"/>
    <x v="0"/>
    <x v="0"/>
    <m/>
    <x v="0"/>
    <x v="0"/>
    <n v="3.4585380000000003"/>
    <m/>
    <x v="8"/>
    <x v="0"/>
    <x v="0"/>
    <x v="3"/>
    <x v="2"/>
  </r>
  <r>
    <s v="Singapore"/>
    <x v="2"/>
    <s v="SG4"/>
    <m/>
    <x v="3"/>
    <x v="1"/>
    <x v="1"/>
    <x v="3"/>
    <x v="0"/>
    <x v="0"/>
    <x v="0"/>
    <m/>
    <x v="0"/>
    <x v="0"/>
    <n v="1.106109"/>
    <m/>
    <x v="1"/>
    <x v="1"/>
    <x v="0"/>
    <x v="0"/>
    <x v="2"/>
  </r>
  <r>
    <s v="Singapore"/>
    <x v="4"/>
    <s v="SG3"/>
    <m/>
    <x v="1"/>
    <x v="4"/>
    <x v="0"/>
    <x v="0"/>
    <x v="0"/>
    <x v="0"/>
    <x v="0"/>
    <m/>
    <x v="0"/>
    <x v="0"/>
    <n v="-0.31158000000000002"/>
    <m/>
    <x v="0"/>
    <x v="2"/>
    <x v="0"/>
    <x v="2"/>
    <x v="1"/>
  </r>
  <r>
    <s v="Singapore"/>
    <x v="0"/>
    <s v="SG1"/>
    <m/>
    <x v="0"/>
    <x v="2"/>
    <x v="0"/>
    <x v="2"/>
    <x v="0"/>
    <x v="0"/>
    <x v="0"/>
    <m/>
    <x v="0"/>
    <x v="0"/>
    <n v="-0.98147700000000004"/>
    <m/>
    <x v="0"/>
    <x v="2"/>
    <x v="0"/>
    <x v="5"/>
    <x v="0"/>
  </r>
  <r>
    <s v="Singapore"/>
    <x v="1"/>
    <s v="SG4"/>
    <m/>
    <x v="4"/>
    <x v="3"/>
    <x v="4"/>
    <x v="5"/>
    <x v="0"/>
    <x v="0"/>
    <x v="0"/>
    <m/>
    <x v="0"/>
    <x v="0"/>
    <n v="-7.7895000000000003"/>
    <m/>
    <x v="1"/>
    <x v="0"/>
    <x v="0"/>
    <x v="3"/>
    <x v="2"/>
  </r>
  <r>
    <s v="Singapore"/>
    <x v="0"/>
    <s v="SG3"/>
    <m/>
    <x v="0"/>
    <x v="2"/>
    <x v="4"/>
    <x v="1"/>
    <x v="0"/>
    <x v="0"/>
    <x v="0"/>
    <m/>
    <x v="0"/>
    <x v="0"/>
    <n v="-0.15579000000000001"/>
    <m/>
    <x v="4"/>
    <x v="3"/>
    <x v="0"/>
    <x v="4"/>
    <x v="2"/>
  </r>
  <r>
    <s v="Singapore"/>
    <x v="2"/>
    <s v="SG3"/>
    <m/>
    <x v="4"/>
    <x v="2"/>
    <x v="1"/>
    <x v="1"/>
    <x v="0"/>
    <x v="0"/>
    <x v="0"/>
    <m/>
    <x v="0"/>
    <x v="0"/>
    <n v="-5.6084399999999999"/>
    <m/>
    <x v="1"/>
    <x v="1"/>
    <x v="0"/>
    <x v="4"/>
    <x v="0"/>
  </r>
  <r>
    <s v="Singapore"/>
    <x v="1"/>
    <s v="SG2"/>
    <m/>
    <x v="0"/>
    <x v="0"/>
    <x v="1"/>
    <x v="2"/>
    <x v="0"/>
    <x v="0"/>
    <x v="0"/>
    <m/>
    <x v="0"/>
    <x v="0"/>
    <n v="-0.24926400000000001"/>
    <m/>
    <x v="0"/>
    <x v="2"/>
    <x v="0"/>
    <x v="4"/>
    <x v="0"/>
  </r>
  <r>
    <s v="Singapore"/>
    <x v="2"/>
    <s v="SG4"/>
    <m/>
    <x v="4"/>
    <x v="2"/>
    <x v="3"/>
    <x v="5"/>
    <x v="0"/>
    <x v="0"/>
    <x v="0"/>
    <m/>
    <x v="0"/>
    <x v="0"/>
    <n v="1.5423210000000001"/>
    <m/>
    <x v="1"/>
    <x v="3"/>
    <x v="0"/>
    <x v="4"/>
    <x v="0"/>
  </r>
  <r>
    <s v="Singapore"/>
    <x v="2"/>
    <s v="SG2"/>
    <m/>
    <x v="1"/>
    <x v="4"/>
    <x v="4"/>
    <x v="0"/>
    <x v="0"/>
    <x v="0"/>
    <x v="0"/>
    <m/>
    <x v="0"/>
    <x v="0"/>
    <n v="0.21810600000000002"/>
    <m/>
    <x v="4"/>
    <x v="3"/>
    <x v="0"/>
    <x v="0"/>
    <x v="2"/>
  </r>
  <r>
    <s v="Singapore"/>
    <x v="4"/>
    <s v="SG2"/>
    <m/>
    <x v="0"/>
    <x v="0"/>
    <x v="0"/>
    <x v="0"/>
    <x v="0"/>
    <x v="0"/>
    <x v="0"/>
    <m/>
    <x v="0"/>
    <x v="0"/>
    <n v="-15.703600842"/>
    <m/>
    <x v="2"/>
    <x v="1"/>
    <x v="0"/>
    <x v="0"/>
    <x v="0"/>
  </r>
  <r>
    <s v="Singapore"/>
    <x v="4"/>
    <s v="SG2"/>
    <m/>
    <x v="0"/>
    <x v="4"/>
    <x v="3"/>
    <x v="2"/>
    <x v="0"/>
    <x v="0"/>
    <x v="0"/>
    <m/>
    <x v="0"/>
    <x v="0"/>
    <n v="-0.21810600000000002"/>
    <m/>
    <x v="4"/>
    <x v="1"/>
    <x v="0"/>
    <x v="2"/>
    <x v="2"/>
  </r>
  <r>
    <s v="Singapore"/>
    <x v="1"/>
    <s v="SG4"/>
    <m/>
    <x v="0"/>
    <x v="3"/>
    <x v="0"/>
    <x v="4"/>
    <x v="0"/>
    <x v="0"/>
    <x v="0"/>
    <m/>
    <x v="0"/>
    <x v="0"/>
    <n v="-0.24926400000000001"/>
    <m/>
    <x v="0"/>
    <x v="0"/>
    <x v="0"/>
    <x v="0"/>
    <x v="1"/>
  </r>
  <r>
    <s v="Singapore"/>
    <x v="4"/>
    <s v="SG3"/>
    <m/>
    <x v="3"/>
    <x v="2"/>
    <x v="2"/>
    <x v="3"/>
    <x v="0"/>
    <x v="0"/>
    <x v="0"/>
    <m/>
    <x v="0"/>
    <x v="0"/>
    <n v="-7.0105500000000001E-2"/>
    <m/>
    <x v="4"/>
    <x v="1"/>
    <x v="0"/>
    <x v="1"/>
    <x v="0"/>
  </r>
  <r>
    <s v="Singapore"/>
    <x v="2"/>
    <s v="SG4"/>
    <m/>
    <x v="3"/>
    <x v="0"/>
    <x v="1"/>
    <x v="3"/>
    <x v="0"/>
    <x v="0"/>
    <x v="0"/>
    <m/>
    <x v="0"/>
    <x v="0"/>
    <n v="6.9640155270000008"/>
    <m/>
    <x v="7"/>
    <x v="1"/>
    <x v="0"/>
    <x v="2"/>
    <x v="0"/>
  </r>
  <r>
    <s v="Singapore"/>
    <x v="3"/>
    <s v="SG3"/>
    <m/>
    <x v="1"/>
    <x v="1"/>
    <x v="4"/>
    <x v="1"/>
    <x v="0"/>
    <x v="0"/>
    <x v="0"/>
    <m/>
    <x v="0"/>
    <x v="0"/>
    <n v="-2.3991660000000001"/>
    <m/>
    <x v="4"/>
    <x v="2"/>
    <x v="0"/>
    <x v="0"/>
    <x v="2"/>
  </r>
  <r>
    <s v="Singapore"/>
    <x v="5"/>
    <s v="SG3"/>
    <m/>
    <x v="4"/>
    <x v="1"/>
    <x v="1"/>
    <x v="1"/>
    <x v="0"/>
    <x v="0"/>
    <x v="0"/>
    <m/>
    <x v="0"/>
    <x v="0"/>
    <n v="-0.15579000000000001"/>
    <m/>
    <x v="0"/>
    <x v="1"/>
    <x v="0"/>
    <x v="0"/>
    <x v="2"/>
  </r>
  <r>
    <s v="Singapore"/>
    <x v="0"/>
    <s v="SG1"/>
    <m/>
    <x v="2"/>
    <x v="2"/>
    <x v="4"/>
    <x v="4"/>
    <x v="0"/>
    <x v="0"/>
    <x v="0"/>
    <m/>
    <x v="0"/>
    <x v="0"/>
    <n v="-0.64964430000000006"/>
    <m/>
    <x v="3"/>
    <x v="3"/>
    <x v="0"/>
    <x v="4"/>
    <x v="0"/>
  </r>
  <r>
    <s v="Singapore"/>
    <x v="3"/>
    <s v="SG1"/>
    <m/>
    <x v="3"/>
    <x v="3"/>
    <x v="3"/>
    <x v="4"/>
    <x v="0"/>
    <x v="0"/>
    <x v="0"/>
    <m/>
    <x v="0"/>
    <x v="0"/>
    <n v="-0.77895000000000003"/>
    <m/>
    <x v="4"/>
    <x v="0"/>
    <x v="0"/>
    <x v="0"/>
    <x v="0"/>
  </r>
  <r>
    <s v="Singapore"/>
    <x v="3"/>
    <s v="SG2"/>
    <m/>
    <x v="0"/>
    <x v="1"/>
    <x v="4"/>
    <x v="2"/>
    <x v="0"/>
    <x v="0"/>
    <x v="0"/>
    <m/>
    <x v="0"/>
    <x v="0"/>
    <n v="9.4252950000000002E-2"/>
    <m/>
    <x v="6"/>
    <x v="1"/>
    <x v="0"/>
    <x v="0"/>
    <x v="0"/>
  </r>
  <r>
    <s v="Singapore"/>
    <x v="4"/>
    <s v="SG4"/>
    <m/>
    <x v="2"/>
    <x v="4"/>
    <x v="3"/>
    <x v="3"/>
    <x v="0"/>
    <x v="0"/>
    <x v="0"/>
    <m/>
    <x v="0"/>
    <x v="0"/>
    <n v="7.0105500000000001E-2"/>
    <m/>
    <x v="1"/>
    <x v="1"/>
    <x v="0"/>
    <x v="2"/>
    <x v="1"/>
  </r>
  <r>
    <s v="Singapore"/>
    <x v="5"/>
    <s v="SG4"/>
    <m/>
    <x v="0"/>
    <x v="0"/>
    <x v="0"/>
    <x v="2"/>
    <x v="0"/>
    <x v="0"/>
    <x v="0"/>
    <m/>
    <x v="0"/>
    <x v="0"/>
    <n v="0.82568700000000006"/>
    <m/>
    <x v="1"/>
    <x v="2"/>
    <x v="0"/>
    <x v="4"/>
    <x v="1"/>
  </r>
  <r>
    <s v="Singapore"/>
    <x v="5"/>
    <s v="SG1"/>
    <m/>
    <x v="3"/>
    <x v="2"/>
    <x v="0"/>
    <x v="3"/>
    <x v="0"/>
    <x v="0"/>
    <x v="0"/>
    <m/>
    <x v="0"/>
    <x v="0"/>
    <n v="19.612667943000002"/>
    <m/>
    <x v="7"/>
    <x v="1"/>
    <x v="0"/>
    <x v="3"/>
    <x v="1"/>
  </r>
  <r>
    <s v="Singapore"/>
    <x v="3"/>
    <s v="SG4"/>
    <m/>
    <x v="1"/>
    <x v="4"/>
    <x v="2"/>
    <x v="3"/>
    <x v="0"/>
    <x v="0"/>
    <x v="0"/>
    <m/>
    <x v="0"/>
    <x v="0"/>
    <n v="-3.7389600000000001"/>
    <m/>
    <x v="4"/>
    <x v="2"/>
    <x v="0"/>
    <x v="5"/>
    <x v="1"/>
  </r>
  <r>
    <s v="Singapore"/>
    <x v="0"/>
    <s v="SG1"/>
    <m/>
    <x v="5"/>
    <x v="1"/>
    <x v="0"/>
    <x v="5"/>
    <x v="0"/>
    <x v="0"/>
    <x v="0"/>
    <m/>
    <x v="0"/>
    <x v="0"/>
    <n v="0.10827405000000001"/>
    <m/>
    <x v="6"/>
    <x v="1"/>
    <x v="0"/>
    <x v="1"/>
    <x v="0"/>
  </r>
  <r>
    <s v="Singapore"/>
    <x v="0"/>
    <s v="SG2"/>
    <m/>
    <x v="1"/>
    <x v="3"/>
    <x v="4"/>
    <x v="5"/>
    <x v="0"/>
    <x v="0"/>
    <x v="0"/>
    <m/>
    <x v="0"/>
    <x v="0"/>
    <n v="-0.15579000000000001"/>
    <m/>
    <x v="4"/>
    <x v="3"/>
    <x v="0"/>
    <x v="0"/>
    <x v="0"/>
  </r>
  <r>
    <s v="Singapore"/>
    <x v="5"/>
    <s v="SG3"/>
    <m/>
    <x v="3"/>
    <x v="4"/>
    <x v="0"/>
    <x v="5"/>
    <x v="0"/>
    <x v="0"/>
    <x v="0"/>
    <m/>
    <x v="0"/>
    <x v="0"/>
    <n v="-0.54643342500000003"/>
    <m/>
    <x v="4"/>
    <x v="3"/>
    <x v="0"/>
    <x v="0"/>
    <x v="2"/>
  </r>
  <r>
    <s v="Singapore"/>
    <x v="3"/>
    <s v="SG1"/>
    <m/>
    <x v="2"/>
    <x v="4"/>
    <x v="3"/>
    <x v="5"/>
    <x v="0"/>
    <x v="0"/>
    <x v="0"/>
    <m/>
    <x v="0"/>
    <x v="0"/>
    <n v="-0.12226399200000002"/>
    <m/>
    <x v="2"/>
    <x v="2"/>
    <x v="0"/>
    <x v="0"/>
    <x v="1"/>
  </r>
  <r>
    <s v="Singapore"/>
    <x v="0"/>
    <s v="SG4"/>
    <m/>
    <x v="1"/>
    <x v="3"/>
    <x v="3"/>
    <x v="1"/>
    <x v="0"/>
    <x v="0"/>
    <x v="0"/>
    <m/>
    <x v="0"/>
    <x v="0"/>
    <n v="-0.186948"/>
    <m/>
    <x v="0"/>
    <x v="0"/>
    <x v="0"/>
    <x v="0"/>
    <x v="1"/>
  </r>
  <r>
    <s v="Singapore"/>
    <x v="5"/>
    <s v="SG1"/>
    <m/>
    <x v="2"/>
    <x v="2"/>
    <x v="1"/>
    <x v="4"/>
    <x v="0"/>
    <x v="0"/>
    <x v="0"/>
    <m/>
    <x v="0"/>
    <x v="0"/>
    <n v="-0.233685"/>
    <m/>
    <x v="0"/>
    <x v="3"/>
    <x v="0"/>
    <x v="2"/>
    <x v="2"/>
  </r>
  <r>
    <s v="Singapore"/>
    <x v="3"/>
    <s v="SG2"/>
    <m/>
    <x v="4"/>
    <x v="0"/>
    <x v="4"/>
    <x v="2"/>
    <x v="0"/>
    <x v="0"/>
    <x v="0"/>
    <m/>
    <x v="0"/>
    <x v="0"/>
    <n v="-0.1838322"/>
    <m/>
    <x v="4"/>
    <x v="3"/>
    <x v="0"/>
    <x v="3"/>
    <x v="0"/>
  </r>
  <r>
    <s v="Singapore"/>
    <x v="3"/>
    <s v="SG3"/>
    <m/>
    <x v="0"/>
    <x v="4"/>
    <x v="4"/>
    <x v="3"/>
    <x v="0"/>
    <x v="0"/>
    <x v="0"/>
    <m/>
    <x v="0"/>
    <x v="0"/>
    <n v="0.17984397600000002"/>
    <m/>
    <x v="1"/>
    <x v="1"/>
    <x v="0"/>
    <x v="2"/>
    <x v="2"/>
  </r>
  <r>
    <s v="Singapore"/>
    <x v="1"/>
    <s v="SG1"/>
    <m/>
    <x v="4"/>
    <x v="1"/>
    <x v="2"/>
    <x v="2"/>
    <x v="0"/>
    <x v="0"/>
    <x v="0"/>
    <m/>
    <x v="0"/>
    <x v="0"/>
    <n v="-3.1158000000000002E-2"/>
    <m/>
    <x v="0"/>
    <x v="2"/>
    <x v="0"/>
    <x v="5"/>
    <x v="2"/>
  </r>
  <r>
    <s v="Singapore"/>
    <x v="1"/>
    <s v="SG3"/>
    <m/>
    <x v="4"/>
    <x v="0"/>
    <x v="0"/>
    <x v="4"/>
    <x v="0"/>
    <x v="0"/>
    <x v="0"/>
    <m/>
    <x v="0"/>
    <x v="0"/>
    <n v="-2.8042199999999999"/>
    <m/>
    <x v="6"/>
    <x v="1"/>
    <x v="0"/>
    <x v="2"/>
    <x v="2"/>
  </r>
  <r>
    <s v="Singapore"/>
    <x v="5"/>
    <s v="SG2"/>
    <m/>
    <x v="4"/>
    <x v="2"/>
    <x v="1"/>
    <x v="5"/>
    <x v="0"/>
    <x v="0"/>
    <x v="0"/>
    <m/>
    <x v="0"/>
    <x v="0"/>
    <n v="0.15579000000000001"/>
    <m/>
    <x v="1"/>
    <x v="0"/>
    <x v="0"/>
    <x v="4"/>
    <x v="2"/>
  </r>
  <r>
    <s v="Singapore"/>
    <x v="0"/>
    <s v="SG1"/>
    <m/>
    <x v="2"/>
    <x v="4"/>
    <x v="0"/>
    <x v="1"/>
    <x v="0"/>
    <x v="0"/>
    <x v="0"/>
    <m/>
    <x v="0"/>
    <x v="0"/>
    <n v="0.21031650000000002"/>
    <m/>
    <x v="1"/>
    <x v="0"/>
    <x v="0"/>
    <x v="3"/>
    <x v="0"/>
  </r>
  <r>
    <s v="Singapore"/>
    <x v="4"/>
    <s v="SG3"/>
    <m/>
    <x v="2"/>
    <x v="0"/>
    <x v="0"/>
    <x v="3"/>
    <x v="0"/>
    <x v="0"/>
    <x v="0"/>
    <m/>
    <x v="0"/>
    <x v="0"/>
    <n v="-4.6737000000000001E-2"/>
    <m/>
    <x v="0"/>
    <x v="3"/>
    <x v="0"/>
    <x v="3"/>
    <x v="2"/>
  </r>
  <r>
    <s v="Singapore"/>
    <x v="1"/>
    <s v="SG4"/>
    <m/>
    <x v="5"/>
    <x v="2"/>
    <x v="1"/>
    <x v="0"/>
    <x v="0"/>
    <x v="0"/>
    <x v="0"/>
    <m/>
    <x v="0"/>
    <x v="0"/>
    <n v="0.1324215"/>
    <m/>
    <x v="1"/>
    <x v="1"/>
    <x v="0"/>
    <x v="0"/>
    <x v="1"/>
  </r>
  <r>
    <s v="Singapore"/>
    <x v="4"/>
    <s v="SG4"/>
    <m/>
    <x v="2"/>
    <x v="4"/>
    <x v="2"/>
    <x v="3"/>
    <x v="0"/>
    <x v="0"/>
    <x v="0"/>
    <m/>
    <x v="0"/>
    <x v="0"/>
    <n v="-3.5831700000000004"/>
    <m/>
    <x v="4"/>
    <x v="1"/>
    <x v="0"/>
    <x v="2"/>
    <x v="2"/>
  </r>
  <r>
    <s v="Singapore"/>
    <x v="4"/>
    <s v="SG3"/>
    <m/>
    <x v="5"/>
    <x v="4"/>
    <x v="3"/>
    <x v="4"/>
    <x v="0"/>
    <x v="0"/>
    <x v="0"/>
    <m/>
    <x v="0"/>
    <x v="0"/>
    <n v="-2.33685E-2"/>
    <m/>
    <x v="6"/>
    <x v="0"/>
    <x v="0"/>
    <x v="1"/>
    <x v="1"/>
  </r>
  <r>
    <s v="Singapore"/>
    <x v="3"/>
    <s v="SG1"/>
    <m/>
    <x v="3"/>
    <x v="0"/>
    <x v="3"/>
    <x v="0"/>
    <x v="0"/>
    <x v="0"/>
    <x v="0"/>
    <m/>
    <x v="0"/>
    <x v="0"/>
    <n v="-1.0499778630000001"/>
    <m/>
    <x v="0"/>
    <x v="0"/>
    <x v="0"/>
    <x v="1"/>
    <x v="0"/>
  </r>
  <r>
    <s v="Singapore"/>
    <x v="2"/>
    <s v="SG2"/>
    <m/>
    <x v="1"/>
    <x v="0"/>
    <x v="2"/>
    <x v="5"/>
    <x v="0"/>
    <x v="0"/>
    <x v="0"/>
    <m/>
    <x v="0"/>
    <x v="0"/>
    <n v="-9.3474000000000002E-2"/>
    <m/>
    <x v="0"/>
    <x v="2"/>
    <x v="0"/>
    <x v="2"/>
    <x v="0"/>
  </r>
  <r>
    <s v="Singapore"/>
    <x v="0"/>
    <s v="SG2"/>
    <m/>
    <x v="4"/>
    <x v="3"/>
    <x v="3"/>
    <x v="3"/>
    <x v="0"/>
    <x v="0"/>
    <x v="0"/>
    <m/>
    <x v="0"/>
    <x v="0"/>
    <n v="294.75468000000001"/>
    <m/>
    <x v="5"/>
    <x v="0"/>
    <x v="0"/>
    <x v="4"/>
    <x v="2"/>
  </r>
  <r>
    <s v="Singapore"/>
    <x v="3"/>
    <s v="SG1"/>
    <m/>
    <x v="5"/>
    <x v="2"/>
    <x v="4"/>
    <x v="3"/>
    <x v="0"/>
    <x v="0"/>
    <x v="0"/>
    <m/>
    <x v="0"/>
    <x v="0"/>
    <n v="-0.60758100000000004"/>
    <m/>
    <x v="0"/>
    <x v="2"/>
    <x v="0"/>
    <x v="0"/>
    <x v="2"/>
  </r>
  <r>
    <s v="Singapore"/>
    <x v="5"/>
    <s v="SG4"/>
    <m/>
    <x v="2"/>
    <x v="0"/>
    <x v="0"/>
    <x v="4"/>
    <x v="0"/>
    <x v="0"/>
    <x v="0"/>
    <m/>
    <x v="0"/>
    <x v="0"/>
    <n v="1.2774780000000001"/>
    <m/>
    <x v="1"/>
    <x v="2"/>
    <x v="0"/>
    <x v="4"/>
    <x v="1"/>
  </r>
  <r>
    <s v="Singapore"/>
    <x v="2"/>
    <s v="SG2"/>
    <m/>
    <x v="4"/>
    <x v="4"/>
    <x v="0"/>
    <x v="2"/>
    <x v="0"/>
    <x v="0"/>
    <x v="0"/>
    <m/>
    <x v="0"/>
    <x v="0"/>
    <n v="0.15579000000000001"/>
    <m/>
    <x v="1"/>
    <x v="1"/>
    <x v="0"/>
    <x v="1"/>
    <x v="2"/>
  </r>
  <r>
    <s v="Singapore"/>
    <x v="4"/>
    <s v="SG4"/>
    <m/>
    <x v="0"/>
    <x v="1"/>
    <x v="0"/>
    <x v="3"/>
    <x v="0"/>
    <x v="0"/>
    <x v="0"/>
    <m/>
    <x v="0"/>
    <x v="0"/>
    <n v="0.34273800000000004"/>
    <m/>
    <x v="8"/>
    <x v="2"/>
    <x v="0"/>
    <x v="0"/>
    <x v="0"/>
  </r>
  <r>
    <s v="Singapore"/>
    <x v="0"/>
    <s v="SG4"/>
    <m/>
    <x v="2"/>
    <x v="1"/>
    <x v="3"/>
    <x v="2"/>
    <x v="0"/>
    <x v="0"/>
    <x v="0"/>
    <m/>
    <x v="0"/>
    <x v="0"/>
    <n v="1.2058146000000001"/>
    <m/>
    <x v="2"/>
    <x v="1"/>
    <x v="0"/>
    <x v="1"/>
    <x v="0"/>
  </r>
  <r>
    <s v="Singapore"/>
    <x v="1"/>
    <s v="SG3"/>
    <m/>
    <x v="5"/>
    <x v="2"/>
    <x v="0"/>
    <x v="1"/>
    <x v="0"/>
    <x v="0"/>
    <x v="0"/>
    <m/>
    <x v="0"/>
    <x v="0"/>
    <n v="-0.80334671400000002"/>
    <m/>
    <x v="4"/>
    <x v="2"/>
    <x v="0"/>
    <x v="2"/>
    <x v="2"/>
  </r>
  <r>
    <s v="Singapore"/>
    <x v="2"/>
    <s v="SG1"/>
    <m/>
    <x v="1"/>
    <x v="4"/>
    <x v="2"/>
    <x v="4"/>
    <x v="0"/>
    <x v="0"/>
    <x v="0"/>
    <m/>
    <x v="0"/>
    <x v="0"/>
    <n v="0.20252700000000001"/>
    <m/>
    <x v="2"/>
    <x v="1"/>
    <x v="0"/>
    <x v="3"/>
    <x v="0"/>
  </r>
  <r>
    <s v="Singapore"/>
    <x v="4"/>
    <s v="SG3"/>
    <m/>
    <x v="5"/>
    <x v="2"/>
    <x v="3"/>
    <x v="1"/>
    <x v="0"/>
    <x v="0"/>
    <x v="0"/>
    <m/>
    <x v="0"/>
    <x v="0"/>
    <n v="-0.12463200000000001"/>
    <m/>
    <x v="4"/>
    <x v="0"/>
    <x v="0"/>
    <x v="4"/>
    <x v="2"/>
  </r>
  <r>
    <s v="Singapore"/>
    <x v="5"/>
    <s v="SG1"/>
    <m/>
    <x v="2"/>
    <x v="3"/>
    <x v="3"/>
    <x v="4"/>
    <x v="0"/>
    <x v="0"/>
    <x v="0"/>
    <m/>
    <x v="0"/>
    <x v="0"/>
    <n v="-0.31158000000000002"/>
    <m/>
    <x v="4"/>
    <x v="2"/>
    <x v="0"/>
    <x v="2"/>
    <x v="1"/>
  </r>
  <r>
    <s v="Singapore"/>
    <x v="4"/>
    <s v="SG1"/>
    <m/>
    <x v="1"/>
    <x v="2"/>
    <x v="3"/>
    <x v="4"/>
    <x v="0"/>
    <x v="0"/>
    <x v="0"/>
    <m/>
    <x v="0"/>
    <x v="0"/>
    <n v="0.21810600000000002"/>
    <m/>
    <x v="4"/>
    <x v="3"/>
    <x v="0"/>
    <x v="4"/>
    <x v="2"/>
  </r>
  <r>
    <s v="Singapore"/>
    <x v="4"/>
    <s v="SG3"/>
    <m/>
    <x v="0"/>
    <x v="1"/>
    <x v="1"/>
    <x v="2"/>
    <x v="0"/>
    <x v="0"/>
    <x v="0"/>
    <m/>
    <x v="0"/>
    <x v="0"/>
    <n v="-4.6737000000000001E-2"/>
    <m/>
    <x v="0"/>
    <x v="0"/>
    <x v="0"/>
    <x v="1"/>
    <x v="2"/>
  </r>
  <r>
    <s v="Singapore"/>
    <x v="1"/>
    <s v="SG3"/>
    <m/>
    <x v="5"/>
    <x v="1"/>
    <x v="0"/>
    <x v="2"/>
    <x v="0"/>
    <x v="0"/>
    <x v="0"/>
    <m/>
    <x v="0"/>
    <x v="0"/>
    <n v="-1.5579000000000001"/>
    <m/>
    <x v="1"/>
    <x v="1"/>
    <x v="0"/>
    <x v="0"/>
    <x v="1"/>
  </r>
  <r>
    <s v="Singapore"/>
    <x v="1"/>
    <s v="SG4"/>
    <m/>
    <x v="5"/>
    <x v="3"/>
    <x v="3"/>
    <x v="2"/>
    <x v="0"/>
    <x v="0"/>
    <x v="0"/>
    <m/>
    <x v="0"/>
    <x v="0"/>
    <n v="0.46737000000000001"/>
    <m/>
    <x v="1"/>
    <x v="3"/>
    <x v="0"/>
    <x v="3"/>
    <x v="2"/>
  </r>
  <r>
    <s v="Singapore"/>
    <x v="4"/>
    <s v="SG2"/>
    <m/>
    <x v="4"/>
    <x v="0"/>
    <x v="0"/>
    <x v="4"/>
    <x v="0"/>
    <x v="0"/>
    <x v="0"/>
    <m/>
    <x v="0"/>
    <x v="0"/>
    <n v="-43.150885569000003"/>
    <m/>
    <x v="0"/>
    <x v="3"/>
    <x v="0"/>
    <x v="4"/>
    <x v="2"/>
  </r>
  <r>
    <s v="Singapore"/>
    <x v="0"/>
    <s v="SG4"/>
    <m/>
    <x v="0"/>
    <x v="2"/>
    <x v="4"/>
    <x v="3"/>
    <x v="0"/>
    <x v="0"/>
    <x v="0"/>
    <m/>
    <x v="0"/>
    <x v="0"/>
    <n v="-135.06006849300002"/>
    <m/>
    <x v="3"/>
    <x v="3"/>
    <x v="0"/>
    <x v="0"/>
    <x v="2"/>
  </r>
  <r>
    <s v="Singapore"/>
    <x v="4"/>
    <s v="SG2"/>
    <m/>
    <x v="5"/>
    <x v="0"/>
    <x v="4"/>
    <x v="1"/>
    <x v="0"/>
    <x v="0"/>
    <x v="0"/>
    <m/>
    <x v="0"/>
    <x v="0"/>
    <n v="2.6484300000000003"/>
    <m/>
    <x v="1"/>
    <x v="2"/>
    <x v="0"/>
    <x v="3"/>
    <x v="1"/>
  </r>
  <r>
    <s v="Singapore"/>
    <x v="1"/>
    <s v="SG2"/>
    <m/>
    <x v="4"/>
    <x v="0"/>
    <x v="0"/>
    <x v="4"/>
    <x v="0"/>
    <x v="0"/>
    <x v="0"/>
    <m/>
    <x v="0"/>
    <x v="0"/>
    <n v="-0.12463200000000001"/>
    <m/>
    <x v="0"/>
    <x v="3"/>
    <x v="0"/>
    <x v="0"/>
    <x v="0"/>
  </r>
  <r>
    <s v="Singapore"/>
    <x v="5"/>
    <s v="SG2"/>
    <m/>
    <x v="4"/>
    <x v="3"/>
    <x v="1"/>
    <x v="5"/>
    <x v="0"/>
    <x v="0"/>
    <x v="0"/>
    <m/>
    <x v="0"/>
    <x v="0"/>
    <n v="-0.140211"/>
    <m/>
    <x v="0"/>
    <x v="3"/>
    <x v="0"/>
    <x v="1"/>
    <x v="0"/>
  </r>
  <r>
    <s v="Singapore"/>
    <x v="1"/>
    <s v="SG4"/>
    <m/>
    <x v="1"/>
    <x v="2"/>
    <x v="3"/>
    <x v="4"/>
    <x v="0"/>
    <x v="0"/>
    <x v="0"/>
    <m/>
    <x v="0"/>
    <x v="0"/>
    <n v="-0.81010800000000005"/>
    <m/>
    <x v="4"/>
    <x v="1"/>
    <x v="0"/>
    <x v="4"/>
    <x v="0"/>
  </r>
  <r>
    <s v="Singapore"/>
    <x v="2"/>
    <s v="SG1"/>
    <m/>
    <x v="2"/>
    <x v="4"/>
    <x v="0"/>
    <x v="4"/>
    <x v="0"/>
    <x v="0"/>
    <x v="0"/>
    <m/>
    <x v="0"/>
    <x v="0"/>
    <n v="56.882449854000008"/>
    <m/>
    <x v="5"/>
    <x v="2"/>
    <x v="0"/>
    <x v="2"/>
    <x v="1"/>
  </r>
  <r>
    <s v="Singapore"/>
    <x v="0"/>
    <s v="SG1"/>
    <m/>
    <x v="1"/>
    <x v="3"/>
    <x v="1"/>
    <x v="0"/>
    <x v="0"/>
    <x v="0"/>
    <x v="0"/>
    <m/>
    <x v="0"/>
    <x v="0"/>
    <n v="26.484300000000001"/>
    <m/>
    <x v="7"/>
    <x v="2"/>
    <x v="0"/>
    <x v="2"/>
    <x v="2"/>
  </r>
  <r>
    <s v="Singapore"/>
    <x v="1"/>
    <s v="SG1"/>
    <m/>
    <x v="2"/>
    <x v="3"/>
    <x v="4"/>
    <x v="5"/>
    <x v="0"/>
    <x v="0"/>
    <x v="0"/>
    <m/>
    <x v="0"/>
    <x v="0"/>
    <n v="-0.39726450000000002"/>
    <m/>
    <x v="3"/>
    <x v="0"/>
    <x v="0"/>
    <x v="1"/>
    <x v="1"/>
  </r>
  <r>
    <s v="Singapore"/>
    <x v="4"/>
    <s v="SG4"/>
    <m/>
    <x v="0"/>
    <x v="2"/>
    <x v="1"/>
    <x v="3"/>
    <x v="0"/>
    <x v="0"/>
    <x v="0"/>
    <m/>
    <x v="0"/>
    <x v="0"/>
    <n v="26.924874120000002"/>
    <m/>
    <x v="2"/>
    <x v="3"/>
    <x v="0"/>
    <x v="3"/>
    <x v="0"/>
  </r>
  <r>
    <s v="Singapore"/>
    <x v="5"/>
    <s v="SG2"/>
    <m/>
    <x v="0"/>
    <x v="0"/>
    <x v="2"/>
    <x v="2"/>
    <x v="0"/>
    <x v="0"/>
    <x v="0"/>
    <m/>
    <x v="0"/>
    <x v="0"/>
    <n v="-0.12463200000000001"/>
    <m/>
    <x v="0"/>
    <x v="3"/>
    <x v="0"/>
    <x v="0"/>
    <x v="0"/>
  </r>
  <r>
    <s v="Singapore"/>
    <x v="3"/>
    <s v="SG3"/>
    <m/>
    <x v="4"/>
    <x v="3"/>
    <x v="2"/>
    <x v="0"/>
    <x v="0"/>
    <x v="0"/>
    <x v="0"/>
    <m/>
    <x v="0"/>
    <x v="0"/>
    <n v="-0.233685"/>
    <m/>
    <x v="0"/>
    <x v="0"/>
    <x v="0"/>
    <x v="5"/>
    <x v="1"/>
  </r>
  <r>
    <s v="Singapore"/>
    <x v="1"/>
    <s v="SG4"/>
    <m/>
    <x v="1"/>
    <x v="2"/>
    <x v="2"/>
    <x v="4"/>
    <x v="0"/>
    <x v="0"/>
    <x v="0"/>
    <m/>
    <x v="0"/>
    <x v="0"/>
    <n v="1.40211"/>
    <m/>
    <x v="1"/>
    <x v="0"/>
    <x v="0"/>
    <x v="2"/>
    <x v="2"/>
  </r>
  <r>
    <s v="Singapore"/>
    <x v="4"/>
    <s v="SG2"/>
    <m/>
    <x v="2"/>
    <x v="2"/>
    <x v="2"/>
    <x v="4"/>
    <x v="0"/>
    <x v="0"/>
    <x v="0"/>
    <m/>
    <x v="0"/>
    <x v="0"/>
    <n v="-13.709520000000001"/>
    <m/>
    <x v="2"/>
    <x v="0"/>
    <x v="0"/>
    <x v="0"/>
    <x v="0"/>
  </r>
  <r>
    <s v="Singapore"/>
    <x v="0"/>
    <s v="SG2"/>
    <m/>
    <x v="3"/>
    <x v="0"/>
    <x v="4"/>
    <x v="5"/>
    <x v="0"/>
    <x v="0"/>
    <x v="0"/>
    <m/>
    <x v="0"/>
    <x v="0"/>
    <n v="-0.17136900000000002"/>
    <m/>
    <x v="0"/>
    <x v="0"/>
    <x v="0"/>
    <x v="5"/>
    <x v="0"/>
  </r>
  <r>
    <s v="Singapore"/>
    <x v="0"/>
    <s v="SG1"/>
    <m/>
    <x v="4"/>
    <x v="2"/>
    <x v="1"/>
    <x v="4"/>
    <x v="0"/>
    <x v="0"/>
    <x v="0"/>
    <m/>
    <x v="0"/>
    <x v="0"/>
    <n v="0.186948"/>
    <m/>
    <x v="8"/>
    <x v="2"/>
    <x v="0"/>
    <x v="4"/>
    <x v="1"/>
  </r>
  <r>
    <s v="Singapore"/>
    <x v="3"/>
    <s v="SG4"/>
    <m/>
    <x v="1"/>
    <x v="1"/>
    <x v="4"/>
    <x v="1"/>
    <x v="0"/>
    <x v="0"/>
    <x v="0"/>
    <m/>
    <x v="0"/>
    <x v="0"/>
    <n v="-0.12463200000000001"/>
    <m/>
    <x v="0"/>
    <x v="0"/>
    <x v="0"/>
    <x v="4"/>
    <x v="2"/>
  </r>
  <r>
    <s v="Singapore"/>
    <x v="1"/>
    <s v="SG2"/>
    <m/>
    <x v="2"/>
    <x v="2"/>
    <x v="0"/>
    <x v="3"/>
    <x v="0"/>
    <x v="0"/>
    <x v="0"/>
    <m/>
    <x v="0"/>
    <x v="0"/>
    <n v="-77.175546201000003"/>
    <m/>
    <x v="3"/>
    <x v="2"/>
    <x v="0"/>
    <x v="0"/>
    <x v="2"/>
  </r>
  <r>
    <s v="Singapore"/>
    <x v="3"/>
    <s v="SG1"/>
    <m/>
    <x v="5"/>
    <x v="2"/>
    <x v="2"/>
    <x v="1"/>
    <x v="0"/>
    <x v="0"/>
    <x v="0"/>
    <m/>
    <x v="0"/>
    <x v="0"/>
    <n v="-0.15579000000000001"/>
    <m/>
    <x v="0"/>
    <x v="3"/>
    <x v="0"/>
    <x v="3"/>
    <x v="0"/>
  </r>
  <r>
    <s v="Singapore"/>
    <x v="2"/>
    <s v="SG3"/>
    <m/>
    <x v="1"/>
    <x v="1"/>
    <x v="1"/>
    <x v="0"/>
    <x v="0"/>
    <x v="0"/>
    <x v="0"/>
    <m/>
    <x v="0"/>
    <x v="0"/>
    <n v="-0.70105499999999998"/>
    <m/>
    <x v="4"/>
    <x v="1"/>
    <x v="0"/>
    <x v="0"/>
    <x v="1"/>
  </r>
  <r>
    <s v="Singapore"/>
    <x v="4"/>
    <s v="SG2"/>
    <m/>
    <x v="1"/>
    <x v="3"/>
    <x v="3"/>
    <x v="0"/>
    <x v="0"/>
    <x v="0"/>
    <x v="0"/>
    <m/>
    <x v="0"/>
    <x v="0"/>
    <n v="-42.063300000000005"/>
    <m/>
    <x v="7"/>
    <x v="1"/>
    <x v="0"/>
    <x v="4"/>
    <x v="0"/>
  </r>
  <r>
    <s v="Singapore"/>
    <x v="4"/>
    <s v="SG3"/>
    <m/>
    <x v="1"/>
    <x v="4"/>
    <x v="3"/>
    <x v="0"/>
    <x v="0"/>
    <x v="0"/>
    <x v="0"/>
    <m/>
    <x v="0"/>
    <x v="0"/>
    <n v="1.9182266910000001"/>
    <m/>
    <x v="1"/>
    <x v="1"/>
    <x v="0"/>
    <x v="1"/>
    <x v="2"/>
  </r>
  <r>
    <s v="Singapore"/>
    <x v="2"/>
    <s v="SG4"/>
    <m/>
    <x v="4"/>
    <x v="0"/>
    <x v="4"/>
    <x v="5"/>
    <x v="0"/>
    <x v="0"/>
    <x v="0"/>
    <m/>
    <x v="0"/>
    <x v="0"/>
    <n v="44.510760900000001"/>
    <m/>
    <x v="1"/>
    <x v="1"/>
    <x v="0"/>
    <x v="3"/>
    <x v="0"/>
  </r>
  <r>
    <s v="Singapore"/>
    <x v="0"/>
    <s v="SG2"/>
    <m/>
    <x v="3"/>
    <x v="3"/>
    <x v="3"/>
    <x v="3"/>
    <x v="0"/>
    <x v="0"/>
    <x v="0"/>
    <m/>
    <x v="0"/>
    <x v="0"/>
    <n v="0.264843"/>
    <m/>
    <x v="1"/>
    <x v="3"/>
    <x v="0"/>
    <x v="3"/>
    <x v="1"/>
  </r>
  <r>
    <s v="Singapore"/>
    <x v="2"/>
    <s v="SG4"/>
    <m/>
    <x v="0"/>
    <x v="1"/>
    <x v="2"/>
    <x v="1"/>
    <x v="0"/>
    <x v="0"/>
    <x v="0"/>
    <m/>
    <x v="0"/>
    <x v="0"/>
    <n v="3.528238446"/>
    <m/>
    <x v="1"/>
    <x v="2"/>
    <x v="0"/>
    <x v="1"/>
    <x v="0"/>
  </r>
  <r>
    <s v="Singapore"/>
    <x v="1"/>
    <s v="SG1"/>
    <m/>
    <x v="2"/>
    <x v="0"/>
    <x v="2"/>
    <x v="1"/>
    <x v="0"/>
    <x v="0"/>
    <x v="0"/>
    <m/>
    <x v="0"/>
    <x v="0"/>
    <n v="-0.233685"/>
    <m/>
    <x v="0"/>
    <x v="3"/>
    <x v="0"/>
    <x v="1"/>
    <x v="0"/>
  </r>
  <r>
    <s v="Singapore"/>
    <x v="5"/>
    <s v="SG2"/>
    <m/>
    <x v="0"/>
    <x v="3"/>
    <x v="1"/>
    <x v="4"/>
    <x v="0"/>
    <x v="0"/>
    <x v="0"/>
    <m/>
    <x v="0"/>
    <x v="0"/>
    <n v="-0.1838322"/>
    <m/>
    <x v="4"/>
    <x v="1"/>
    <x v="0"/>
    <x v="2"/>
    <x v="2"/>
  </r>
  <r>
    <s v="Singapore"/>
    <x v="0"/>
    <s v="SG2"/>
    <m/>
    <x v="2"/>
    <x v="1"/>
    <x v="1"/>
    <x v="4"/>
    <x v="0"/>
    <x v="0"/>
    <x v="0"/>
    <m/>
    <x v="0"/>
    <x v="0"/>
    <n v="-1.5579000000000001E-2"/>
    <m/>
    <x v="0"/>
    <x v="3"/>
    <x v="0"/>
    <x v="0"/>
    <x v="1"/>
  </r>
  <r>
    <s v="Singapore"/>
    <x v="0"/>
    <s v="SG3"/>
    <m/>
    <x v="4"/>
    <x v="0"/>
    <x v="0"/>
    <x v="2"/>
    <x v="0"/>
    <x v="0"/>
    <x v="0"/>
    <m/>
    <x v="0"/>
    <x v="0"/>
    <n v="-0.1838322"/>
    <m/>
    <x v="4"/>
    <x v="0"/>
    <x v="0"/>
    <x v="2"/>
    <x v="1"/>
  </r>
  <r>
    <s v="Singapore"/>
    <x v="1"/>
    <s v="SG1"/>
    <m/>
    <x v="2"/>
    <x v="3"/>
    <x v="3"/>
    <x v="5"/>
    <x v="0"/>
    <x v="0"/>
    <x v="0"/>
    <m/>
    <x v="0"/>
    <x v="0"/>
    <n v="-3.1158000000000002E-2"/>
    <m/>
    <x v="0"/>
    <x v="1"/>
    <x v="0"/>
    <x v="2"/>
    <x v="1"/>
  </r>
  <r>
    <s v="Singapore"/>
    <x v="4"/>
    <s v="SG4"/>
    <m/>
    <x v="4"/>
    <x v="0"/>
    <x v="3"/>
    <x v="3"/>
    <x v="0"/>
    <x v="0"/>
    <x v="0"/>
    <m/>
    <x v="0"/>
    <x v="0"/>
    <n v="-9.3474000000000005E-3"/>
    <m/>
    <x v="3"/>
    <x v="0"/>
    <x v="0"/>
    <x v="1"/>
    <x v="2"/>
  </r>
  <r>
    <s v="Singapore"/>
    <x v="4"/>
    <s v="SG4"/>
    <m/>
    <x v="2"/>
    <x v="2"/>
    <x v="0"/>
    <x v="3"/>
    <x v="0"/>
    <x v="0"/>
    <x v="0"/>
    <m/>
    <x v="0"/>
    <x v="0"/>
    <n v="1.40211"/>
    <m/>
    <x v="1"/>
    <x v="2"/>
    <x v="0"/>
    <x v="3"/>
    <x v="0"/>
  </r>
  <r>
    <s v="Singapore"/>
    <x v="1"/>
    <s v="SG4"/>
    <m/>
    <x v="3"/>
    <x v="1"/>
    <x v="4"/>
    <x v="5"/>
    <x v="0"/>
    <x v="0"/>
    <x v="0"/>
    <m/>
    <x v="0"/>
    <x v="0"/>
    <n v="3.1158000000000001"/>
    <m/>
    <x v="5"/>
    <x v="1"/>
    <x v="0"/>
    <x v="2"/>
    <x v="0"/>
  </r>
  <r>
    <s v="Singapore"/>
    <x v="3"/>
    <s v="SG4"/>
    <m/>
    <x v="4"/>
    <x v="0"/>
    <x v="3"/>
    <x v="5"/>
    <x v="0"/>
    <x v="0"/>
    <x v="0"/>
    <m/>
    <x v="0"/>
    <x v="0"/>
    <n v="0.56863350000000001"/>
    <m/>
    <x v="1"/>
    <x v="0"/>
    <x v="0"/>
    <x v="3"/>
    <x v="2"/>
  </r>
  <r>
    <s v="Singapore"/>
    <x v="1"/>
    <s v="SG3"/>
    <m/>
    <x v="2"/>
    <x v="4"/>
    <x v="4"/>
    <x v="2"/>
    <x v="0"/>
    <x v="0"/>
    <x v="0"/>
    <m/>
    <x v="0"/>
    <x v="0"/>
    <n v="-0.15579000000000001"/>
    <m/>
    <x v="4"/>
    <x v="3"/>
    <x v="0"/>
    <x v="2"/>
    <x v="1"/>
  </r>
  <r>
    <s v="Singapore"/>
    <x v="5"/>
    <s v="SG3"/>
    <m/>
    <x v="4"/>
    <x v="0"/>
    <x v="0"/>
    <x v="3"/>
    <x v="0"/>
    <x v="0"/>
    <x v="0"/>
    <m/>
    <x v="0"/>
    <x v="0"/>
    <n v="1.0801232280000002"/>
    <m/>
    <x v="1"/>
    <x v="3"/>
    <x v="0"/>
    <x v="4"/>
    <x v="1"/>
  </r>
  <r>
    <s v="Singapore"/>
    <x v="3"/>
    <s v="SG2"/>
    <m/>
    <x v="0"/>
    <x v="3"/>
    <x v="3"/>
    <x v="4"/>
    <x v="0"/>
    <x v="0"/>
    <x v="0"/>
    <m/>
    <x v="0"/>
    <x v="0"/>
    <n v="-2.775180744"/>
    <m/>
    <x v="4"/>
    <x v="0"/>
    <x v="0"/>
    <x v="4"/>
    <x v="2"/>
  </r>
  <r>
    <s v="Singapore"/>
    <x v="4"/>
    <s v="SG1"/>
    <m/>
    <x v="4"/>
    <x v="3"/>
    <x v="4"/>
    <x v="5"/>
    <x v="0"/>
    <x v="0"/>
    <x v="0"/>
    <m/>
    <x v="0"/>
    <x v="0"/>
    <n v="6.1201166760000003"/>
    <m/>
    <x v="1"/>
    <x v="0"/>
    <x v="0"/>
    <x v="1"/>
    <x v="1"/>
  </r>
  <r>
    <s v="Singapore"/>
    <x v="1"/>
    <s v="SG1"/>
    <m/>
    <x v="2"/>
    <x v="2"/>
    <x v="2"/>
    <x v="1"/>
    <x v="0"/>
    <x v="0"/>
    <x v="0"/>
    <m/>
    <x v="0"/>
    <x v="0"/>
    <n v="-2.775180744"/>
    <m/>
    <x v="4"/>
    <x v="2"/>
    <x v="0"/>
    <x v="0"/>
    <x v="1"/>
  </r>
  <r>
    <s v="Singapore"/>
    <x v="2"/>
    <s v="SG1"/>
    <m/>
    <x v="2"/>
    <x v="3"/>
    <x v="3"/>
    <x v="3"/>
    <x v="0"/>
    <x v="0"/>
    <x v="0"/>
    <m/>
    <x v="0"/>
    <x v="0"/>
    <n v="-6.5431799999999998E-2"/>
    <m/>
    <x v="3"/>
    <x v="0"/>
    <x v="0"/>
    <x v="3"/>
    <x v="0"/>
  </r>
  <r>
    <s v="Singapore"/>
    <x v="3"/>
    <s v="SG3"/>
    <m/>
    <x v="0"/>
    <x v="3"/>
    <x v="1"/>
    <x v="3"/>
    <x v="0"/>
    <x v="0"/>
    <x v="0"/>
    <m/>
    <x v="0"/>
    <x v="0"/>
    <n v="-0.10360035000000001"/>
    <m/>
    <x v="6"/>
    <x v="1"/>
    <x v="0"/>
    <x v="4"/>
    <x v="1"/>
  </r>
  <r>
    <s v="Singapore"/>
    <x v="3"/>
    <s v="SG4"/>
    <m/>
    <x v="3"/>
    <x v="2"/>
    <x v="3"/>
    <x v="3"/>
    <x v="0"/>
    <x v="0"/>
    <x v="0"/>
    <m/>
    <x v="0"/>
    <x v="0"/>
    <n v="0.21810600000000002"/>
    <m/>
    <x v="4"/>
    <x v="2"/>
    <x v="0"/>
    <x v="5"/>
    <x v="2"/>
  </r>
  <r>
    <s v="Singapore"/>
    <x v="4"/>
    <s v="SG2"/>
    <m/>
    <x v="5"/>
    <x v="1"/>
    <x v="1"/>
    <x v="0"/>
    <x v="0"/>
    <x v="0"/>
    <x v="0"/>
    <m/>
    <x v="0"/>
    <x v="0"/>
    <n v="-2.991168"/>
    <m/>
    <x v="0"/>
    <x v="0"/>
    <x v="0"/>
    <x v="2"/>
    <x v="1"/>
  </r>
  <r>
    <s v="Singapore"/>
    <x v="1"/>
    <s v="SG4"/>
    <m/>
    <x v="4"/>
    <x v="0"/>
    <x v="4"/>
    <x v="1"/>
    <x v="0"/>
    <x v="0"/>
    <x v="0"/>
    <m/>
    <x v="0"/>
    <x v="0"/>
    <n v="-0.25315874999999999"/>
    <m/>
    <x v="1"/>
    <x v="2"/>
    <x v="0"/>
    <x v="1"/>
    <x v="1"/>
  </r>
  <r>
    <s v="Singapore"/>
    <x v="1"/>
    <s v="SG1"/>
    <m/>
    <x v="0"/>
    <x v="1"/>
    <x v="4"/>
    <x v="2"/>
    <x v="0"/>
    <x v="0"/>
    <x v="0"/>
    <m/>
    <x v="0"/>
    <x v="0"/>
    <n v="-2.866536"/>
    <m/>
    <x v="4"/>
    <x v="2"/>
    <x v="0"/>
    <x v="3"/>
    <x v="2"/>
  </r>
  <r>
    <s v="Singapore"/>
    <x v="5"/>
    <s v="SG1"/>
    <m/>
    <x v="4"/>
    <x v="2"/>
    <x v="1"/>
    <x v="1"/>
    <x v="0"/>
    <x v="0"/>
    <x v="0"/>
    <m/>
    <x v="0"/>
    <x v="0"/>
    <n v="-2.3680080000000001"/>
    <m/>
    <x v="0"/>
    <x v="1"/>
    <x v="0"/>
    <x v="4"/>
    <x v="1"/>
  </r>
  <r>
    <s v="Singapore"/>
    <x v="0"/>
    <s v="SG1"/>
    <m/>
    <x v="0"/>
    <x v="3"/>
    <x v="0"/>
    <x v="0"/>
    <x v="0"/>
    <x v="0"/>
    <x v="0"/>
    <m/>
    <x v="0"/>
    <x v="0"/>
    <n v="14.021100000000001"/>
    <m/>
    <x v="1"/>
    <x v="2"/>
    <x v="0"/>
    <x v="5"/>
    <x v="2"/>
  </r>
  <r>
    <s v="Singapore"/>
    <x v="5"/>
    <s v="SG1"/>
    <m/>
    <x v="1"/>
    <x v="1"/>
    <x v="0"/>
    <x v="3"/>
    <x v="0"/>
    <x v="0"/>
    <x v="0"/>
    <m/>
    <x v="0"/>
    <x v="0"/>
    <n v="-18.346609350000001"/>
    <m/>
    <x v="5"/>
    <x v="2"/>
    <x v="0"/>
    <x v="2"/>
    <x v="2"/>
  </r>
  <r>
    <s v="Singapore"/>
    <x v="4"/>
    <s v="SG2"/>
    <m/>
    <x v="0"/>
    <x v="1"/>
    <x v="4"/>
    <x v="5"/>
    <x v="0"/>
    <x v="0"/>
    <x v="0"/>
    <m/>
    <x v="0"/>
    <x v="0"/>
    <n v="-0.18087218999999999"/>
    <m/>
    <x v="4"/>
    <x v="2"/>
    <x v="0"/>
    <x v="4"/>
    <x v="2"/>
  </r>
  <r>
    <s v="Singapore"/>
    <x v="4"/>
    <s v="SG2"/>
    <m/>
    <x v="1"/>
    <x v="0"/>
    <x v="1"/>
    <x v="3"/>
    <x v="0"/>
    <x v="0"/>
    <x v="0"/>
    <m/>
    <x v="0"/>
    <x v="0"/>
    <n v="0.15968475000000001"/>
    <m/>
    <x v="7"/>
    <x v="1"/>
    <x v="0"/>
    <x v="2"/>
    <x v="2"/>
  </r>
  <r>
    <s v="Singapore"/>
    <x v="3"/>
    <s v="SG3"/>
    <m/>
    <x v="4"/>
    <x v="1"/>
    <x v="2"/>
    <x v="1"/>
    <x v="0"/>
    <x v="0"/>
    <x v="0"/>
    <m/>
    <x v="0"/>
    <x v="0"/>
    <n v="1.307934945"/>
    <m/>
    <x v="1"/>
    <x v="3"/>
    <x v="0"/>
    <x v="3"/>
    <x v="2"/>
  </r>
  <r>
    <s v="Singapore"/>
    <x v="0"/>
    <s v="SG3"/>
    <m/>
    <x v="1"/>
    <x v="1"/>
    <x v="0"/>
    <x v="1"/>
    <x v="0"/>
    <x v="0"/>
    <x v="0"/>
    <m/>
    <x v="0"/>
    <x v="0"/>
    <n v="-1.5579000000000001E-2"/>
    <m/>
    <x v="0"/>
    <x v="0"/>
    <x v="0"/>
    <x v="0"/>
    <x v="2"/>
  </r>
  <r>
    <s v="Singapore"/>
    <x v="4"/>
    <s v="SG2"/>
    <m/>
    <x v="2"/>
    <x v="0"/>
    <x v="4"/>
    <x v="5"/>
    <x v="0"/>
    <x v="0"/>
    <x v="0"/>
    <m/>
    <x v="0"/>
    <x v="0"/>
    <n v="-1.5579000000000001E-2"/>
    <m/>
    <x v="0"/>
    <x v="0"/>
    <x v="0"/>
    <x v="3"/>
    <x v="2"/>
  </r>
  <r>
    <s v="Singapore"/>
    <x v="1"/>
    <s v="SG4"/>
    <m/>
    <x v="5"/>
    <x v="0"/>
    <x v="2"/>
    <x v="1"/>
    <x v="0"/>
    <x v="0"/>
    <x v="0"/>
    <m/>
    <x v="0"/>
    <x v="0"/>
    <n v="-0.280422"/>
    <m/>
    <x v="0"/>
    <x v="2"/>
    <x v="0"/>
    <x v="5"/>
    <x v="0"/>
  </r>
  <r>
    <s v="Singapore"/>
    <x v="2"/>
    <s v="SG4"/>
    <m/>
    <x v="2"/>
    <x v="0"/>
    <x v="4"/>
    <x v="2"/>
    <x v="0"/>
    <x v="0"/>
    <x v="0"/>
    <m/>
    <x v="0"/>
    <x v="0"/>
    <n v="0.28012599900000001"/>
    <m/>
    <x v="0"/>
    <x v="2"/>
    <x v="0"/>
    <x v="0"/>
    <x v="1"/>
  </r>
  <r>
    <s v="Singapore"/>
    <x v="4"/>
    <s v="SG3"/>
    <m/>
    <x v="4"/>
    <x v="0"/>
    <x v="4"/>
    <x v="5"/>
    <x v="0"/>
    <x v="0"/>
    <x v="0"/>
    <m/>
    <x v="0"/>
    <x v="0"/>
    <n v="1.40211"/>
    <m/>
    <x v="1"/>
    <x v="1"/>
    <x v="0"/>
    <x v="0"/>
    <x v="0"/>
  </r>
  <r>
    <s v="Singapore"/>
    <x v="0"/>
    <s v="SG4"/>
    <m/>
    <x v="1"/>
    <x v="4"/>
    <x v="3"/>
    <x v="1"/>
    <x v="0"/>
    <x v="0"/>
    <x v="0"/>
    <m/>
    <x v="0"/>
    <x v="0"/>
    <n v="-23.654250018000003"/>
    <m/>
    <x v="1"/>
    <x v="0"/>
    <x v="0"/>
    <x v="5"/>
    <x v="0"/>
  </r>
  <r>
    <s v="Singapore"/>
    <x v="1"/>
    <s v="SG3"/>
    <m/>
    <x v="2"/>
    <x v="1"/>
    <x v="2"/>
    <x v="0"/>
    <x v="0"/>
    <x v="0"/>
    <x v="0"/>
    <m/>
    <x v="0"/>
    <x v="0"/>
    <n v="1.3008465"/>
    <m/>
    <x v="1"/>
    <x v="1"/>
    <x v="0"/>
    <x v="3"/>
    <x v="1"/>
  </r>
  <r>
    <s v="Singapore"/>
    <x v="1"/>
    <s v="SG4"/>
    <m/>
    <x v="3"/>
    <x v="1"/>
    <x v="0"/>
    <x v="4"/>
    <x v="0"/>
    <x v="0"/>
    <x v="0"/>
    <m/>
    <x v="0"/>
    <x v="0"/>
    <n v="-0.280422"/>
    <m/>
    <x v="0"/>
    <x v="2"/>
    <x v="0"/>
    <x v="5"/>
    <x v="1"/>
  </r>
  <r>
    <s v="Singapore"/>
    <x v="4"/>
    <s v="SG4"/>
    <m/>
    <x v="1"/>
    <x v="2"/>
    <x v="1"/>
    <x v="5"/>
    <x v="0"/>
    <x v="0"/>
    <x v="0"/>
    <m/>
    <x v="0"/>
    <x v="0"/>
    <n v="-39.382465680000003"/>
    <m/>
    <x v="2"/>
    <x v="2"/>
    <x v="0"/>
    <x v="2"/>
    <x v="2"/>
  </r>
  <r>
    <s v="Singapore"/>
    <x v="4"/>
    <s v="SG2"/>
    <m/>
    <x v="0"/>
    <x v="2"/>
    <x v="4"/>
    <x v="5"/>
    <x v="0"/>
    <x v="0"/>
    <x v="0"/>
    <m/>
    <x v="0"/>
    <x v="0"/>
    <n v="-4.6737000000000001E-2"/>
    <m/>
    <x v="0"/>
    <x v="2"/>
    <x v="0"/>
    <x v="5"/>
    <x v="1"/>
  </r>
  <r>
    <s v="Singapore"/>
    <x v="3"/>
    <s v="SG3"/>
    <m/>
    <x v="4"/>
    <x v="1"/>
    <x v="4"/>
    <x v="0"/>
    <x v="0"/>
    <x v="0"/>
    <x v="0"/>
    <m/>
    <x v="0"/>
    <x v="0"/>
    <n v="-0.59200200000000003"/>
    <m/>
    <x v="1"/>
    <x v="2"/>
    <x v="0"/>
    <x v="5"/>
    <x v="1"/>
  </r>
  <r>
    <s v="Singapore"/>
    <x v="3"/>
    <s v="SG1"/>
    <m/>
    <x v="2"/>
    <x v="0"/>
    <x v="0"/>
    <x v="4"/>
    <x v="0"/>
    <x v="0"/>
    <x v="0"/>
    <m/>
    <x v="0"/>
    <x v="0"/>
    <n v="-4.6737000000000001E-2"/>
    <m/>
    <x v="0"/>
    <x v="2"/>
    <x v="0"/>
    <x v="1"/>
    <x v="1"/>
  </r>
  <r>
    <s v="Singapore"/>
    <x v="4"/>
    <s v="SG4"/>
    <m/>
    <x v="4"/>
    <x v="1"/>
    <x v="4"/>
    <x v="5"/>
    <x v="0"/>
    <x v="0"/>
    <x v="0"/>
    <m/>
    <x v="0"/>
    <x v="0"/>
    <n v="1.1450565000000001"/>
    <m/>
    <x v="1"/>
    <x v="0"/>
    <x v="0"/>
    <x v="2"/>
    <x v="2"/>
  </r>
  <r>
    <s v="Singapore"/>
    <x v="5"/>
    <s v="SG1"/>
    <m/>
    <x v="1"/>
    <x v="1"/>
    <x v="3"/>
    <x v="3"/>
    <x v="0"/>
    <x v="0"/>
    <x v="0"/>
    <m/>
    <x v="0"/>
    <x v="0"/>
    <n v="23.368500000000001"/>
    <m/>
    <x v="7"/>
    <x v="1"/>
    <x v="0"/>
    <x v="2"/>
    <x v="2"/>
  </r>
  <r>
    <s v="Singapore"/>
    <x v="2"/>
    <s v="SG3"/>
    <m/>
    <x v="0"/>
    <x v="4"/>
    <x v="4"/>
    <x v="5"/>
    <x v="0"/>
    <x v="0"/>
    <x v="0"/>
    <m/>
    <x v="0"/>
    <x v="0"/>
    <n v="-1.433268"/>
    <m/>
    <x v="4"/>
    <x v="1"/>
    <x v="0"/>
    <x v="2"/>
    <x v="1"/>
  </r>
  <r>
    <s v="Singapore"/>
    <x v="5"/>
    <s v="SG2"/>
    <m/>
    <x v="3"/>
    <x v="0"/>
    <x v="0"/>
    <x v="2"/>
    <x v="0"/>
    <x v="0"/>
    <x v="0"/>
    <m/>
    <x v="0"/>
    <x v="0"/>
    <n v="20.330595000000002"/>
    <m/>
    <x v="7"/>
    <x v="1"/>
    <x v="0"/>
    <x v="1"/>
    <x v="1"/>
  </r>
  <r>
    <s v="Singapore"/>
    <x v="0"/>
    <s v="SG4"/>
    <m/>
    <x v="0"/>
    <x v="4"/>
    <x v="1"/>
    <x v="5"/>
    <x v="0"/>
    <x v="0"/>
    <x v="0"/>
    <m/>
    <x v="0"/>
    <x v="0"/>
    <n v="1.0801232280000002"/>
    <m/>
    <x v="1"/>
    <x v="1"/>
    <x v="0"/>
    <x v="2"/>
    <x v="1"/>
  </r>
  <r>
    <s v="Singapore"/>
    <x v="4"/>
    <s v="SG1"/>
    <m/>
    <x v="1"/>
    <x v="4"/>
    <x v="0"/>
    <x v="4"/>
    <x v="0"/>
    <x v="0"/>
    <x v="0"/>
    <m/>
    <x v="0"/>
    <x v="0"/>
    <n v="0.17136900000000002"/>
    <m/>
    <x v="0"/>
    <x v="2"/>
    <x v="0"/>
    <x v="2"/>
    <x v="2"/>
  </r>
  <r>
    <s v="Singapore"/>
    <x v="3"/>
    <s v="SG2"/>
    <m/>
    <x v="5"/>
    <x v="3"/>
    <x v="4"/>
    <x v="1"/>
    <x v="0"/>
    <x v="0"/>
    <x v="0"/>
    <m/>
    <x v="0"/>
    <x v="0"/>
    <n v="-0.11216880000000001"/>
    <m/>
    <x v="6"/>
    <x v="3"/>
    <x v="0"/>
    <x v="1"/>
    <x v="0"/>
  </r>
  <r>
    <s v="Singapore"/>
    <x v="5"/>
    <s v="SG1"/>
    <m/>
    <x v="5"/>
    <x v="2"/>
    <x v="4"/>
    <x v="1"/>
    <x v="0"/>
    <x v="0"/>
    <x v="0"/>
    <m/>
    <x v="0"/>
    <x v="0"/>
    <n v="-4.6737000000000001E-2"/>
    <m/>
    <x v="0"/>
    <x v="0"/>
    <x v="0"/>
    <x v="3"/>
    <x v="0"/>
  </r>
  <r>
    <s v="Singapore"/>
    <x v="0"/>
    <s v="SG4"/>
    <m/>
    <x v="5"/>
    <x v="1"/>
    <x v="4"/>
    <x v="4"/>
    <x v="0"/>
    <x v="0"/>
    <x v="0"/>
    <m/>
    <x v="0"/>
    <x v="0"/>
    <n v="2.7263250000000001"/>
    <m/>
    <x v="1"/>
    <x v="1"/>
    <x v="0"/>
    <x v="1"/>
    <x v="0"/>
  </r>
  <r>
    <s v="Singapore"/>
    <x v="4"/>
    <s v="SG2"/>
    <m/>
    <x v="5"/>
    <x v="3"/>
    <x v="2"/>
    <x v="0"/>
    <x v="0"/>
    <x v="0"/>
    <x v="0"/>
    <m/>
    <x v="0"/>
    <x v="0"/>
    <n v="-9.3474000000000002E-2"/>
    <m/>
    <x v="0"/>
    <x v="2"/>
    <x v="0"/>
    <x v="4"/>
    <x v="0"/>
  </r>
  <r>
    <s v="Singapore"/>
    <x v="2"/>
    <s v="SG4"/>
    <m/>
    <x v="1"/>
    <x v="2"/>
    <x v="2"/>
    <x v="2"/>
    <x v="0"/>
    <x v="0"/>
    <x v="0"/>
    <m/>
    <x v="0"/>
    <x v="0"/>
    <n v="-26.484300000000001"/>
    <m/>
    <x v="7"/>
    <x v="0"/>
    <x v="0"/>
    <x v="4"/>
    <x v="1"/>
  </r>
  <r>
    <s v="Singapore"/>
    <x v="2"/>
    <s v="SG3"/>
    <m/>
    <x v="3"/>
    <x v="2"/>
    <x v="3"/>
    <x v="2"/>
    <x v="0"/>
    <x v="0"/>
    <x v="0"/>
    <m/>
    <x v="0"/>
    <x v="0"/>
    <n v="5.1099120000000005"/>
    <m/>
    <x v="11"/>
    <x v="1"/>
    <x v="0"/>
    <x v="1"/>
    <x v="0"/>
  </r>
  <r>
    <s v="Singapore"/>
    <x v="2"/>
    <s v="SG3"/>
    <m/>
    <x v="2"/>
    <x v="1"/>
    <x v="1"/>
    <x v="0"/>
    <x v="0"/>
    <x v="0"/>
    <x v="0"/>
    <m/>
    <x v="0"/>
    <x v="0"/>
    <n v="-4.100610906"/>
    <m/>
    <x v="0"/>
    <x v="3"/>
    <x v="0"/>
    <x v="2"/>
    <x v="2"/>
  </r>
  <r>
    <s v="Singapore"/>
    <x v="1"/>
    <s v="SG2"/>
    <m/>
    <x v="2"/>
    <x v="4"/>
    <x v="2"/>
    <x v="3"/>
    <x v="0"/>
    <x v="0"/>
    <x v="0"/>
    <m/>
    <x v="0"/>
    <x v="0"/>
    <n v="-2.775180744"/>
    <m/>
    <x v="4"/>
    <x v="2"/>
    <x v="0"/>
    <x v="3"/>
    <x v="1"/>
  </r>
  <r>
    <s v="Singapore"/>
    <x v="0"/>
    <s v="SG2"/>
    <m/>
    <x v="5"/>
    <x v="1"/>
    <x v="0"/>
    <x v="1"/>
    <x v="0"/>
    <x v="0"/>
    <x v="0"/>
    <m/>
    <x v="0"/>
    <x v="0"/>
    <n v="-0.15579000000000001"/>
    <m/>
    <x v="0"/>
    <x v="2"/>
    <x v="0"/>
    <x v="3"/>
    <x v="0"/>
  </r>
  <r>
    <s v="Singapore"/>
    <x v="0"/>
    <s v="SG1"/>
    <m/>
    <x v="2"/>
    <x v="2"/>
    <x v="4"/>
    <x v="5"/>
    <x v="0"/>
    <x v="0"/>
    <x v="0"/>
    <m/>
    <x v="0"/>
    <x v="0"/>
    <n v="-0.31158000000000002"/>
    <m/>
    <x v="0"/>
    <x v="1"/>
    <x v="0"/>
    <x v="5"/>
    <x v="0"/>
  </r>
  <r>
    <s v="Singapore"/>
    <x v="2"/>
    <s v="SG1"/>
    <m/>
    <x v="2"/>
    <x v="0"/>
    <x v="1"/>
    <x v="4"/>
    <x v="0"/>
    <x v="0"/>
    <x v="0"/>
    <m/>
    <x v="0"/>
    <x v="0"/>
    <n v="0.37389600000000001"/>
    <m/>
    <x v="4"/>
    <x v="2"/>
    <x v="0"/>
    <x v="0"/>
    <x v="0"/>
  </r>
  <r>
    <s v="Singapore"/>
    <x v="2"/>
    <s v="SG1"/>
    <m/>
    <x v="0"/>
    <x v="1"/>
    <x v="4"/>
    <x v="0"/>
    <x v="0"/>
    <x v="0"/>
    <x v="0"/>
    <m/>
    <x v="0"/>
    <x v="0"/>
    <n v="1.09053"/>
    <m/>
    <x v="1"/>
    <x v="3"/>
    <x v="0"/>
    <x v="5"/>
    <x v="0"/>
  </r>
  <r>
    <s v="Singapore"/>
    <x v="1"/>
    <s v="SG2"/>
    <m/>
    <x v="2"/>
    <x v="3"/>
    <x v="1"/>
    <x v="2"/>
    <x v="0"/>
    <x v="0"/>
    <x v="0"/>
    <m/>
    <x v="0"/>
    <x v="0"/>
    <n v="-0.12463200000000001"/>
    <m/>
    <x v="4"/>
    <x v="0"/>
    <x v="0"/>
    <x v="1"/>
    <x v="2"/>
  </r>
  <r>
    <s v="Singapore"/>
    <x v="3"/>
    <s v="SG3"/>
    <m/>
    <x v="4"/>
    <x v="0"/>
    <x v="4"/>
    <x v="1"/>
    <x v="0"/>
    <x v="0"/>
    <x v="0"/>
    <m/>
    <x v="0"/>
    <x v="0"/>
    <n v="-275.65278515100005"/>
    <m/>
    <x v="1"/>
    <x v="2"/>
    <x v="0"/>
    <x v="0"/>
    <x v="0"/>
  </r>
  <r>
    <s v="Singapore"/>
    <x v="0"/>
    <s v="SG1"/>
    <m/>
    <x v="5"/>
    <x v="1"/>
    <x v="2"/>
    <x v="3"/>
    <x v="0"/>
    <x v="0"/>
    <x v="0"/>
    <m/>
    <x v="0"/>
    <x v="0"/>
    <n v="-3.5831700000000004"/>
    <m/>
    <x v="4"/>
    <x v="2"/>
    <x v="0"/>
    <x v="4"/>
    <x v="0"/>
  </r>
  <r>
    <s v="Singapore"/>
    <x v="2"/>
    <s v="SG3"/>
    <m/>
    <x v="0"/>
    <x v="4"/>
    <x v="4"/>
    <x v="3"/>
    <x v="0"/>
    <x v="0"/>
    <x v="0"/>
    <m/>
    <x v="0"/>
    <x v="0"/>
    <n v="-3.1158000000000001"/>
    <m/>
    <x v="4"/>
    <x v="0"/>
    <x v="0"/>
    <x v="5"/>
    <x v="1"/>
  </r>
  <r>
    <s v="Singapore"/>
    <x v="5"/>
    <s v="SG4"/>
    <m/>
    <x v="3"/>
    <x v="3"/>
    <x v="4"/>
    <x v="0"/>
    <x v="0"/>
    <x v="0"/>
    <x v="0"/>
    <m/>
    <x v="0"/>
    <x v="0"/>
    <n v="-0.280422"/>
    <m/>
    <x v="0"/>
    <x v="0"/>
    <x v="0"/>
    <x v="1"/>
    <x v="0"/>
  </r>
  <r>
    <s v="Singapore"/>
    <x v="2"/>
    <s v="SG1"/>
    <m/>
    <x v="0"/>
    <x v="0"/>
    <x v="2"/>
    <x v="0"/>
    <x v="0"/>
    <x v="0"/>
    <x v="0"/>
    <m/>
    <x v="0"/>
    <x v="0"/>
    <n v="0.12463200000000001"/>
    <m/>
    <x v="0"/>
    <x v="1"/>
    <x v="0"/>
    <x v="0"/>
    <x v="2"/>
  </r>
  <r>
    <s v="Singapore"/>
    <x v="1"/>
    <s v="SG1"/>
    <m/>
    <x v="3"/>
    <x v="0"/>
    <x v="2"/>
    <x v="3"/>
    <x v="0"/>
    <x v="0"/>
    <x v="0"/>
    <m/>
    <x v="0"/>
    <x v="0"/>
    <n v="-0.179547975"/>
    <m/>
    <x v="0"/>
    <x v="3"/>
    <x v="0"/>
    <x v="1"/>
    <x v="2"/>
  </r>
  <r>
    <s v="Singapore"/>
    <x v="4"/>
    <s v="SG3"/>
    <m/>
    <x v="3"/>
    <x v="3"/>
    <x v="2"/>
    <x v="4"/>
    <x v="0"/>
    <x v="0"/>
    <x v="0"/>
    <m/>
    <x v="0"/>
    <x v="0"/>
    <n v="-0.186948"/>
    <m/>
    <x v="0"/>
    <x v="1"/>
    <x v="0"/>
    <x v="1"/>
    <x v="2"/>
  </r>
  <r>
    <s v="Singapore"/>
    <x v="3"/>
    <s v="SG1"/>
    <m/>
    <x v="0"/>
    <x v="1"/>
    <x v="0"/>
    <x v="4"/>
    <x v="0"/>
    <x v="0"/>
    <x v="0"/>
    <m/>
    <x v="0"/>
    <x v="0"/>
    <n v="0.24540040800000004"/>
    <m/>
    <x v="8"/>
    <x v="2"/>
    <x v="0"/>
    <x v="2"/>
    <x v="2"/>
  </r>
  <r>
    <s v="Singapore"/>
    <x v="0"/>
    <s v="SG3"/>
    <m/>
    <x v="0"/>
    <x v="0"/>
    <x v="0"/>
    <x v="1"/>
    <x v="0"/>
    <x v="0"/>
    <x v="0"/>
    <m/>
    <x v="0"/>
    <x v="0"/>
    <n v="-29.917350756000001"/>
    <m/>
    <x v="7"/>
    <x v="2"/>
    <x v="0"/>
    <x v="0"/>
    <x v="1"/>
  </r>
  <r>
    <s v="Singapore"/>
    <x v="2"/>
    <s v="SG4"/>
    <m/>
    <x v="5"/>
    <x v="3"/>
    <x v="0"/>
    <x v="1"/>
    <x v="0"/>
    <x v="0"/>
    <x v="0"/>
    <m/>
    <x v="0"/>
    <x v="0"/>
    <n v="-9.50350158"/>
    <m/>
    <x v="4"/>
    <x v="3"/>
    <x v="0"/>
    <x v="5"/>
    <x v="1"/>
  </r>
  <r>
    <s v="Singapore"/>
    <x v="4"/>
    <s v="SG2"/>
    <m/>
    <x v="5"/>
    <x v="1"/>
    <x v="0"/>
    <x v="5"/>
    <x v="0"/>
    <x v="0"/>
    <x v="0"/>
    <m/>
    <x v="0"/>
    <x v="0"/>
    <n v="-0.54417447000000008"/>
    <m/>
    <x v="4"/>
    <x v="0"/>
    <x v="0"/>
    <x v="0"/>
    <x v="1"/>
  </r>
  <r>
    <s v="Singapore"/>
    <x v="5"/>
    <s v="SG1"/>
    <m/>
    <x v="3"/>
    <x v="2"/>
    <x v="3"/>
    <x v="2"/>
    <x v="0"/>
    <x v="0"/>
    <x v="0"/>
    <m/>
    <x v="0"/>
    <x v="0"/>
    <n v="-1.175996394"/>
    <m/>
    <x v="0"/>
    <x v="2"/>
    <x v="0"/>
    <x v="0"/>
    <x v="1"/>
  </r>
  <r>
    <s v="Singapore"/>
    <x v="4"/>
    <s v="SG2"/>
    <m/>
    <x v="3"/>
    <x v="1"/>
    <x v="4"/>
    <x v="1"/>
    <x v="0"/>
    <x v="0"/>
    <x v="0"/>
    <m/>
    <x v="0"/>
    <x v="0"/>
    <n v="0.70105499999999998"/>
    <m/>
    <x v="1"/>
    <x v="1"/>
    <x v="0"/>
    <x v="0"/>
    <x v="1"/>
  </r>
  <r>
    <s v="Singapore"/>
    <x v="1"/>
    <s v="SG1"/>
    <m/>
    <x v="0"/>
    <x v="3"/>
    <x v="4"/>
    <x v="2"/>
    <x v="0"/>
    <x v="0"/>
    <x v="0"/>
    <m/>
    <x v="0"/>
    <x v="0"/>
    <n v="-4.6737000000000001E-2"/>
    <m/>
    <x v="0"/>
    <x v="2"/>
    <x v="0"/>
    <x v="1"/>
    <x v="1"/>
  </r>
  <r>
    <s v="Singapore"/>
    <x v="0"/>
    <s v="SG2"/>
    <m/>
    <x v="2"/>
    <x v="3"/>
    <x v="1"/>
    <x v="0"/>
    <x v="0"/>
    <x v="0"/>
    <x v="0"/>
    <m/>
    <x v="0"/>
    <x v="0"/>
    <n v="1.1450565000000001"/>
    <m/>
    <x v="1"/>
    <x v="1"/>
    <x v="0"/>
    <x v="0"/>
    <x v="2"/>
  </r>
  <r>
    <s v="Singapore"/>
    <x v="0"/>
    <s v="SG4"/>
    <m/>
    <x v="5"/>
    <x v="0"/>
    <x v="1"/>
    <x v="1"/>
    <x v="0"/>
    <x v="0"/>
    <x v="0"/>
    <m/>
    <x v="0"/>
    <x v="0"/>
    <n v="1.0362995010000002"/>
    <m/>
    <x v="3"/>
    <x v="3"/>
    <x v="0"/>
    <x v="5"/>
    <x v="2"/>
  </r>
  <r>
    <s v="Singapore"/>
    <x v="5"/>
    <s v="SG1"/>
    <m/>
    <x v="5"/>
    <x v="1"/>
    <x v="4"/>
    <x v="2"/>
    <x v="0"/>
    <x v="0"/>
    <x v="0"/>
    <m/>
    <x v="0"/>
    <x v="0"/>
    <n v="0.1838322"/>
    <m/>
    <x v="4"/>
    <x v="0"/>
    <x v="0"/>
    <x v="4"/>
    <x v="0"/>
  </r>
  <r>
    <s v="Singapore"/>
    <x v="0"/>
    <s v="SG4"/>
    <m/>
    <x v="0"/>
    <x v="2"/>
    <x v="3"/>
    <x v="0"/>
    <x v="0"/>
    <x v="0"/>
    <x v="0"/>
    <m/>
    <x v="0"/>
    <x v="0"/>
    <n v="-0.1838322"/>
    <m/>
    <x v="4"/>
    <x v="0"/>
    <x v="0"/>
    <x v="1"/>
    <x v="0"/>
  </r>
  <r>
    <s v="Singapore"/>
    <x v="2"/>
    <s v="SG3"/>
    <m/>
    <x v="0"/>
    <x v="1"/>
    <x v="0"/>
    <x v="4"/>
    <x v="0"/>
    <x v="0"/>
    <x v="0"/>
    <m/>
    <x v="0"/>
    <x v="0"/>
    <n v="-0.24926400000000001"/>
    <m/>
    <x v="0"/>
    <x v="0"/>
    <x v="0"/>
    <x v="4"/>
    <x v="0"/>
  </r>
  <r>
    <s v="Singapore"/>
    <x v="2"/>
    <s v="SG2"/>
    <m/>
    <x v="0"/>
    <x v="0"/>
    <x v="3"/>
    <x v="4"/>
    <x v="0"/>
    <x v="0"/>
    <x v="0"/>
    <m/>
    <x v="0"/>
    <x v="0"/>
    <n v="-1.137267"/>
    <m/>
    <x v="1"/>
    <x v="3"/>
    <x v="0"/>
    <x v="3"/>
    <x v="0"/>
  </r>
  <r>
    <s v="Singapore"/>
    <x v="2"/>
    <s v="SG3"/>
    <m/>
    <x v="2"/>
    <x v="3"/>
    <x v="4"/>
    <x v="5"/>
    <x v="0"/>
    <x v="0"/>
    <x v="0"/>
    <m/>
    <x v="0"/>
    <x v="0"/>
    <n v="0.140211"/>
    <m/>
    <x v="0"/>
    <x v="1"/>
    <x v="0"/>
    <x v="5"/>
    <x v="0"/>
  </r>
  <r>
    <s v="Singapore"/>
    <x v="5"/>
    <s v="SG3"/>
    <m/>
    <x v="2"/>
    <x v="1"/>
    <x v="0"/>
    <x v="4"/>
    <x v="0"/>
    <x v="0"/>
    <x v="0"/>
    <m/>
    <x v="0"/>
    <x v="0"/>
    <n v="-9.3474000000000002E-2"/>
    <m/>
    <x v="0"/>
    <x v="3"/>
    <x v="0"/>
    <x v="0"/>
    <x v="0"/>
  </r>
  <r>
    <s v="Singapore"/>
    <x v="5"/>
    <s v="SG1"/>
    <m/>
    <x v="3"/>
    <x v="3"/>
    <x v="1"/>
    <x v="0"/>
    <x v="0"/>
    <x v="0"/>
    <x v="0"/>
    <m/>
    <x v="0"/>
    <x v="0"/>
    <n v="-0.12463200000000001"/>
    <m/>
    <x v="4"/>
    <x v="1"/>
    <x v="0"/>
    <x v="0"/>
    <x v="1"/>
  </r>
  <r>
    <s v="Singapore"/>
    <x v="2"/>
    <s v="SG1"/>
    <m/>
    <x v="5"/>
    <x v="3"/>
    <x v="1"/>
    <x v="0"/>
    <x v="0"/>
    <x v="0"/>
    <x v="0"/>
    <m/>
    <x v="0"/>
    <x v="0"/>
    <n v="-15.579000000000001"/>
    <m/>
    <x v="7"/>
    <x v="1"/>
    <x v="0"/>
    <x v="5"/>
    <x v="1"/>
  </r>
  <r>
    <s v="Singapore"/>
    <x v="0"/>
    <s v="SG2"/>
    <m/>
    <x v="2"/>
    <x v="3"/>
    <x v="1"/>
    <x v="5"/>
    <x v="0"/>
    <x v="0"/>
    <x v="0"/>
    <m/>
    <x v="0"/>
    <x v="0"/>
    <n v="1.2208483350000001"/>
    <m/>
    <x v="1"/>
    <x v="1"/>
    <x v="0"/>
    <x v="3"/>
    <x v="1"/>
  </r>
  <r>
    <s v="Singapore"/>
    <x v="1"/>
    <s v="SG2"/>
    <m/>
    <x v="5"/>
    <x v="4"/>
    <x v="1"/>
    <x v="1"/>
    <x v="0"/>
    <x v="0"/>
    <x v="0"/>
    <m/>
    <x v="0"/>
    <x v="0"/>
    <n v="-5.9792202000000003"/>
    <m/>
    <x v="2"/>
    <x v="0"/>
    <x v="0"/>
    <x v="4"/>
    <x v="2"/>
  </r>
  <r>
    <s v="Singapore"/>
    <x v="5"/>
    <s v="SG2"/>
    <m/>
    <x v="0"/>
    <x v="4"/>
    <x v="3"/>
    <x v="5"/>
    <x v="0"/>
    <x v="0"/>
    <x v="0"/>
    <m/>
    <x v="0"/>
    <x v="0"/>
    <n v="-2.3368500000000001"/>
    <m/>
    <x v="6"/>
    <x v="0"/>
    <x v="0"/>
    <x v="2"/>
    <x v="0"/>
  </r>
  <r>
    <s v="Singapore"/>
    <x v="0"/>
    <s v="SG4"/>
    <m/>
    <x v="3"/>
    <x v="1"/>
    <x v="3"/>
    <x v="4"/>
    <x v="0"/>
    <x v="0"/>
    <x v="0"/>
    <m/>
    <x v="0"/>
    <x v="0"/>
    <n v="-57.486510000000003"/>
    <m/>
    <x v="0"/>
    <x v="1"/>
    <x v="0"/>
    <x v="0"/>
    <x v="2"/>
  </r>
  <r>
    <s v="Singapore"/>
    <x v="0"/>
    <s v="SG1"/>
    <m/>
    <x v="4"/>
    <x v="1"/>
    <x v="3"/>
    <x v="0"/>
    <x v="0"/>
    <x v="0"/>
    <x v="0"/>
    <m/>
    <x v="0"/>
    <x v="0"/>
    <n v="0.1838322"/>
    <m/>
    <x v="4"/>
    <x v="3"/>
    <x v="0"/>
    <x v="1"/>
    <x v="1"/>
  </r>
  <r>
    <s v="Singapore"/>
    <x v="2"/>
    <s v="SG2"/>
    <m/>
    <x v="1"/>
    <x v="1"/>
    <x v="4"/>
    <x v="3"/>
    <x v="0"/>
    <x v="0"/>
    <x v="0"/>
    <m/>
    <x v="0"/>
    <x v="0"/>
    <n v="-4.6737000000000001E-2"/>
    <m/>
    <x v="0"/>
    <x v="0"/>
    <x v="0"/>
    <x v="3"/>
    <x v="2"/>
  </r>
  <r>
    <s v="Singapore"/>
    <x v="2"/>
    <s v="SG3"/>
    <m/>
    <x v="3"/>
    <x v="0"/>
    <x v="3"/>
    <x v="2"/>
    <x v="0"/>
    <x v="0"/>
    <x v="0"/>
    <m/>
    <x v="0"/>
    <x v="0"/>
    <n v="-0.12463200000000001"/>
    <m/>
    <x v="0"/>
    <x v="0"/>
    <x v="0"/>
    <x v="3"/>
    <x v="2"/>
  </r>
  <r>
    <s v="Singapore"/>
    <x v="4"/>
    <s v="SG3"/>
    <m/>
    <x v="5"/>
    <x v="4"/>
    <x v="4"/>
    <x v="1"/>
    <x v="0"/>
    <x v="0"/>
    <x v="0"/>
    <m/>
    <x v="0"/>
    <x v="0"/>
    <n v="-9.3474000000000002E-2"/>
    <m/>
    <x v="0"/>
    <x v="2"/>
    <x v="0"/>
    <x v="2"/>
    <x v="1"/>
  </r>
  <r>
    <s v="Singapore"/>
    <x v="2"/>
    <s v="SG2"/>
    <m/>
    <x v="3"/>
    <x v="0"/>
    <x v="1"/>
    <x v="0"/>
    <x v="0"/>
    <x v="0"/>
    <x v="0"/>
    <m/>
    <x v="0"/>
    <x v="0"/>
    <n v="-0.15579000000000001"/>
    <m/>
    <x v="0"/>
    <x v="3"/>
    <x v="0"/>
    <x v="2"/>
    <x v="2"/>
  </r>
  <r>
    <s v="Singapore"/>
    <x v="0"/>
    <s v="SG2"/>
    <m/>
    <x v="2"/>
    <x v="4"/>
    <x v="3"/>
    <x v="5"/>
    <x v="0"/>
    <x v="0"/>
    <x v="0"/>
    <m/>
    <x v="0"/>
    <x v="0"/>
    <n v="-0.34814391300000003"/>
    <m/>
    <x v="1"/>
    <x v="1"/>
    <x v="0"/>
    <x v="3"/>
    <x v="1"/>
  </r>
  <r>
    <s v="Singapore"/>
    <x v="1"/>
    <s v="SG3"/>
    <m/>
    <x v="0"/>
    <x v="1"/>
    <x v="2"/>
    <x v="1"/>
    <x v="0"/>
    <x v="0"/>
    <x v="0"/>
    <m/>
    <x v="0"/>
    <x v="0"/>
    <n v="-9.3474000000000002E-2"/>
    <m/>
    <x v="0"/>
    <x v="3"/>
    <x v="0"/>
    <x v="5"/>
    <x v="0"/>
  </r>
  <r>
    <s v="Singapore"/>
    <x v="0"/>
    <s v="SG3"/>
    <m/>
    <x v="0"/>
    <x v="4"/>
    <x v="3"/>
    <x v="3"/>
    <x v="0"/>
    <x v="0"/>
    <x v="0"/>
    <m/>
    <x v="0"/>
    <x v="0"/>
    <n v="0.74467620000000001"/>
    <m/>
    <x v="1"/>
    <x v="1"/>
    <x v="0"/>
    <x v="2"/>
    <x v="1"/>
  </r>
  <r>
    <s v="Singapore"/>
    <x v="2"/>
    <s v="SG4"/>
    <m/>
    <x v="4"/>
    <x v="1"/>
    <x v="0"/>
    <x v="0"/>
    <x v="0"/>
    <x v="0"/>
    <x v="0"/>
    <m/>
    <x v="0"/>
    <x v="0"/>
    <n v="4.0505399999999998"/>
    <m/>
    <x v="11"/>
    <x v="1"/>
    <x v="0"/>
    <x v="5"/>
    <x v="0"/>
  </r>
  <r>
    <s v="Singapore"/>
    <x v="4"/>
    <s v="SG4"/>
    <m/>
    <x v="3"/>
    <x v="4"/>
    <x v="0"/>
    <x v="3"/>
    <x v="0"/>
    <x v="0"/>
    <x v="0"/>
    <m/>
    <x v="0"/>
    <x v="0"/>
    <n v="0.280422"/>
    <m/>
    <x v="8"/>
    <x v="0"/>
    <x v="0"/>
    <x v="1"/>
    <x v="1"/>
  </r>
  <r>
    <s v="Singapore"/>
    <x v="4"/>
    <s v="SG3"/>
    <m/>
    <x v="0"/>
    <x v="3"/>
    <x v="4"/>
    <x v="4"/>
    <x v="0"/>
    <x v="0"/>
    <x v="0"/>
    <m/>
    <x v="0"/>
    <x v="0"/>
    <n v="-7.7895000000000006E-2"/>
    <m/>
    <x v="6"/>
    <x v="0"/>
    <x v="0"/>
    <x v="1"/>
    <x v="1"/>
  </r>
  <r>
    <s v="Singapore"/>
    <x v="4"/>
    <s v="SG3"/>
    <m/>
    <x v="1"/>
    <x v="1"/>
    <x v="2"/>
    <x v="5"/>
    <x v="0"/>
    <x v="0"/>
    <x v="0"/>
    <m/>
    <x v="0"/>
    <x v="0"/>
    <n v="0.17922081600000003"/>
    <m/>
    <x v="1"/>
    <x v="2"/>
    <x v="0"/>
    <x v="2"/>
    <x v="0"/>
  </r>
  <r>
    <s v="Singapore"/>
    <x v="2"/>
    <s v="SG1"/>
    <m/>
    <x v="0"/>
    <x v="2"/>
    <x v="4"/>
    <x v="3"/>
    <x v="0"/>
    <x v="0"/>
    <x v="0"/>
    <m/>
    <x v="0"/>
    <x v="0"/>
    <n v="-0.37389600000000001"/>
    <m/>
    <x v="4"/>
    <x v="3"/>
    <x v="0"/>
    <x v="5"/>
    <x v="2"/>
  </r>
  <r>
    <s v="Singapore"/>
    <x v="4"/>
    <s v="SG1"/>
    <m/>
    <x v="4"/>
    <x v="0"/>
    <x v="3"/>
    <x v="5"/>
    <x v="0"/>
    <x v="0"/>
    <x v="0"/>
    <m/>
    <x v="0"/>
    <x v="0"/>
    <n v="-2.0252700000000002E-2"/>
    <m/>
    <x v="2"/>
    <x v="3"/>
    <x v="0"/>
    <x v="4"/>
    <x v="0"/>
  </r>
  <r>
    <s v="Singapore"/>
    <x v="0"/>
    <s v="SG1"/>
    <m/>
    <x v="5"/>
    <x v="3"/>
    <x v="1"/>
    <x v="4"/>
    <x v="0"/>
    <x v="0"/>
    <x v="0"/>
    <m/>
    <x v="0"/>
    <x v="0"/>
    <n v="23.368500000000001"/>
    <m/>
    <x v="5"/>
    <x v="2"/>
    <x v="0"/>
    <x v="4"/>
    <x v="1"/>
  </r>
  <r>
    <s v="Singapore"/>
    <x v="3"/>
    <s v="SG2"/>
    <m/>
    <x v="4"/>
    <x v="3"/>
    <x v="4"/>
    <x v="1"/>
    <x v="0"/>
    <x v="0"/>
    <x v="0"/>
    <m/>
    <x v="0"/>
    <x v="0"/>
    <n v="-7.0105500000000001E-2"/>
    <m/>
    <x v="1"/>
    <x v="0"/>
    <x v="0"/>
    <x v="5"/>
    <x v="0"/>
  </r>
  <r>
    <s v="Singapore"/>
    <x v="5"/>
    <s v="SG1"/>
    <m/>
    <x v="1"/>
    <x v="2"/>
    <x v="1"/>
    <x v="0"/>
    <x v="0"/>
    <x v="0"/>
    <x v="0"/>
    <m/>
    <x v="0"/>
    <x v="0"/>
    <n v="1.2738948300000001"/>
    <m/>
    <x v="1"/>
    <x v="3"/>
    <x v="0"/>
    <x v="0"/>
    <x v="2"/>
  </r>
  <r>
    <s v="Singapore"/>
    <x v="0"/>
    <s v="SG3"/>
    <m/>
    <x v="1"/>
    <x v="2"/>
    <x v="2"/>
    <x v="5"/>
    <x v="0"/>
    <x v="0"/>
    <x v="0"/>
    <m/>
    <x v="0"/>
    <x v="0"/>
    <n v="-0.38947500000000002"/>
    <m/>
    <x v="0"/>
    <x v="3"/>
    <x v="0"/>
    <x v="3"/>
    <x v="1"/>
  </r>
  <r>
    <s v="Singapore"/>
    <x v="1"/>
    <s v="SG3"/>
    <m/>
    <x v="4"/>
    <x v="3"/>
    <x v="1"/>
    <x v="1"/>
    <x v="0"/>
    <x v="0"/>
    <x v="0"/>
    <m/>
    <x v="0"/>
    <x v="0"/>
    <n v="-1.5579000000000001E-2"/>
    <m/>
    <x v="0"/>
    <x v="3"/>
    <x v="0"/>
    <x v="0"/>
    <x v="1"/>
  </r>
  <r>
    <s v="Singapore"/>
    <x v="0"/>
    <s v="SG1"/>
    <m/>
    <x v="0"/>
    <x v="0"/>
    <x v="0"/>
    <x v="5"/>
    <x v="0"/>
    <x v="0"/>
    <x v="0"/>
    <m/>
    <x v="0"/>
    <x v="0"/>
    <n v="1.1995830000000001"/>
    <m/>
    <x v="8"/>
    <x v="2"/>
    <x v="0"/>
    <x v="4"/>
    <x v="1"/>
  </r>
  <r>
    <s v="Singapore"/>
    <x v="0"/>
    <s v="SG3"/>
    <m/>
    <x v="3"/>
    <x v="0"/>
    <x v="0"/>
    <x v="3"/>
    <x v="0"/>
    <x v="0"/>
    <x v="0"/>
    <m/>
    <x v="0"/>
    <x v="0"/>
    <n v="-0.38947500000000002"/>
    <m/>
    <x v="1"/>
    <x v="1"/>
    <x v="0"/>
    <x v="1"/>
    <x v="2"/>
  </r>
  <r>
    <s v="Singapore"/>
    <x v="1"/>
    <s v="SG3"/>
    <m/>
    <x v="1"/>
    <x v="2"/>
    <x v="0"/>
    <x v="4"/>
    <x v="0"/>
    <x v="0"/>
    <x v="0"/>
    <m/>
    <x v="0"/>
    <x v="0"/>
    <n v="-4.9354272000000003"/>
    <m/>
    <x v="3"/>
    <x v="2"/>
    <x v="0"/>
    <x v="2"/>
    <x v="1"/>
  </r>
  <r>
    <s v="Singapore"/>
    <x v="2"/>
    <s v="SG2"/>
    <m/>
    <x v="4"/>
    <x v="1"/>
    <x v="2"/>
    <x v="0"/>
    <x v="0"/>
    <x v="0"/>
    <x v="0"/>
    <m/>
    <x v="0"/>
    <x v="0"/>
    <n v="-0.24926400000000001"/>
    <m/>
    <x v="0"/>
    <x v="0"/>
    <x v="0"/>
    <x v="3"/>
    <x v="1"/>
  </r>
  <r>
    <s v="Singapore"/>
    <x v="4"/>
    <s v="SG2"/>
    <m/>
    <x v="4"/>
    <x v="0"/>
    <x v="1"/>
    <x v="3"/>
    <x v="0"/>
    <x v="0"/>
    <x v="0"/>
    <m/>
    <x v="0"/>
    <x v="0"/>
    <n v="-0.70105499999999998"/>
    <m/>
    <x v="4"/>
    <x v="1"/>
    <x v="0"/>
    <x v="2"/>
    <x v="1"/>
  </r>
  <r>
    <s v="Singapore"/>
    <x v="0"/>
    <s v="SG3"/>
    <m/>
    <x v="0"/>
    <x v="3"/>
    <x v="1"/>
    <x v="5"/>
    <x v="0"/>
    <x v="0"/>
    <x v="0"/>
    <m/>
    <x v="0"/>
    <x v="0"/>
    <n v="-0.280422"/>
    <m/>
    <x v="3"/>
    <x v="3"/>
    <x v="0"/>
    <x v="0"/>
    <x v="2"/>
  </r>
  <r>
    <s v="Singapore"/>
    <x v="4"/>
    <s v="SG4"/>
    <m/>
    <x v="1"/>
    <x v="0"/>
    <x v="1"/>
    <x v="4"/>
    <x v="0"/>
    <x v="0"/>
    <x v="0"/>
    <m/>
    <x v="0"/>
    <x v="0"/>
    <n v="-3.5831700000000004"/>
    <m/>
    <x v="1"/>
    <x v="2"/>
    <x v="0"/>
    <x v="0"/>
    <x v="1"/>
  </r>
  <r>
    <s v="Singapore"/>
    <x v="4"/>
    <s v="SG1"/>
    <m/>
    <x v="5"/>
    <x v="3"/>
    <x v="4"/>
    <x v="1"/>
    <x v="0"/>
    <x v="0"/>
    <x v="0"/>
    <m/>
    <x v="0"/>
    <x v="0"/>
    <n v="-4.6737000000000001E-2"/>
    <m/>
    <x v="0"/>
    <x v="3"/>
    <x v="0"/>
    <x v="3"/>
    <x v="2"/>
  </r>
  <r>
    <s v="Singapore"/>
    <x v="2"/>
    <s v="SG3"/>
    <m/>
    <x v="4"/>
    <x v="3"/>
    <x v="1"/>
    <x v="5"/>
    <x v="0"/>
    <x v="0"/>
    <x v="0"/>
    <m/>
    <x v="0"/>
    <x v="0"/>
    <n v="-0.81010800000000005"/>
    <m/>
    <x v="4"/>
    <x v="0"/>
    <x v="0"/>
    <x v="5"/>
    <x v="1"/>
  </r>
  <r>
    <s v="Singapore"/>
    <x v="2"/>
    <s v="SG4"/>
    <m/>
    <x v="0"/>
    <x v="3"/>
    <x v="0"/>
    <x v="1"/>
    <x v="0"/>
    <x v="0"/>
    <x v="0"/>
    <m/>
    <x v="0"/>
    <x v="0"/>
    <n v="-5.6084400000000006E-2"/>
    <m/>
    <x v="6"/>
    <x v="3"/>
    <x v="0"/>
    <x v="4"/>
    <x v="1"/>
  </r>
  <r>
    <s v="Singapore"/>
    <x v="3"/>
    <s v="SG3"/>
    <m/>
    <x v="2"/>
    <x v="1"/>
    <x v="1"/>
    <x v="4"/>
    <x v="0"/>
    <x v="0"/>
    <x v="0"/>
    <m/>
    <x v="0"/>
    <x v="0"/>
    <n v="-17.136900000000001"/>
    <m/>
    <x v="2"/>
    <x v="3"/>
    <x v="0"/>
    <x v="3"/>
    <x v="0"/>
  </r>
  <r>
    <s v="Singapore"/>
    <x v="2"/>
    <s v="SG1"/>
    <m/>
    <x v="4"/>
    <x v="1"/>
    <x v="0"/>
    <x v="4"/>
    <x v="0"/>
    <x v="0"/>
    <x v="0"/>
    <m/>
    <x v="0"/>
    <x v="0"/>
    <n v="-0.1324215"/>
    <m/>
    <x v="4"/>
    <x v="2"/>
    <x v="0"/>
    <x v="3"/>
    <x v="0"/>
  </r>
  <r>
    <s v="Singapore"/>
    <x v="4"/>
    <s v="SG4"/>
    <m/>
    <x v="0"/>
    <x v="0"/>
    <x v="1"/>
    <x v="0"/>
    <x v="0"/>
    <x v="0"/>
    <x v="0"/>
    <m/>
    <x v="0"/>
    <x v="0"/>
    <n v="-0.140211"/>
    <m/>
    <x v="4"/>
    <x v="2"/>
    <x v="0"/>
    <x v="2"/>
    <x v="1"/>
  </r>
  <r>
    <s v="Singapore"/>
    <x v="5"/>
    <s v="SG4"/>
    <m/>
    <x v="1"/>
    <x v="4"/>
    <x v="4"/>
    <x v="1"/>
    <x v="0"/>
    <x v="0"/>
    <x v="0"/>
    <m/>
    <x v="0"/>
    <x v="0"/>
    <n v="1.5161482800000001"/>
    <m/>
    <x v="1"/>
    <x v="3"/>
    <x v="0"/>
    <x v="0"/>
    <x v="1"/>
  </r>
  <r>
    <s v="Singapore"/>
    <x v="4"/>
    <s v="SG2"/>
    <m/>
    <x v="0"/>
    <x v="3"/>
    <x v="2"/>
    <x v="3"/>
    <x v="0"/>
    <x v="0"/>
    <x v="0"/>
    <m/>
    <x v="0"/>
    <x v="0"/>
    <n v="0.264843"/>
    <m/>
    <x v="1"/>
    <x v="2"/>
    <x v="0"/>
    <x v="0"/>
    <x v="1"/>
  </r>
  <r>
    <s v="Singapore"/>
    <x v="0"/>
    <s v="SG3"/>
    <m/>
    <x v="3"/>
    <x v="3"/>
    <x v="0"/>
    <x v="5"/>
    <x v="0"/>
    <x v="0"/>
    <x v="0"/>
    <m/>
    <x v="0"/>
    <x v="0"/>
    <n v="-7.7895000000000004E-3"/>
    <m/>
    <x v="0"/>
    <x v="1"/>
    <x v="0"/>
    <x v="0"/>
    <x v="2"/>
  </r>
  <r>
    <s v="Singapore"/>
    <x v="1"/>
    <s v="SG2"/>
    <m/>
    <x v="4"/>
    <x v="3"/>
    <x v="2"/>
    <x v="0"/>
    <x v="0"/>
    <x v="0"/>
    <x v="0"/>
    <m/>
    <x v="0"/>
    <x v="0"/>
    <n v="0.98147700000000004"/>
    <m/>
    <x v="1"/>
    <x v="1"/>
    <x v="0"/>
    <x v="4"/>
    <x v="0"/>
  </r>
  <r>
    <s v="Singapore"/>
    <x v="5"/>
    <s v="SG2"/>
    <m/>
    <x v="4"/>
    <x v="0"/>
    <x v="0"/>
    <x v="5"/>
    <x v="0"/>
    <x v="0"/>
    <x v="0"/>
    <m/>
    <x v="0"/>
    <x v="0"/>
    <n v="-9.3474000000000002E-2"/>
    <m/>
    <x v="0"/>
    <x v="0"/>
    <x v="0"/>
    <x v="0"/>
    <x v="0"/>
  </r>
  <r>
    <s v="Singapore"/>
    <x v="2"/>
    <s v="SG4"/>
    <m/>
    <x v="4"/>
    <x v="3"/>
    <x v="1"/>
    <x v="2"/>
    <x v="0"/>
    <x v="0"/>
    <x v="0"/>
    <m/>
    <x v="0"/>
    <x v="0"/>
    <n v="-0.84126600000000007"/>
    <m/>
    <x v="0"/>
    <x v="0"/>
    <x v="0"/>
    <x v="4"/>
    <x v="1"/>
  </r>
  <r>
    <s v="Singapore"/>
    <x v="2"/>
    <s v="SG1"/>
    <m/>
    <x v="3"/>
    <x v="0"/>
    <x v="2"/>
    <x v="4"/>
    <x v="0"/>
    <x v="0"/>
    <x v="0"/>
    <m/>
    <x v="0"/>
    <x v="0"/>
    <n v="0.17136900000000002"/>
    <m/>
    <x v="7"/>
    <x v="3"/>
    <x v="0"/>
    <x v="5"/>
    <x v="1"/>
  </r>
  <r>
    <s v="Singapore"/>
    <x v="2"/>
    <s v="SG1"/>
    <m/>
    <x v="5"/>
    <x v="3"/>
    <x v="1"/>
    <x v="4"/>
    <x v="0"/>
    <x v="0"/>
    <x v="0"/>
    <m/>
    <x v="0"/>
    <x v="0"/>
    <n v="-0.1838322"/>
    <m/>
    <x v="4"/>
    <x v="0"/>
    <x v="0"/>
    <x v="5"/>
    <x v="0"/>
  </r>
  <r>
    <s v="Singapore"/>
    <x v="2"/>
    <s v="SG4"/>
    <m/>
    <x v="2"/>
    <x v="0"/>
    <x v="2"/>
    <x v="5"/>
    <x v="0"/>
    <x v="0"/>
    <x v="0"/>
    <m/>
    <x v="0"/>
    <x v="0"/>
    <n v="-0.46737000000000001"/>
    <m/>
    <x v="4"/>
    <x v="2"/>
    <x v="0"/>
    <x v="4"/>
    <x v="0"/>
  </r>
  <r>
    <s v="Singapore"/>
    <x v="0"/>
    <s v="SG4"/>
    <m/>
    <x v="1"/>
    <x v="3"/>
    <x v="1"/>
    <x v="1"/>
    <x v="0"/>
    <x v="0"/>
    <x v="0"/>
    <m/>
    <x v="0"/>
    <x v="0"/>
    <n v="-1.3709520000000002"/>
    <m/>
    <x v="0"/>
    <x v="1"/>
    <x v="0"/>
    <x v="3"/>
    <x v="2"/>
  </r>
  <r>
    <s v="Singapore"/>
    <x v="3"/>
    <s v="SG3"/>
    <m/>
    <x v="1"/>
    <x v="0"/>
    <x v="0"/>
    <x v="0"/>
    <x v="0"/>
    <x v="0"/>
    <x v="0"/>
    <m/>
    <x v="0"/>
    <x v="0"/>
    <n v="-4.6737000000000001E-2"/>
    <m/>
    <x v="0"/>
    <x v="2"/>
    <x v="0"/>
    <x v="2"/>
    <x v="2"/>
  </r>
  <r>
    <s v="Singapore"/>
    <x v="5"/>
    <s v="SG2"/>
    <m/>
    <x v="5"/>
    <x v="4"/>
    <x v="2"/>
    <x v="0"/>
    <x v="0"/>
    <x v="0"/>
    <x v="0"/>
    <m/>
    <x v="0"/>
    <x v="0"/>
    <n v="7.6337100000000007"/>
    <m/>
    <x v="7"/>
    <x v="2"/>
    <x v="0"/>
    <x v="4"/>
    <x v="1"/>
  </r>
  <r>
    <s v="Singapore"/>
    <x v="5"/>
    <s v="SG3"/>
    <m/>
    <x v="5"/>
    <x v="0"/>
    <x v="0"/>
    <x v="3"/>
    <x v="0"/>
    <x v="0"/>
    <x v="0"/>
    <m/>
    <x v="0"/>
    <x v="0"/>
    <n v="-0.38947500000000002"/>
    <m/>
    <x v="0"/>
    <x v="1"/>
    <x v="0"/>
    <x v="1"/>
    <x v="0"/>
  </r>
  <r>
    <s v="Singapore"/>
    <x v="5"/>
    <s v="SG2"/>
    <m/>
    <x v="3"/>
    <x v="0"/>
    <x v="2"/>
    <x v="0"/>
    <x v="0"/>
    <x v="0"/>
    <x v="0"/>
    <m/>
    <x v="0"/>
    <x v="0"/>
    <n v="-1.0437930000000001E-3"/>
    <m/>
    <x v="8"/>
    <x v="3"/>
    <x v="0"/>
    <x v="4"/>
    <x v="1"/>
  </r>
  <r>
    <s v="Singapore"/>
    <x v="2"/>
    <s v="SG4"/>
    <m/>
    <x v="0"/>
    <x v="4"/>
    <x v="3"/>
    <x v="0"/>
    <x v="0"/>
    <x v="0"/>
    <x v="0"/>
    <m/>
    <x v="0"/>
    <x v="0"/>
    <n v="-0.15579000000000001"/>
    <m/>
    <x v="0"/>
    <x v="2"/>
    <x v="0"/>
    <x v="4"/>
    <x v="2"/>
  </r>
  <r>
    <s v="Singapore"/>
    <x v="3"/>
    <s v="SG4"/>
    <m/>
    <x v="1"/>
    <x v="0"/>
    <x v="4"/>
    <x v="4"/>
    <x v="0"/>
    <x v="0"/>
    <x v="0"/>
    <m/>
    <x v="0"/>
    <x v="0"/>
    <n v="-3.1158000000000002E-2"/>
    <m/>
    <x v="0"/>
    <x v="2"/>
    <x v="0"/>
    <x v="2"/>
    <x v="0"/>
  </r>
  <r>
    <s v="Singapore"/>
    <x v="4"/>
    <s v="SG4"/>
    <m/>
    <x v="0"/>
    <x v="2"/>
    <x v="1"/>
    <x v="1"/>
    <x v="0"/>
    <x v="0"/>
    <x v="0"/>
    <m/>
    <x v="0"/>
    <x v="0"/>
    <n v="-0.12463200000000001"/>
    <m/>
    <x v="0"/>
    <x v="2"/>
    <x v="0"/>
    <x v="0"/>
    <x v="2"/>
  </r>
  <r>
    <s v="Singapore"/>
    <x v="4"/>
    <s v="SG4"/>
    <m/>
    <x v="5"/>
    <x v="0"/>
    <x v="4"/>
    <x v="0"/>
    <x v="0"/>
    <x v="0"/>
    <x v="0"/>
    <m/>
    <x v="0"/>
    <x v="0"/>
    <n v="-0.62627580000000005"/>
    <m/>
    <x v="0"/>
    <x v="3"/>
    <x v="0"/>
    <x v="3"/>
    <x v="2"/>
  </r>
  <r>
    <s v="Singapore"/>
    <x v="5"/>
    <s v="SG2"/>
    <m/>
    <x v="5"/>
    <x v="2"/>
    <x v="0"/>
    <x v="1"/>
    <x v="0"/>
    <x v="0"/>
    <x v="0"/>
    <m/>
    <x v="0"/>
    <x v="0"/>
    <n v="-9.3474000000000002E-2"/>
    <m/>
    <x v="0"/>
    <x v="2"/>
    <x v="0"/>
    <x v="1"/>
    <x v="0"/>
  </r>
  <r>
    <s v="Singapore"/>
    <x v="2"/>
    <s v="SG4"/>
    <m/>
    <x v="4"/>
    <x v="2"/>
    <x v="1"/>
    <x v="1"/>
    <x v="0"/>
    <x v="0"/>
    <x v="0"/>
    <m/>
    <x v="0"/>
    <x v="0"/>
    <n v="-0.12463200000000001"/>
    <m/>
    <x v="0"/>
    <x v="1"/>
    <x v="0"/>
    <x v="2"/>
    <x v="0"/>
  </r>
  <r>
    <s v="Singapore"/>
    <x v="4"/>
    <s v="SG2"/>
    <m/>
    <x v="1"/>
    <x v="2"/>
    <x v="2"/>
    <x v="5"/>
    <x v="0"/>
    <x v="0"/>
    <x v="0"/>
    <m/>
    <x v="0"/>
    <x v="0"/>
    <n v="-2.18106"/>
    <m/>
    <x v="4"/>
    <x v="2"/>
    <x v="0"/>
    <x v="5"/>
    <x v="0"/>
  </r>
  <r>
    <s v="Singapore"/>
    <x v="0"/>
    <s v="SG3"/>
    <m/>
    <x v="3"/>
    <x v="3"/>
    <x v="1"/>
    <x v="5"/>
    <x v="0"/>
    <x v="0"/>
    <x v="0"/>
    <m/>
    <x v="0"/>
    <x v="0"/>
    <n v="-0.186948"/>
    <m/>
    <x v="4"/>
    <x v="3"/>
    <x v="0"/>
    <x v="1"/>
    <x v="0"/>
  </r>
  <r>
    <s v="Singapore"/>
    <x v="1"/>
    <s v="SG1"/>
    <m/>
    <x v="4"/>
    <x v="1"/>
    <x v="4"/>
    <x v="2"/>
    <x v="0"/>
    <x v="0"/>
    <x v="0"/>
    <m/>
    <x v="0"/>
    <x v="0"/>
    <n v="-4.6737000000000001E-2"/>
    <m/>
    <x v="0"/>
    <x v="2"/>
    <x v="0"/>
    <x v="0"/>
    <x v="2"/>
  </r>
  <r>
    <s v="Singapore"/>
    <x v="0"/>
    <s v="SG4"/>
    <m/>
    <x v="0"/>
    <x v="4"/>
    <x v="4"/>
    <x v="2"/>
    <x v="0"/>
    <x v="0"/>
    <x v="0"/>
    <m/>
    <x v="0"/>
    <x v="0"/>
    <n v="1.1450565000000001"/>
    <m/>
    <x v="1"/>
    <x v="2"/>
    <x v="0"/>
    <x v="3"/>
    <x v="2"/>
  </r>
  <r>
    <s v="Singapore"/>
    <x v="4"/>
    <s v="SG4"/>
    <m/>
    <x v="3"/>
    <x v="0"/>
    <x v="4"/>
    <x v="3"/>
    <x v="0"/>
    <x v="0"/>
    <x v="0"/>
    <m/>
    <x v="0"/>
    <x v="0"/>
    <n v="1.1493407250000001"/>
    <m/>
    <x v="1"/>
    <x v="1"/>
    <x v="0"/>
    <x v="0"/>
    <x v="1"/>
  </r>
  <r>
    <s v="Singapore"/>
    <x v="5"/>
    <s v="SG1"/>
    <m/>
    <x v="4"/>
    <x v="2"/>
    <x v="0"/>
    <x v="3"/>
    <x v="0"/>
    <x v="0"/>
    <x v="0"/>
    <m/>
    <x v="0"/>
    <x v="0"/>
    <n v="0.15423210000000001"/>
    <m/>
    <x v="3"/>
    <x v="1"/>
    <x v="0"/>
    <x v="1"/>
    <x v="2"/>
  </r>
  <r>
    <s v="Singapore"/>
    <x v="0"/>
    <s v="SG1"/>
    <m/>
    <x v="1"/>
    <x v="0"/>
    <x v="3"/>
    <x v="1"/>
    <x v="0"/>
    <x v="0"/>
    <x v="0"/>
    <m/>
    <x v="0"/>
    <x v="0"/>
    <n v="-14.592849300000001"/>
    <m/>
    <x v="6"/>
    <x v="1"/>
    <x v="0"/>
    <x v="1"/>
    <x v="2"/>
  </r>
  <r>
    <s v="Singapore"/>
    <x v="3"/>
    <s v="SG1"/>
    <m/>
    <x v="4"/>
    <x v="4"/>
    <x v="1"/>
    <x v="5"/>
    <x v="0"/>
    <x v="0"/>
    <x v="0"/>
    <m/>
    <x v="0"/>
    <x v="0"/>
    <n v="-0.21810600000000002"/>
    <m/>
    <x v="4"/>
    <x v="3"/>
    <x v="0"/>
    <x v="4"/>
    <x v="1"/>
  </r>
  <r>
    <s v="Singapore"/>
    <x v="3"/>
    <s v="SG3"/>
    <m/>
    <x v="1"/>
    <x v="3"/>
    <x v="4"/>
    <x v="3"/>
    <x v="0"/>
    <x v="0"/>
    <x v="0"/>
    <m/>
    <x v="0"/>
    <x v="0"/>
    <n v="-0.186948"/>
    <m/>
    <x v="0"/>
    <x v="1"/>
    <x v="0"/>
    <x v="3"/>
    <x v="1"/>
  </r>
  <r>
    <s v="Singapore"/>
    <x v="3"/>
    <s v="SG3"/>
    <m/>
    <x v="4"/>
    <x v="2"/>
    <x v="4"/>
    <x v="3"/>
    <x v="0"/>
    <x v="0"/>
    <x v="0"/>
    <m/>
    <x v="0"/>
    <x v="0"/>
    <n v="-0.17950123800000001"/>
    <m/>
    <x v="4"/>
    <x v="1"/>
    <x v="0"/>
    <x v="1"/>
    <x v="1"/>
  </r>
  <r>
    <s v="Singapore"/>
    <x v="4"/>
    <s v="SG1"/>
    <m/>
    <x v="0"/>
    <x v="3"/>
    <x v="0"/>
    <x v="4"/>
    <x v="0"/>
    <x v="0"/>
    <x v="0"/>
    <m/>
    <x v="0"/>
    <x v="0"/>
    <n v="0.545265"/>
    <m/>
    <x v="1"/>
    <x v="0"/>
    <x v="0"/>
    <x v="1"/>
    <x v="0"/>
  </r>
  <r>
    <s v="Singapore"/>
    <x v="4"/>
    <s v="SG3"/>
    <m/>
    <x v="3"/>
    <x v="4"/>
    <x v="2"/>
    <x v="5"/>
    <x v="0"/>
    <x v="0"/>
    <x v="0"/>
    <m/>
    <x v="0"/>
    <x v="0"/>
    <n v="-0.13122191700000002"/>
    <m/>
    <x v="9"/>
    <x v="1"/>
    <x v="0"/>
    <x v="0"/>
    <x v="2"/>
  </r>
  <r>
    <s v="Singapore"/>
    <x v="3"/>
    <s v="SG1"/>
    <m/>
    <x v="0"/>
    <x v="1"/>
    <x v="1"/>
    <x v="0"/>
    <x v="0"/>
    <x v="0"/>
    <x v="0"/>
    <m/>
    <x v="0"/>
    <x v="0"/>
    <n v="-0.1838322"/>
    <m/>
    <x v="4"/>
    <x v="0"/>
    <x v="0"/>
    <x v="0"/>
    <x v="0"/>
  </r>
  <r>
    <s v="Singapore"/>
    <x v="2"/>
    <s v="SG4"/>
    <m/>
    <x v="5"/>
    <x v="0"/>
    <x v="2"/>
    <x v="0"/>
    <x v="0"/>
    <x v="0"/>
    <x v="0"/>
    <m/>
    <x v="0"/>
    <x v="0"/>
    <n v="-10.9053"/>
    <m/>
    <x v="4"/>
    <x v="2"/>
    <x v="0"/>
    <x v="5"/>
    <x v="1"/>
  </r>
  <r>
    <s v="Singapore"/>
    <x v="5"/>
    <s v="SG3"/>
    <m/>
    <x v="0"/>
    <x v="4"/>
    <x v="3"/>
    <x v="5"/>
    <x v="0"/>
    <x v="0"/>
    <x v="0"/>
    <m/>
    <x v="0"/>
    <x v="0"/>
    <n v="0.140211"/>
    <m/>
    <x v="8"/>
    <x v="2"/>
    <x v="0"/>
    <x v="4"/>
    <x v="1"/>
  </r>
  <r>
    <s v="Singapore"/>
    <x v="2"/>
    <s v="SG4"/>
    <m/>
    <x v="2"/>
    <x v="2"/>
    <x v="0"/>
    <x v="1"/>
    <x v="0"/>
    <x v="0"/>
    <x v="0"/>
    <m/>
    <x v="0"/>
    <x v="0"/>
    <n v="1.128885498"/>
    <m/>
    <x v="8"/>
    <x v="3"/>
    <x v="0"/>
    <x v="2"/>
    <x v="1"/>
  </r>
  <r>
    <s v="Singapore"/>
    <x v="0"/>
    <s v="SG4"/>
    <m/>
    <x v="1"/>
    <x v="1"/>
    <x v="0"/>
    <x v="3"/>
    <x v="0"/>
    <x v="0"/>
    <x v="0"/>
    <m/>
    <x v="0"/>
    <x v="0"/>
    <n v="-0.12463200000000001"/>
    <m/>
    <x v="4"/>
    <x v="3"/>
    <x v="0"/>
    <x v="1"/>
    <x v="2"/>
  </r>
  <r>
    <s v="Singapore"/>
    <x v="5"/>
    <s v="SG4"/>
    <m/>
    <x v="2"/>
    <x v="2"/>
    <x v="4"/>
    <x v="5"/>
    <x v="0"/>
    <x v="0"/>
    <x v="0"/>
    <m/>
    <x v="0"/>
    <x v="0"/>
    <n v="-72.986898366000005"/>
    <m/>
    <x v="0"/>
    <x v="3"/>
    <x v="0"/>
    <x v="4"/>
    <x v="2"/>
  </r>
  <r>
    <s v="Singapore"/>
    <x v="5"/>
    <s v="SG2"/>
    <m/>
    <x v="1"/>
    <x v="0"/>
    <x v="2"/>
    <x v="2"/>
    <x v="0"/>
    <x v="0"/>
    <x v="0"/>
    <m/>
    <x v="0"/>
    <x v="0"/>
    <n v="-261.27299425500001"/>
    <m/>
    <x v="2"/>
    <x v="2"/>
    <x v="0"/>
    <x v="4"/>
    <x v="1"/>
  </r>
  <r>
    <s v="Singapore"/>
    <x v="3"/>
    <s v="SG2"/>
    <m/>
    <x v="0"/>
    <x v="4"/>
    <x v="0"/>
    <x v="4"/>
    <x v="0"/>
    <x v="0"/>
    <x v="0"/>
    <m/>
    <x v="0"/>
    <x v="0"/>
    <n v="-31.594212000000002"/>
    <m/>
    <x v="4"/>
    <x v="1"/>
    <x v="0"/>
    <x v="4"/>
    <x v="1"/>
  </r>
  <r>
    <s v="Singapore"/>
    <x v="2"/>
    <s v="SG1"/>
    <m/>
    <x v="2"/>
    <x v="0"/>
    <x v="3"/>
    <x v="3"/>
    <x v="0"/>
    <x v="0"/>
    <x v="0"/>
    <m/>
    <x v="0"/>
    <x v="0"/>
    <n v="-0.186948"/>
    <m/>
    <x v="6"/>
    <x v="2"/>
    <x v="0"/>
    <x v="2"/>
    <x v="2"/>
  </r>
  <r>
    <s v="Singapore"/>
    <x v="3"/>
    <s v="SG4"/>
    <m/>
    <x v="0"/>
    <x v="1"/>
    <x v="4"/>
    <x v="4"/>
    <x v="0"/>
    <x v="0"/>
    <x v="0"/>
    <m/>
    <x v="0"/>
    <x v="0"/>
    <n v="-4.6737000000000001E-2"/>
    <m/>
    <x v="0"/>
    <x v="1"/>
    <x v="0"/>
    <x v="3"/>
    <x v="2"/>
  </r>
  <r>
    <s v="Singapore"/>
    <x v="4"/>
    <s v="SG3"/>
    <m/>
    <x v="3"/>
    <x v="1"/>
    <x v="1"/>
    <x v="2"/>
    <x v="0"/>
    <x v="0"/>
    <x v="0"/>
    <m/>
    <x v="0"/>
    <x v="0"/>
    <n v="-0.12835538100000002"/>
    <m/>
    <x v="4"/>
    <x v="3"/>
    <x v="0"/>
    <x v="4"/>
    <x v="1"/>
  </r>
  <r>
    <s v="Singapore"/>
    <x v="0"/>
    <s v="SG1"/>
    <m/>
    <x v="5"/>
    <x v="1"/>
    <x v="3"/>
    <x v="1"/>
    <x v="0"/>
    <x v="0"/>
    <x v="0"/>
    <m/>
    <x v="0"/>
    <x v="0"/>
    <n v="0.61723998000000002"/>
    <m/>
    <x v="4"/>
    <x v="1"/>
    <x v="0"/>
    <x v="5"/>
    <x v="2"/>
  </r>
  <r>
    <s v="Singapore"/>
    <x v="5"/>
    <s v="SG4"/>
    <m/>
    <x v="3"/>
    <x v="0"/>
    <x v="4"/>
    <x v="5"/>
    <x v="0"/>
    <x v="0"/>
    <x v="0"/>
    <m/>
    <x v="0"/>
    <x v="0"/>
    <n v="-4.6737000000000001E-2"/>
    <m/>
    <x v="0"/>
    <x v="2"/>
    <x v="0"/>
    <x v="1"/>
    <x v="2"/>
  </r>
  <r>
    <s v="Singapore"/>
    <x v="1"/>
    <s v="SG2"/>
    <m/>
    <x v="4"/>
    <x v="0"/>
    <x v="3"/>
    <x v="2"/>
    <x v="0"/>
    <x v="0"/>
    <x v="0"/>
    <m/>
    <x v="0"/>
    <x v="0"/>
    <n v="-0.1168425"/>
    <m/>
    <x v="0"/>
    <x v="1"/>
    <x v="0"/>
    <x v="3"/>
    <x v="1"/>
  </r>
  <r>
    <s v="Singapore"/>
    <x v="1"/>
    <s v="SG1"/>
    <m/>
    <x v="3"/>
    <x v="3"/>
    <x v="2"/>
    <x v="2"/>
    <x v="0"/>
    <x v="0"/>
    <x v="0"/>
    <m/>
    <x v="0"/>
    <x v="0"/>
    <n v="3.4273800000000003"/>
    <m/>
    <x v="1"/>
    <x v="3"/>
    <x v="0"/>
    <x v="3"/>
    <x v="2"/>
  </r>
  <r>
    <s v="Singapore"/>
    <x v="4"/>
    <s v="SG4"/>
    <m/>
    <x v="0"/>
    <x v="3"/>
    <x v="3"/>
    <x v="4"/>
    <x v="0"/>
    <x v="0"/>
    <x v="0"/>
    <m/>
    <x v="0"/>
    <x v="0"/>
    <n v="3.4787907E-2"/>
    <m/>
    <x v="1"/>
    <x v="2"/>
    <x v="0"/>
    <x v="5"/>
    <x v="0"/>
  </r>
  <r>
    <s v="Singapore"/>
    <x v="3"/>
    <s v="SG2"/>
    <m/>
    <x v="5"/>
    <x v="1"/>
    <x v="3"/>
    <x v="1"/>
    <x v="0"/>
    <x v="0"/>
    <x v="0"/>
    <m/>
    <x v="0"/>
    <x v="0"/>
    <n v="-0.18373872600000002"/>
    <m/>
    <x v="0"/>
    <x v="3"/>
    <x v="0"/>
    <x v="5"/>
    <x v="0"/>
  </r>
  <r>
    <s v="Singapore"/>
    <x v="2"/>
    <s v="SG2"/>
    <m/>
    <x v="5"/>
    <x v="0"/>
    <x v="2"/>
    <x v="2"/>
    <x v="0"/>
    <x v="0"/>
    <x v="0"/>
    <m/>
    <x v="0"/>
    <x v="0"/>
    <n v="0.21810600000000002"/>
    <m/>
    <x v="4"/>
    <x v="1"/>
    <x v="0"/>
    <x v="0"/>
    <x v="0"/>
  </r>
  <r>
    <s v="Singapore"/>
    <x v="1"/>
    <s v="SG2"/>
    <m/>
    <x v="2"/>
    <x v="3"/>
    <x v="3"/>
    <x v="1"/>
    <x v="0"/>
    <x v="0"/>
    <x v="0"/>
    <m/>
    <x v="0"/>
    <x v="0"/>
    <n v="0.17839512900000001"/>
    <m/>
    <x v="1"/>
    <x v="2"/>
    <x v="0"/>
    <x v="4"/>
    <x v="1"/>
  </r>
  <r>
    <s v="Singapore"/>
    <x v="2"/>
    <s v="SG1"/>
    <m/>
    <x v="0"/>
    <x v="4"/>
    <x v="4"/>
    <x v="5"/>
    <x v="0"/>
    <x v="0"/>
    <x v="0"/>
    <m/>
    <x v="0"/>
    <x v="0"/>
    <n v="-0.545265"/>
    <m/>
    <x v="4"/>
    <x v="3"/>
    <x v="0"/>
    <x v="4"/>
    <x v="0"/>
  </r>
  <r>
    <s v="Singapore"/>
    <x v="3"/>
    <s v="SG1"/>
    <m/>
    <x v="0"/>
    <x v="0"/>
    <x v="3"/>
    <x v="0"/>
    <x v="0"/>
    <x v="0"/>
    <x v="0"/>
    <m/>
    <x v="0"/>
    <x v="0"/>
    <n v="-0.77895000000000003"/>
    <m/>
    <x v="4"/>
    <x v="0"/>
    <x v="0"/>
    <x v="4"/>
    <x v="0"/>
  </r>
  <r>
    <s v="Singapore"/>
    <x v="4"/>
    <s v="SG3"/>
    <m/>
    <x v="4"/>
    <x v="4"/>
    <x v="3"/>
    <x v="4"/>
    <x v="0"/>
    <x v="0"/>
    <x v="0"/>
    <m/>
    <x v="0"/>
    <x v="0"/>
    <n v="-3.1158000000000002E-2"/>
    <m/>
    <x v="0"/>
    <x v="2"/>
    <x v="0"/>
    <x v="2"/>
    <x v="0"/>
  </r>
  <r>
    <s v="Singapore"/>
    <x v="4"/>
    <s v="SG2"/>
    <m/>
    <x v="0"/>
    <x v="3"/>
    <x v="1"/>
    <x v="0"/>
    <x v="0"/>
    <x v="0"/>
    <x v="0"/>
    <m/>
    <x v="0"/>
    <x v="0"/>
    <n v="-0.12463200000000001"/>
    <m/>
    <x v="4"/>
    <x v="0"/>
    <x v="0"/>
    <x v="5"/>
    <x v="1"/>
  </r>
  <r>
    <s v="Singapore"/>
    <x v="0"/>
    <s v="SG1"/>
    <m/>
    <x v="3"/>
    <x v="4"/>
    <x v="2"/>
    <x v="5"/>
    <x v="0"/>
    <x v="0"/>
    <x v="0"/>
    <m/>
    <x v="0"/>
    <x v="0"/>
    <n v="-0.62316000000000005"/>
    <m/>
    <x v="4"/>
    <x v="3"/>
    <x v="0"/>
    <x v="2"/>
    <x v="0"/>
  </r>
  <r>
    <s v="Singapore"/>
    <x v="4"/>
    <s v="SG3"/>
    <m/>
    <x v="2"/>
    <x v="0"/>
    <x v="4"/>
    <x v="3"/>
    <x v="0"/>
    <x v="0"/>
    <x v="0"/>
    <m/>
    <x v="0"/>
    <x v="0"/>
    <n v="-7.7895000000000006E-2"/>
    <m/>
    <x v="0"/>
    <x v="1"/>
    <x v="0"/>
    <x v="4"/>
    <x v="0"/>
  </r>
  <r>
    <s v="Singapore"/>
    <x v="4"/>
    <s v="SG1"/>
    <m/>
    <x v="1"/>
    <x v="1"/>
    <x v="3"/>
    <x v="5"/>
    <x v="0"/>
    <x v="0"/>
    <x v="0"/>
    <m/>
    <x v="0"/>
    <x v="0"/>
    <n v="-0.21810600000000002"/>
    <m/>
    <x v="4"/>
    <x v="1"/>
    <x v="0"/>
    <x v="0"/>
    <x v="0"/>
  </r>
  <r>
    <s v="Singapore"/>
    <x v="5"/>
    <s v="SG2"/>
    <m/>
    <x v="0"/>
    <x v="2"/>
    <x v="2"/>
    <x v="1"/>
    <x v="0"/>
    <x v="0"/>
    <x v="0"/>
    <m/>
    <x v="0"/>
    <x v="0"/>
    <n v="-0.12463200000000001"/>
    <m/>
    <x v="0"/>
    <x v="1"/>
    <x v="0"/>
    <x v="3"/>
    <x v="2"/>
  </r>
  <r>
    <s v="Singapore"/>
    <x v="1"/>
    <s v="SG1"/>
    <m/>
    <x v="5"/>
    <x v="0"/>
    <x v="1"/>
    <x v="2"/>
    <x v="0"/>
    <x v="0"/>
    <x v="0"/>
    <m/>
    <x v="0"/>
    <x v="0"/>
    <n v="-0.32296824900000004"/>
    <m/>
    <x v="0"/>
    <x v="2"/>
    <x v="0"/>
    <x v="5"/>
    <x v="1"/>
  </r>
  <r>
    <s v="Singapore"/>
    <x v="3"/>
    <s v="SG3"/>
    <m/>
    <x v="3"/>
    <x v="3"/>
    <x v="2"/>
    <x v="2"/>
    <x v="0"/>
    <x v="0"/>
    <x v="0"/>
    <m/>
    <x v="0"/>
    <x v="0"/>
    <n v="-9.3474000000000002E-2"/>
    <m/>
    <x v="4"/>
    <x v="0"/>
    <x v="0"/>
    <x v="2"/>
    <x v="0"/>
  </r>
  <r>
    <s v="Singapore"/>
    <x v="4"/>
    <s v="SG1"/>
    <m/>
    <x v="5"/>
    <x v="0"/>
    <x v="1"/>
    <x v="5"/>
    <x v="0"/>
    <x v="0"/>
    <x v="0"/>
    <m/>
    <x v="0"/>
    <x v="0"/>
    <n v="-7.7895000000000006E-2"/>
    <m/>
    <x v="0"/>
    <x v="2"/>
    <x v="0"/>
    <x v="5"/>
    <x v="1"/>
  </r>
  <r>
    <s v="Singapore"/>
    <x v="2"/>
    <s v="SG1"/>
    <m/>
    <x v="5"/>
    <x v="4"/>
    <x v="2"/>
    <x v="5"/>
    <x v="0"/>
    <x v="0"/>
    <x v="0"/>
    <m/>
    <x v="0"/>
    <x v="0"/>
    <n v="-0.12463200000000001"/>
    <m/>
    <x v="4"/>
    <x v="1"/>
    <x v="0"/>
    <x v="2"/>
    <x v="2"/>
  </r>
  <r>
    <s v="Singapore"/>
    <x v="3"/>
    <s v="SG4"/>
    <m/>
    <x v="3"/>
    <x v="1"/>
    <x v="3"/>
    <x v="3"/>
    <x v="0"/>
    <x v="0"/>
    <x v="0"/>
    <m/>
    <x v="0"/>
    <x v="0"/>
    <n v="0.29600100000000001"/>
    <m/>
    <x v="8"/>
    <x v="1"/>
    <x v="0"/>
    <x v="4"/>
    <x v="2"/>
  </r>
  <r>
    <s v="Singapore"/>
    <x v="3"/>
    <s v="SG3"/>
    <m/>
    <x v="3"/>
    <x v="4"/>
    <x v="2"/>
    <x v="5"/>
    <x v="0"/>
    <x v="0"/>
    <x v="0"/>
    <m/>
    <x v="0"/>
    <x v="0"/>
    <n v="-4.0505400000000004E-2"/>
    <m/>
    <x v="2"/>
    <x v="0"/>
    <x v="0"/>
    <x v="4"/>
    <x v="2"/>
  </r>
  <r>
    <s v="Singapore"/>
    <x v="2"/>
    <s v="SG1"/>
    <m/>
    <x v="4"/>
    <x v="3"/>
    <x v="0"/>
    <x v="5"/>
    <x v="0"/>
    <x v="0"/>
    <x v="0"/>
    <m/>
    <x v="0"/>
    <x v="0"/>
    <n v="-0.15579000000000001"/>
    <m/>
    <x v="4"/>
    <x v="1"/>
    <x v="0"/>
    <x v="1"/>
    <x v="1"/>
  </r>
  <r>
    <s v="Singapore"/>
    <x v="0"/>
    <s v="SG1"/>
    <m/>
    <x v="1"/>
    <x v="0"/>
    <x v="4"/>
    <x v="4"/>
    <x v="0"/>
    <x v="0"/>
    <x v="0"/>
    <m/>
    <x v="0"/>
    <x v="0"/>
    <n v="0.17961029100000003"/>
    <m/>
    <x v="1"/>
    <x v="0"/>
    <x v="0"/>
    <x v="4"/>
    <x v="2"/>
  </r>
  <r>
    <s v="Singapore"/>
    <x v="1"/>
    <s v="SG1"/>
    <m/>
    <x v="5"/>
    <x v="0"/>
    <x v="2"/>
    <x v="4"/>
    <x v="0"/>
    <x v="0"/>
    <x v="0"/>
    <m/>
    <x v="0"/>
    <x v="0"/>
    <n v="-1.9402086600000001"/>
    <m/>
    <x v="2"/>
    <x v="0"/>
    <x v="0"/>
    <x v="3"/>
    <x v="2"/>
  </r>
  <r>
    <s v="Singapore"/>
    <x v="1"/>
    <s v="SG1"/>
    <m/>
    <x v="0"/>
    <x v="3"/>
    <x v="0"/>
    <x v="4"/>
    <x v="0"/>
    <x v="0"/>
    <x v="0"/>
    <m/>
    <x v="0"/>
    <x v="0"/>
    <n v="-111.97826883"/>
    <m/>
    <x v="2"/>
    <x v="2"/>
    <x v="0"/>
    <x v="3"/>
    <x v="2"/>
  </r>
  <r>
    <s v="Singapore"/>
    <x v="3"/>
    <s v="SG3"/>
    <m/>
    <x v="2"/>
    <x v="3"/>
    <x v="1"/>
    <x v="1"/>
    <x v="0"/>
    <x v="0"/>
    <x v="0"/>
    <m/>
    <x v="0"/>
    <x v="0"/>
    <n v="4.5944340480000001"/>
    <m/>
    <x v="7"/>
    <x v="1"/>
    <x v="0"/>
    <x v="2"/>
    <x v="1"/>
  </r>
  <r>
    <s v="Singapore"/>
    <x v="1"/>
    <s v="SG3"/>
    <m/>
    <x v="5"/>
    <x v="4"/>
    <x v="1"/>
    <x v="3"/>
    <x v="0"/>
    <x v="0"/>
    <x v="0"/>
    <m/>
    <x v="0"/>
    <x v="0"/>
    <n v="6.0820416000000002E-2"/>
    <m/>
    <x v="7"/>
    <x v="1"/>
    <x v="0"/>
    <x v="2"/>
    <x v="1"/>
  </r>
  <r>
    <s v="Singapore"/>
    <x v="0"/>
    <s v="SG2"/>
    <m/>
    <x v="1"/>
    <x v="2"/>
    <x v="0"/>
    <x v="2"/>
    <x v="0"/>
    <x v="0"/>
    <x v="0"/>
    <m/>
    <x v="0"/>
    <x v="0"/>
    <n v="1.0801232280000002"/>
    <m/>
    <x v="1"/>
    <x v="1"/>
    <x v="0"/>
    <x v="5"/>
    <x v="2"/>
  </r>
  <r>
    <s v="Singapore"/>
    <x v="4"/>
    <s v="SG1"/>
    <m/>
    <x v="0"/>
    <x v="4"/>
    <x v="3"/>
    <x v="5"/>
    <x v="0"/>
    <x v="0"/>
    <x v="0"/>
    <m/>
    <x v="0"/>
    <x v="0"/>
    <n v="0.70105499999999998"/>
    <m/>
    <x v="1"/>
    <x v="3"/>
    <x v="0"/>
    <x v="1"/>
    <x v="1"/>
  </r>
  <r>
    <s v="Singapore"/>
    <x v="2"/>
    <s v="SG3"/>
    <m/>
    <x v="5"/>
    <x v="3"/>
    <x v="4"/>
    <x v="1"/>
    <x v="0"/>
    <x v="0"/>
    <x v="0"/>
    <m/>
    <x v="0"/>
    <x v="0"/>
    <n v="-2.1031650000000002"/>
    <m/>
    <x v="4"/>
    <x v="0"/>
    <x v="0"/>
    <x v="2"/>
    <x v="2"/>
  </r>
  <r>
    <s v="Singapore"/>
    <x v="0"/>
    <s v="SG1"/>
    <m/>
    <x v="3"/>
    <x v="3"/>
    <x v="2"/>
    <x v="1"/>
    <x v="0"/>
    <x v="0"/>
    <x v="0"/>
    <m/>
    <x v="0"/>
    <x v="0"/>
    <n v="-0.15579000000000001"/>
    <m/>
    <x v="0"/>
    <x v="0"/>
    <x v="0"/>
    <x v="3"/>
    <x v="0"/>
  </r>
  <r>
    <s v="Singapore"/>
    <x v="2"/>
    <s v="SG3"/>
    <m/>
    <x v="0"/>
    <x v="4"/>
    <x v="4"/>
    <x v="3"/>
    <x v="0"/>
    <x v="0"/>
    <x v="0"/>
    <m/>
    <x v="0"/>
    <x v="0"/>
    <n v="0.74467620000000001"/>
    <m/>
    <x v="1"/>
    <x v="2"/>
    <x v="0"/>
    <x v="2"/>
    <x v="0"/>
  </r>
  <r>
    <s v="Singapore"/>
    <x v="2"/>
    <s v="SG3"/>
    <m/>
    <x v="3"/>
    <x v="2"/>
    <x v="2"/>
    <x v="2"/>
    <x v="0"/>
    <x v="0"/>
    <x v="0"/>
    <m/>
    <x v="0"/>
    <x v="0"/>
    <n v="0.20252700000000001"/>
    <m/>
    <x v="1"/>
    <x v="1"/>
    <x v="0"/>
    <x v="0"/>
    <x v="2"/>
  </r>
  <r>
    <s v="Singapore"/>
    <x v="2"/>
    <s v="SG1"/>
    <m/>
    <x v="4"/>
    <x v="4"/>
    <x v="3"/>
    <x v="1"/>
    <x v="0"/>
    <x v="0"/>
    <x v="0"/>
    <m/>
    <x v="0"/>
    <x v="0"/>
    <n v="-0.233685"/>
    <m/>
    <x v="0"/>
    <x v="1"/>
    <x v="0"/>
    <x v="1"/>
    <x v="1"/>
  </r>
  <r>
    <s v="Singapore"/>
    <x v="1"/>
    <s v="SG4"/>
    <m/>
    <x v="1"/>
    <x v="2"/>
    <x v="3"/>
    <x v="3"/>
    <x v="0"/>
    <x v="0"/>
    <x v="0"/>
    <m/>
    <x v="0"/>
    <x v="0"/>
    <n v="0.37389600000000001"/>
    <m/>
    <x v="1"/>
    <x v="2"/>
    <x v="0"/>
    <x v="5"/>
    <x v="0"/>
  </r>
  <r>
    <s v="Singapore"/>
    <x v="3"/>
    <s v="SG4"/>
    <m/>
    <x v="1"/>
    <x v="3"/>
    <x v="3"/>
    <x v="4"/>
    <x v="0"/>
    <x v="0"/>
    <x v="0"/>
    <m/>
    <x v="0"/>
    <x v="0"/>
    <n v="-0.31158000000000002"/>
    <m/>
    <x v="0"/>
    <x v="1"/>
    <x v="0"/>
    <x v="3"/>
    <x v="0"/>
  </r>
  <r>
    <s v="Singapore"/>
    <x v="4"/>
    <s v="SG4"/>
    <m/>
    <x v="0"/>
    <x v="1"/>
    <x v="0"/>
    <x v="2"/>
    <x v="0"/>
    <x v="0"/>
    <x v="0"/>
    <m/>
    <x v="0"/>
    <x v="0"/>
    <n v="1.5423210000000001"/>
    <m/>
    <x v="1"/>
    <x v="0"/>
    <x v="0"/>
    <x v="0"/>
    <x v="1"/>
  </r>
  <r>
    <s v="Singapore"/>
    <x v="2"/>
    <s v="SG4"/>
    <m/>
    <x v="0"/>
    <x v="3"/>
    <x v="0"/>
    <x v="5"/>
    <x v="0"/>
    <x v="0"/>
    <x v="0"/>
    <m/>
    <x v="0"/>
    <x v="0"/>
    <n v="-0.280422"/>
    <m/>
    <x v="0"/>
    <x v="3"/>
    <x v="0"/>
    <x v="0"/>
    <x v="1"/>
  </r>
  <r>
    <s v="Singapore"/>
    <x v="4"/>
    <s v="SG1"/>
    <m/>
    <x v="2"/>
    <x v="4"/>
    <x v="3"/>
    <x v="2"/>
    <x v="0"/>
    <x v="0"/>
    <x v="0"/>
    <m/>
    <x v="0"/>
    <x v="0"/>
    <n v="-0.15579000000000001"/>
    <m/>
    <x v="0"/>
    <x v="0"/>
    <x v="0"/>
    <x v="4"/>
    <x v="1"/>
  </r>
  <r>
    <s v="Singapore"/>
    <x v="4"/>
    <s v="SG1"/>
    <m/>
    <x v="5"/>
    <x v="0"/>
    <x v="0"/>
    <x v="0"/>
    <x v="0"/>
    <x v="0"/>
    <x v="0"/>
    <m/>
    <x v="0"/>
    <x v="0"/>
    <n v="-54.962712000000003"/>
    <m/>
    <x v="2"/>
    <x v="0"/>
    <x v="0"/>
    <x v="2"/>
    <x v="1"/>
  </r>
  <r>
    <s v="Singapore"/>
    <x v="1"/>
    <s v="SG2"/>
    <m/>
    <x v="0"/>
    <x v="4"/>
    <x v="2"/>
    <x v="0"/>
    <x v="0"/>
    <x v="0"/>
    <x v="0"/>
    <m/>
    <x v="0"/>
    <x v="0"/>
    <n v="-4.855210929000001"/>
    <m/>
    <x v="9"/>
    <x v="1"/>
    <x v="0"/>
    <x v="0"/>
    <x v="1"/>
  </r>
  <r>
    <s v="Singapore"/>
    <x v="3"/>
    <s v="SG2"/>
    <m/>
    <x v="1"/>
    <x v="0"/>
    <x v="3"/>
    <x v="1"/>
    <x v="0"/>
    <x v="0"/>
    <x v="0"/>
    <m/>
    <x v="0"/>
    <x v="0"/>
    <n v="-0.12463200000000001"/>
    <m/>
    <x v="0"/>
    <x v="0"/>
    <x v="0"/>
    <x v="2"/>
    <x v="0"/>
  </r>
  <r>
    <s v="Singapore"/>
    <x v="2"/>
    <s v="SG1"/>
    <m/>
    <x v="4"/>
    <x v="4"/>
    <x v="1"/>
    <x v="0"/>
    <x v="0"/>
    <x v="0"/>
    <x v="0"/>
    <m/>
    <x v="0"/>
    <x v="0"/>
    <n v="2.96001"/>
    <m/>
    <x v="1"/>
    <x v="0"/>
    <x v="0"/>
    <x v="0"/>
    <x v="0"/>
  </r>
  <r>
    <s v="Singapore"/>
    <x v="3"/>
    <s v="SG3"/>
    <m/>
    <x v="4"/>
    <x v="4"/>
    <x v="0"/>
    <x v="2"/>
    <x v="0"/>
    <x v="0"/>
    <x v="0"/>
    <m/>
    <x v="0"/>
    <x v="0"/>
    <n v="-1.5579000000000001E-2"/>
    <m/>
    <x v="0"/>
    <x v="3"/>
    <x v="0"/>
    <x v="5"/>
    <x v="1"/>
  </r>
  <r>
    <s v="Singapore"/>
    <x v="5"/>
    <s v="SG2"/>
    <m/>
    <x v="1"/>
    <x v="3"/>
    <x v="0"/>
    <x v="2"/>
    <x v="0"/>
    <x v="0"/>
    <x v="0"/>
    <m/>
    <x v="0"/>
    <x v="0"/>
    <n v="-0.32715900000000003"/>
    <m/>
    <x v="0"/>
    <x v="2"/>
    <x v="0"/>
    <x v="1"/>
    <x v="2"/>
  </r>
  <r>
    <s v="Singapore"/>
    <x v="3"/>
    <s v="SG2"/>
    <m/>
    <x v="2"/>
    <x v="3"/>
    <x v="1"/>
    <x v="4"/>
    <x v="0"/>
    <x v="0"/>
    <x v="0"/>
    <m/>
    <x v="0"/>
    <x v="0"/>
    <n v="-0.20252700000000001"/>
    <m/>
    <x v="8"/>
    <x v="1"/>
    <x v="0"/>
    <x v="4"/>
    <x v="1"/>
  </r>
  <r>
    <s v="Singapore"/>
    <x v="4"/>
    <s v="SG3"/>
    <m/>
    <x v="2"/>
    <x v="0"/>
    <x v="0"/>
    <x v="5"/>
    <x v="0"/>
    <x v="0"/>
    <x v="0"/>
    <m/>
    <x v="0"/>
    <x v="0"/>
    <n v="56.863350000000004"/>
    <m/>
    <x v="7"/>
    <x v="2"/>
    <x v="0"/>
    <x v="1"/>
    <x v="1"/>
  </r>
  <r>
    <s v="Singapore"/>
    <x v="0"/>
    <s v="SG2"/>
    <m/>
    <x v="4"/>
    <x v="3"/>
    <x v="3"/>
    <x v="3"/>
    <x v="0"/>
    <x v="0"/>
    <x v="0"/>
    <m/>
    <x v="0"/>
    <x v="0"/>
    <n v="-0.77895000000000003"/>
    <m/>
    <x v="4"/>
    <x v="2"/>
    <x v="0"/>
    <x v="1"/>
    <x v="0"/>
  </r>
  <r>
    <s v="Singapore"/>
    <x v="1"/>
    <s v="SG4"/>
    <m/>
    <x v="1"/>
    <x v="3"/>
    <x v="0"/>
    <x v="4"/>
    <x v="0"/>
    <x v="0"/>
    <x v="0"/>
    <m/>
    <x v="0"/>
    <x v="0"/>
    <n v="-3.8947500000000003E-2"/>
    <m/>
    <x v="0"/>
    <x v="0"/>
    <x v="0"/>
    <x v="1"/>
    <x v="2"/>
  </r>
  <r>
    <s v="Singapore"/>
    <x v="3"/>
    <s v="SG3"/>
    <m/>
    <x v="2"/>
    <x v="0"/>
    <x v="4"/>
    <x v="1"/>
    <x v="0"/>
    <x v="0"/>
    <x v="0"/>
    <m/>
    <x v="0"/>
    <x v="0"/>
    <n v="1.3008465"/>
    <m/>
    <x v="1"/>
    <x v="0"/>
    <x v="0"/>
    <x v="1"/>
    <x v="2"/>
  </r>
  <r>
    <s v="Singapore"/>
    <x v="4"/>
    <s v="SG4"/>
    <m/>
    <x v="1"/>
    <x v="3"/>
    <x v="1"/>
    <x v="5"/>
    <x v="0"/>
    <x v="0"/>
    <x v="0"/>
    <m/>
    <x v="0"/>
    <x v="0"/>
    <n v="-1.0801232280000002"/>
    <m/>
    <x v="1"/>
    <x v="0"/>
    <x v="0"/>
    <x v="1"/>
    <x v="2"/>
  </r>
  <r>
    <s v="Singapore"/>
    <x v="5"/>
    <s v="SG3"/>
    <m/>
    <x v="5"/>
    <x v="4"/>
    <x v="4"/>
    <x v="5"/>
    <x v="0"/>
    <x v="0"/>
    <x v="0"/>
    <m/>
    <x v="0"/>
    <x v="0"/>
    <n v="-0.15579000000000001"/>
    <m/>
    <x v="8"/>
    <x v="2"/>
    <x v="0"/>
    <x v="0"/>
    <x v="1"/>
  </r>
  <r>
    <s v="Singapore"/>
    <x v="1"/>
    <s v="SG4"/>
    <m/>
    <x v="3"/>
    <x v="3"/>
    <x v="4"/>
    <x v="2"/>
    <x v="0"/>
    <x v="0"/>
    <x v="0"/>
    <m/>
    <x v="0"/>
    <x v="0"/>
    <n v="-4.6737000000000001E-2"/>
    <m/>
    <x v="0"/>
    <x v="2"/>
    <x v="0"/>
    <x v="0"/>
    <x v="1"/>
  </r>
  <r>
    <s v="Singapore"/>
    <x v="2"/>
    <s v="SG4"/>
    <m/>
    <x v="3"/>
    <x v="0"/>
    <x v="4"/>
    <x v="4"/>
    <x v="0"/>
    <x v="0"/>
    <x v="0"/>
    <m/>
    <x v="0"/>
    <x v="0"/>
    <n v="-0.17136900000000002"/>
    <m/>
    <x v="8"/>
    <x v="1"/>
    <x v="0"/>
    <x v="0"/>
    <x v="2"/>
  </r>
  <r>
    <s v="Singapore"/>
    <x v="3"/>
    <s v="SG4"/>
    <m/>
    <x v="3"/>
    <x v="1"/>
    <x v="3"/>
    <x v="5"/>
    <x v="0"/>
    <x v="0"/>
    <x v="0"/>
    <m/>
    <x v="0"/>
    <x v="0"/>
    <n v="3.1781160000000002"/>
    <m/>
    <x v="4"/>
    <x v="2"/>
    <x v="0"/>
    <x v="4"/>
    <x v="2"/>
  </r>
  <r>
    <s v="Singapore"/>
    <x v="1"/>
    <s v="SG1"/>
    <m/>
    <x v="4"/>
    <x v="2"/>
    <x v="0"/>
    <x v="2"/>
    <x v="0"/>
    <x v="0"/>
    <x v="0"/>
    <m/>
    <x v="0"/>
    <x v="0"/>
    <n v="-0.140211"/>
    <m/>
    <x v="0"/>
    <x v="2"/>
    <x v="0"/>
    <x v="1"/>
    <x v="1"/>
  </r>
  <r>
    <s v="Singapore"/>
    <x v="4"/>
    <s v="SG1"/>
    <m/>
    <x v="2"/>
    <x v="2"/>
    <x v="4"/>
    <x v="4"/>
    <x v="0"/>
    <x v="0"/>
    <x v="0"/>
    <m/>
    <x v="0"/>
    <x v="0"/>
    <n v="-0.17136900000000002"/>
    <m/>
    <x v="8"/>
    <x v="2"/>
    <x v="0"/>
    <x v="0"/>
    <x v="2"/>
  </r>
  <r>
    <s v="Singapore"/>
    <x v="1"/>
    <s v="SG3"/>
    <m/>
    <x v="5"/>
    <x v="4"/>
    <x v="4"/>
    <x v="2"/>
    <x v="0"/>
    <x v="0"/>
    <x v="0"/>
    <m/>
    <x v="0"/>
    <x v="0"/>
    <n v="-0.46737000000000001"/>
    <m/>
    <x v="4"/>
    <x v="0"/>
    <x v="0"/>
    <x v="4"/>
    <x v="2"/>
  </r>
  <r>
    <s v="Singapore"/>
    <x v="2"/>
    <s v="SG2"/>
    <m/>
    <x v="1"/>
    <x v="2"/>
    <x v="4"/>
    <x v="3"/>
    <x v="0"/>
    <x v="0"/>
    <x v="0"/>
    <m/>
    <x v="0"/>
    <x v="0"/>
    <n v="-0.1838322"/>
    <m/>
    <x v="4"/>
    <x v="1"/>
    <x v="0"/>
    <x v="3"/>
    <x v="0"/>
  </r>
  <r>
    <s v="Singapore"/>
    <x v="3"/>
    <s v="SG3"/>
    <m/>
    <x v="2"/>
    <x v="0"/>
    <x v="3"/>
    <x v="4"/>
    <x v="0"/>
    <x v="0"/>
    <x v="0"/>
    <m/>
    <x v="0"/>
    <x v="0"/>
    <n v="0.21031650000000002"/>
    <m/>
    <x v="1"/>
    <x v="0"/>
    <x v="0"/>
    <x v="3"/>
    <x v="2"/>
  </r>
  <r>
    <s v="Singapore"/>
    <x v="3"/>
    <s v="SG4"/>
    <m/>
    <x v="5"/>
    <x v="4"/>
    <x v="4"/>
    <x v="4"/>
    <x v="0"/>
    <x v="0"/>
    <x v="0"/>
    <m/>
    <x v="0"/>
    <x v="0"/>
    <n v="-0.74779200000000001"/>
    <m/>
    <x v="4"/>
    <x v="3"/>
    <x v="0"/>
    <x v="4"/>
    <x v="0"/>
  </r>
  <r>
    <s v="Singapore"/>
    <x v="2"/>
    <s v="SG2"/>
    <m/>
    <x v="4"/>
    <x v="2"/>
    <x v="1"/>
    <x v="4"/>
    <x v="0"/>
    <x v="0"/>
    <x v="0"/>
    <m/>
    <x v="0"/>
    <x v="0"/>
    <n v="-107.18352"/>
    <m/>
    <x v="2"/>
    <x v="2"/>
    <x v="0"/>
    <x v="4"/>
    <x v="0"/>
  </r>
  <r>
    <s v="Singapore"/>
    <x v="4"/>
    <s v="SG1"/>
    <m/>
    <x v="5"/>
    <x v="1"/>
    <x v="2"/>
    <x v="1"/>
    <x v="0"/>
    <x v="0"/>
    <x v="0"/>
    <m/>
    <x v="0"/>
    <x v="0"/>
    <n v="-4.6737000000000002"/>
    <m/>
    <x v="4"/>
    <x v="2"/>
    <x v="0"/>
    <x v="2"/>
    <x v="2"/>
  </r>
  <r>
    <s v="Singapore"/>
    <x v="5"/>
    <s v="SG2"/>
    <m/>
    <x v="4"/>
    <x v="0"/>
    <x v="2"/>
    <x v="4"/>
    <x v="0"/>
    <x v="0"/>
    <x v="0"/>
    <m/>
    <x v="0"/>
    <x v="0"/>
    <n v="-1.5579000000000001E-2"/>
    <m/>
    <x v="0"/>
    <x v="2"/>
    <x v="0"/>
    <x v="3"/>
    <x v="1"/>
  </r>
  <r>
    <s v="Singapore"/>
    <x v="2"/>
    <s v="SG4"/>
    <m/>
    <x v="4"/>
    <x v="1"/>
    <x v="0"/>
    <x v="5"/>
    <x v="0"/>
    <x v="0"/>
    <x v="0"/>
    <m/>
    <x v="0"/>
    <x v="0"/>
    <n v="-0.10335108600000001"/>
    <m/>
    <x v="0"/>
    <x v="2"/>
    <x v="0"/>
    <x v="2"/>
    <x v="2"/>
  </r>
  <r>
    <s v="Singapore"/>
    <x v="4"/>
    <s v="SG4"/>
    <m/>
    <x v="3"/>
    <x v="4"/>
    <x v="0"/>
    <x v="4"/>
    <x v="0"/>
    <x v="0"/>
    <x v="0"/>
    <m/>
    <x v="0"/>
    <x v="0"/>
    <n v="-0.43621200000000004"/>
    <m/>
    <x v="0"/>
    <x v="2"/>
    <x v="0"/>
    <x v="3"/>
    <x v="0"/>
  </r>
  <r>
    <s v="Singapore"/>
    <x v="1"/>
    <s v="SG1"/>
    <m/>
    <x v="4"/>
    <x v="3"/>
    <x v="1"/>
    <x v="5"/>
    <x v="0"/>
    <x v="0"/>
    <x v="0"/>
    <m/>
    <x v="0"/>
    <x v="0"/>
    <n v="2.601693"/>
    <m/>
    <x v="1"/>
    <x v="3"/>
    <x v="0"/>
    <x v="3"/>
    <x v="2"/>
  </r>
  <r>
    <s v="Singapore"/>
    <x v="1"/>
    <s v="SG2"/>
    <m/>
    <x v="2"/>
    <x v="0"/>
    <x v="3"/>
    <x v="5"/>
    <x v="0"/>
    <x v="0"/>
    <x v="0"/>
    <m/>
    <x v="0"/>
    <x v="0"/>
    <n v="-0.43621200000000004"/>
    <m/>
    <x v="0"/>
    <x v="0"/>
    <x v="0"/>
    <x v="2"/>
    <x v="0"/>
  </r>
  <r>
    <s v="Singapore"/>
    <x v="2"/>
    <s v="SG2"/>
    <m/>
    <x v="0"/>
    <x v="2"/>
    <x v="2"/>
    <x v="2"/>
    <x v="0"/>
    <x v="0"/>
    <x v="0"/>
    <m/>
    <x v="0"/>
    <x v="0"/>
    <n v="4.36212"/>
    <m/>
    <x v="1"/>
    <x v="0"/>
    <x v="0"/>
    <x v="1"/>
    <x v="0"/>
  </r>
  <r>
    <s v="Singapore"/>
    <x v="1"/>
    <s v="SG3"/>
    <m/>
    <x v="0"/>
    <x v="1"/>
    <x v="1"/>
    <x v="5"/>
    <x v="0"/>
    <x v="0"/>
    <x v="0"/>
    <m/>
    <x v="0"/>
    <x v="0"/>
    <n v="-0.24926400000000001"/>
    <m/>
    <x v="0"/>
    <x v="0"/>
    <x v="0"/>
    <x v="4"/>
    <x v="0"/>
  </r>
  <r>
    <s v="Singapore"/>
    <x v="5"/>
    <s v="SG1"/>
    <m/>
    <x v="4"/>
    <x v="4"/>
    <x v="1"/>
    <x v="2"/>
    <x v="0"/>
    <x v="0"/>
    <x v="0"/>
    <m/>
    <x v="0"/>
    <x v="0"/>
    <n v="1.059372"/>
    <m/>
    <x v="1"/>
    <x v="2"/>
    <x v="0"/>
    <x v="1"/>
    <x v="2"/>
  </r>
  <r>
    <s v="Singapore"/>
    <x v="5"/>
    <s v="SG1"/>
    <m/>
    <x v="0"/>
    <x v="0"/>
    <x v="3"/>
    <x v="4"/>
    <x v="0"/>
    <x v="0"/>
    <x v="0"/>
    <m/>
    <x v="0"/>
    <x v="0"/>
    <n v="2.0252700000000002E-2"/>
    <m/>
    <x v="2"/>
    <x v="2"/>
    <x v="0"/>
    <x v="0"/>
    <x v="0"/>
  </r>
  <r>
    <s v="Singapore"/>
    <x v="3"/>
    <s v="SG2"/>
    <m/>
    <x v="2"/>
    <x v="2"/>
    <x v="2"/>
    <x v="1"/>
    <x v="0"/>
    <x v="0"/>
    <x v="0"/>
    <m/>
    <x v="0"/>
    <x v="0"/>
    <n v="1.4941818900000001"/>
    <m/>
    <x v="1"/>
    <x v="1"/>
    <x v="0"/>
    <x v="3"/>
    <x v="0"/>
  </r>
  <r>
    <s v="Singapore"/>
    <x v="4"/>
    <s v="SG1"/>
    <m/>
    <x v="1"/>
    <x v="4"/>
    <x v="4"/>
    <x v="1"/>
    <x v="0"/>
    <x v="0"/>
    <x v="0"/>
    <m/>
    <x v="0"/>
    <x v="0"/>
    <n v="-0.12463200000000001"/>
    <m/>
    <x v="0"/>
    <x v="1"/>
    <x v="0"/>
    <x v="2"/>
    <x v="0"/>
  </r>
  <r>
    <s v="Singapore"/>
    <x v="4"/>
    <s v="SG4"/>
    <m/>
    <x v="2"/>
    <x v="4"/>
    <x v="0"/>
    <x v="3"/>
    <x v="0"/>
    <x v="0"/>
    <x v="0"/>
    <m/>
    <x v="0"/>
    <x v="0"/>
    <n v="1.307934945"/>
    <m/>
    <x v="1"/>
    <x v="0"/>
    <x v="0"/>
    <x v="2"/>
    <x v="2"/>
  </r>
  <r>
    <s v="Singapore"/>
    <x v="2"/>
    <s v="SG1"/>
    <m/>
    <x v="4"/>
    <x v="3"/>
    <x v="3"/>
    <x v="5"/>
    <x v="0"/>
    <x v="0"/>
    <x v="0"/>
    <m/>
    <x v="0"/>
    <x v="0"/>
    <n v="0.46737000000000001"/>
    <m/>
    <x v="7"/>
    <x v="1"/>
    <x v="0"/>
    <x v="1"/>
    <x v="1"/>
  </r>
  <r>
    <s v="Singapore"/>
    <x v="5"/>
    <s v="SG4"/>
    <m/>
    <x v="5"/>
    <x v="2"/>
    <x v="0"/>
    <x v="4"/>
    <x v="0"/>
    <x v="0"/>
    <x v="0"/>
    <m/>
    <x v="0"/>
    <x v="0"/>
    <n v="0.74779200000000001"/>
    <m/>
    <x v="1"/>
    <x v="3"/>
    <x v="0"/>
    <x v="4"/>
    <x v="1"/>
  </r>
  <r>
    <s v="Singapore"/>
    <x v="2"/>
    <s v="SG4"/>
    <m/>
    <x v="0"/>
    <x v="2"/>
    <x v="1"/>
    <x v="0"/>
    <x v="0"/>
    <x v="0"/>
    <x v="0"/>
    <m/>
    <x v="0"/>
    <x v="0"/>
    <n v="-0.38947500000000002"/>
    <m/>
    <x v="4"/>
    <x v="0"/>
    <x v="0"/>
    <x v="4"/>
    <x v="2"/>
  </r>
  <r>
    <s v="Singapore"/>
    <x v="2"/>
    <s v="SG1"/>
    <m/>
    <x v="3"/>
    <x v="1"/>
    <x v="0"/>
    <x v="2"/>
    <x v="0"/>
    <x v="0"/>
    <x v="0"/>
    <m/>
    <x v="0"/>
    <x v="0"/>
    <n v="9.2757366000000008E-2"/>
    <m/>
    <x v="8"/>
    <x v="3"/>
    <x v="0"/>
    <x v="5"/>
    <x v="0"/>
  </r>
  <r>
    <s v="Singapore"/>
    <x v="1"/>
    <s v="SG2"/>
    <m/>
    <x v="5"/>
    <x v="0"/>
    <x v="0"/>
    <x v="1"/>
    <x v="0"/>
    <x v="0"/>
    <x v="0"/>
    <m/>
    <x v="0"/>
    <x v="0"/>
    <n v="-0.62316000000000005"/>
    <m/>
    <x v="4"/>
    <x v="3"/>
    <x v="0"/>
    <x v="4"/>
    <x v="0"/>
  </r>
  <r>
    <s v="Singapore"/>
    <x v="0"/>
    <s v="SG4"/>
    <m/>
    <x v="2"/>
    <x v="1"/>
    <x v="0"/>
    <x v="5"/>
    <x v="0"/>
    <x v="0"/>
    <x v="0"/>
    <m/>
    <x v="0"/>
    <x v="0"/>
    <n v="1.0801232280000002"/>
    <m/>
    <x v="1"/>
    <x v="3"/>
    <x v="0"/>
    <x v="3"/>
    <x v="1"/>
  </r>
  <r>
    <s v="Singapore"/>
    <x v="3"/>
    <s v="SG3"/>
    <m/>
    <x v="0"/>
    <x v="2"/>
    <x v="0"/>
    <x v="0"/>
    <x v="0"/>
    <x v="0"/>
    <x v="0"/>
    <m/>
    <x v="0"/>
    <x v="0"/>
    <n v="-0.42063300000000003"/>
    <m/>
    <x v="4"/>
    <x v="2"/>
    <x v="0"/>
    <x v="5"/>
    <x v="1"/>
  </r>
  <r>
    <s v="Singapore"/>
    <x v="4"/>
    <s v="SG4"/>
    <m/>
    <x v="3"/>
    <x v="4"/>
    <x v="2"/>
    <x v="5"/>
    <x v="0"/>
    <x v="0"/>
    <x v="0"/>
    <m/>
    <x v="0"/>
    <x v="0"/>
    <n v="-2.5633219230000002"/>
    <m/>
    <x v="0"/>
    <x v="2"/>
    <x v="0"/>
    <x v="5"/>
    <x v="2"/>
  </r>
  <r>
    <s v="Singapore"/>
    <x v="1"/>
    <s v="SG4"/>
    <m/>
    <x v="3"/>
    <x v="2"/>
    <x v="2"/>
    <x v="3"/>
    <x v="0"/>
    <x v="0"/>
    <x v="0"/>
    <m/>
    <x v="0"/>
    <x v="0"/>
    <n v="9.0950202000000008E-2"/>
    <m/>
    <x v="8"/>
    <x v="0"/>
    <x v="0"/>
    <x v="5"/>
    <x v="2"/>
  </r>
  <r>
    <s v="Singapore"/>
    <x v="0"/>
    <s v="SG1"/>
    <m/>
    <x v="4"/>
    <x v="0"/>
    <x v="1"/>
    <x v="4"/>
    <x v="0"/>
    <x v="0"/>
    <x v="0"/>
    <m/>
    <x v="0"/>
    <x v="0"/>
    <n v="-2.33685E-2"/>
    <m/>
    <x v="0"/>
    <x v="2"/>
    <x v="0"/>
    <x v="2"/>
    <x v="1"/>
  </r>
  <r>
    <s v="Singapore"/>
    <x v="5"/>
    <s v="SG4"/>
    <m/>
    <x v="2"/>
    <x v="1"/>
    <x v="0"/>
    <x v="1"/>
    <x v="0"/>
    <x v="0"/>
    <x v="0"/>
    <m/>
    <x v="0"/>
    <x v="0"/>
    <n v="-7.7895000000000006E-2"/>
    <m/>
    <x v="1"/>
    <x v="0"/>
    <x v="0"/>
    <x v="4"/>
    <x v="1"/>
  </r>
  <r>
    <s v="Singapore"/>
    <x v="3"/>
    <s v="SG2"/>
    <m/>
    <x v="4"/>
    <x v="1"/>
    <x v="3"/>
    <x v="1"/>
    <x v="0"/>
    <x v="0"/>
    <x v="0"/>
    <m/>
    <x v="0"/>
    <x v="0"/>
    <n v="0.42490164600000002"/>
    <m/>
    <x v="1"/>
    <x v="3"/>
    <x v="0"/>
    <x v="3"/>
    <x v="2"/>
  </r>
  <r>
    <s v="Singapore"/>
    <x v="4"/>
    <s v="SG2"/>
    <m/>
    <x v="4"/>
    <x v="2"/>
    <x v="2"/>
    <x v="4"/>
    <x v="0"/>
    <x v="0"/>
    <x v="0"/>
    <m/>
    <x v="0"/>
    <x v="0"/>
    <n v="-1.5579000000000001E-2"/>
    <m/>
    <x v="0"/>
    <x v="1"/>
    <x v="0"/>
    <x v="1"/>
    <x v="0"/>
  </r>
  <r>
    <s v="Singapore"/>
    <x v="4"/>
    <s v="SG1"/>
    <m/>
    <x v="0"/>
    <x v="0"/>
    <x v="1"/>
    <x v="3"/>
    <x v="0"/>
    <x v="0"/>
    <x v="0"/>
    <m/>
    <x v="0"/>
    <x v="0"/>
    <n v="-4.6737000000000001E-2"/>
    <m/>
    <x v="0"/>
    <x v="3"/>
    <x v="0"/>
    <x v="2"/>
    <x v="2"/>
  </r>
  <r>
    <s v="Singapore"/>
    <x v="0"/>
    <s v="SG4"/>
    <m/>
    <x v="0"/>
    <x v="1"/>
    <x v="2"/>
    <x v="0"/>
    <x v="0"/>
    <x v="0"/>
    <x v="0"/>
    <m/>
    <x v="0"/>
    <x v="0"/>
    <n v="-4.6737000000000001E-2"/>
    <m/>
    <x v="0"/>
    <x v="1"/>
    <x v="0"/>
    <x v="5"/>
    <x v="1"/>
  </r>
  <r>
    <s v="Singapore"/>
    <x v="2"/>
    <s v="SG1"/>
    <m/>
    <x v="1"/>
    <x v="1"/>
    <x v="3"/>
    <x v="1"/>
    <x v="0"/>
    <x v="0"/>
    <x v="0"/>
    <m/>
    <x v="0"/>
    <x v="0"/>
    <n v="0.11216880000000001"/>
    <m/>
    <x v="6"/>
    <x v="3"/>
    <x v="0"/>
    <x v="4"/>
    <x v="2"/>
  </r>
  <r>
    <s v="Singapore"/>
    <x v="2"/>
    <s v="SG3"/>
    <m/>
    <x v="5"/>
    <x v="1"/>
    <x v="0"/>
    <x v="2"/>
    <x v="0"/>
    <x v="0"/>
    <x v="0"/>
    <m/>
    <x v="0"/>
    <x v="0"/>
    <n v="0.1838322"/>
    <m/>
    <x v="4"/>
    <x v="3"/>
    <x v="0"/>
    <x v="3"/>
    <x v="2"/>
  </r>
  <r>
    <s v="Singapore"/>
    <x v="1"/>
    <s v="SG1"/>
    <m/>
    <x v="5"/>
    <x v="0"/>
    <x v="2"/>
    <x v="1"/>
    <x v="0"/>
    <x v="0"/>
    <x v="0"/>
    <m/>
    <x v="0"/>
    <x v="0"/>
    <n v="-0.233685"/>
    <m/>
    <x v="0"/>
    <x v="1"/>
    <x v="0"/>
    <x v="5"/>
    <x v="2"/>
  </r>
  <r>
    <s v="Singapore"/>
    <x v="0"/>
    <s v="SG3"/>
    <m/>
    <x v="2"/>
    <x v="4"/>
    <x v="3"/>
    <x v="4"/>
    <x v="0"/>
    <x v="0"/>
    <x v="0"/>
    <m/>
    <x v="0"/>
    <x v="0"/>
    <n v="-0.56863350000000001"/>
    <m/>
    <x v="0"/>
    <x v="0"/>
    <x v="0"/>
    <x v="4"/>
    <x v="2"/>
  </r>
  <r>
    <s v="Singapore"/>
    <x v="3"/>
    <s v="SG2"/>
    <m/>
    <x v="2"/>
    <x v="2"/>
    <x v="0"/>
    <x v="0"/>
    <x v="0"/>
    <x v="0"/>
    <x v="0"/>
    <m/>
    <x v="0"/>
    <x v="0"/>
    <n v="0.98147700000000004"/>
    <m/>
    <x v="1"/>
    <x v="1"/>
    <x v="0"/>
    <x v="3"/>
    <x v="1"/>
  </r>
  <r>
    <s v="Singapore"/>
    <x v="3"/>
    <s v="SG1"/>
    <m/>
    <x v="4"/>
    <x v="3"/>
    <x v="3"/>
    <x v="3"/>
    <x v="0"/>
    <x v="0"/>
    <x v="0"/>
    <m/>
    <x v="0"/>
    <x v="0"/>
    <n v="-0.21810600000000002"/>
    <m/>
    <x v="1"/>
    <x v="3"/>
    <x v="0"/>
    <x v="3"/>
    <x v="2"/>
  </r>
  <r>
    <s v="Singapore"/>
    <x v="4"/>
    <s v="SG2"/>
    <m/>
    <x v="2"/>
    <x v="2"/>
    <x v="3"/>
    <x v="2"/>
    <x v="0"/>
    <x v="0"/>
    <x v="0"/>
    <m/>
    <x v="0"/>
    <x v="0"/>
    <n v="-0.12835538100000002"/>
    <m/>
    <x v="4"/>
    <x v="1"/>
    <x v="0"/>
    <x v="3"/>
    <x v="2"/>
  </r>
  <r>
    <s v="Singapore"/>
    <x v="2"/>
    <s v="SG2"/>
    <m/>
    <x v="0"/>
    <x v="1"/>
    <x v="4"/>
    <x v="1"/>
    <x v="0"/>
    <x v="0"/>
    <x v="0"/>
    <m/>
    <x v="0"/>
    <x v="0"/>
    <n v="-1.5579000000000001E-2"/>
    <m/>
    <x v="0"/>
    <x v="3"/>
    <x v="0"/>
    <x v="2"/>
    <x v="0"/>
  </r>
  <r>
    <s v="Singapore"/>
    <x v="5"/>
    <s v="SG2"/>
    <m/>
    <x v="5"/>
    <x v="1"/>
    <x v="2"/>
    <x v="2"/>
    <x v="0"/>
    <x v="0"/>
    <x v="0"/>
    <m/>
    <x v="0"/>
    <x v="0"/>
    <n v="-6.6169777229999998"/>
    <m/>
    <x v="8"/>
    <x v="3"/>
    <x v="0"/>
    <x v="4"/>
    <x v="1"/>
  </r>
  <r>
    <s v="Singapore"/>
    <x v="4"/>
    <s v="SG4"/>
    <m/>
    <x v="0"/>
    <x v="0"/>
    <x v="2"/>
    <x v="2"/>
    <x v="0"/>
    <x v="0"/>
    <x v="0"/>
    <m/>
    <x v="0"/>
    <x v="0"/>
    <n v="1.1365659450000001"/>
    <m/>
    <x v="1"/>
    <x v="3"/>
    <x v="0"/>
    <x v="0"/>
    <x v="0"/>
  </r>
  <r>
    <s v="Singapore"/>
    <x v="0"/>
    <s v="SG2"/>
    <m/>
    <x v="2"/>
    <x v="2"/>
    <x v="4"/>
    <x v="0"/>
    <x v="0"/>
    <x v="0"/>
    <x v="0"/>
    <m/>
    <x v="0"/>
    <x v="0"/>
    <n v="-4.6737000000000001E-2"/>
    <m/>
    <x v="0"/>
    <x v="1"/>
    <x v="0"/>
    <x v="2"/>
    <x v="2"/>
  </r>
  <r>
    <s v="Singapore"/>
    <x v="3"/>
    <s v="SG4"/>
    <m/>
    <x v="1"/>
    <x v="3"/>
    <x v="4"/>
    <x v="3"/>
    <x v="0"/>
    <x v="0"/>
    <x v="0"/>
    <m/>
    <x v="0"/>
    <x v="0"/>
    <n v="-3.1158000000000002E-2"/>
    <m/>
    <x v="0"/>
    <x v="3"/>
    <x v="0"/>
    <x v="5"/>
    <x v="0"/>
  </r>
  <r>
    <s v="Singapore"/>
    <x v="5"/>
    <s v="SG4"/>
    <m/>
    <x v="2"/>
    <x v="1"/>
    <x v="2"/>
    <x v="4"/>
    <x v="0"/>
    <x v="0"/>
    <x v="0"/>
    <m/>
    <x v="0"/>
    <x v="0"/>
    <n v="-0.9113715"/>
    <m/>
    <x v="2"/>
    <x v="0"/>
    <x v="0"/>
    <x v="0"/>
    <x v="1"/>
  </r>
  <r>
    <s v="Singapore"/>
    <x v="4"/>
    <s v="SG1"/>
    <m/>
    <x v="0"/>
    <x v="0"/>
    <x v="4"/>
    <x v="3"/>
    <x v="0"/>
    <x v="0"/>
    <x v="0"/>
    <m/>
    <x v="0"/>
    <x v="0"/>
    <n v="-0.140211"/>
    <m/>
    <x v="0"/>
    <x v="1"/>
    <x v="0"/>
    <x v="2"/>
    <x v="0"/>
  </r>
  <r>
    <s v="Singapore"/>
    <x v="3"/>
    <s v="SG3"/>
    <m/>
    <x v="0"/>
    <x v="0"/>
    <x v="2"/>
    <x v="2"/>
    <x v="0"/>
    <x v="0"/>
    <x v="0"/>
    <m/>
    <x v="0"/>
    <x v="0"/>
    <n v="-0.11216880000000001"/>
    <m/>
    <x v="6"/>
    <x v="3"/>
    <x v="0"/>
    <x v="2"/>
    <x v="1"/>
  </r>
  <r>
    <s v="Singapore"/>
    <x v="0"/>
    <s v="SG1"/>
    <m/>
    <x v="4"/>
    <x v="2"/>
    <x v="2"/>
    <x v="4"/>
    <x v="0"/>
    <x v="0"/>
    <x v="0"/>
    <m/>
    <x v="0"/>
    <x v="0"/>
    <n v="0.1324215"/>
    <m/>
    <x v="1"/>
    <x v="2"/>
    <x v="0"/>
    <x v="1"/>
    <x v="1"/>
  </r>
  <r>
    <s v="Singapore"/>
    <x v="1"/>
    <s v="SG1"/>
    <m/>
    <x v="0"/>
    <x v="4"/>
    <x v="1"/>
    <x v="1"/>
    <x v="0"/>
    <x v="0"/>
    <x v="0"/>
    <m/>
    <x v="0"/>
    <x v="0"/>
    <n v="0.1838322"/>
    <m/>
    <x v="4"/>
    <x v="2"/>
    <x v="0"/>
    <x v="0"/>
    <x v="2"/>
  </r>
  <r>
    <s v="Singapore"/>
    <x v="2"/>
    <s v="SG4"/>
    <m/>
    <x v="4"/>
    <x v="0"/>
    <x v="4"/>
    <x v="0"/>
    <x v="0"/>
    <x v="0"/>
    <x v="0"/>
    <m/>
    <x v="0"/>
    <x v="0"/>
    <n v="-2.775180744"/>
    <m/>
    <x v="4"/>
    <x v="3"/>
    <x v="0"/>
    <x v="2"/>
    <x v="2"/>
  </r>
  <r>
    <s v="Singapore"/>
    <x v="4"/>
    <s v="SG4"/>
    <m/>
    <x v="2"/>
    <x v="0"/>
    <x v="4"/>
    <x v="2"/>
    <x v="0"/>
    <x v="0"/>
    <x v="0"/>
    <m/>
    <x v="0"/>
    <x v="0"/>
    <n v="4.7840148989999998"/>
    <m/>
    <x v="7"/>
    <x v="3"/>
    <x v="0"/>
    <x v="1"/>
    <x v="1"/>
  </r>
  <r>
    <s v="Singapore"/>
    <x v="1"/>
    <s v="SG4"/>
    <m/>
    <x v="1"/>
    <x v="1"/>
    <x v="1"/>
    <x v="2"/>
    <x v="0"/>
    <x v="0"/>
    <x v="0"/>
    <m/>
    <x v="0"/>
    <x v="0"/>
    <n v="-3.8947500000000003E-2"/>
    <m/>
    <x v="0"/>
    <x v="2"/>
    <x v="0"/>
    <x v="5"/>
    <x v="1"/>
  </r>
  <r>
    <s v="Singapore"/>
    <x v="5"/>
    <s v="SG1"/>
    <m/>
    <x v="0"/>
    <x v="4"/>
    <x v="3"/>
    <x v="0"/>
    <x v="0"/>
    <x v="0"/>
    <x v="0"/>
    <m/>
    <x v="0"/>
    <x v="0"/>
    <n v="-0.140211"/>
    <m/>
    <x v="0"/>
    <x v="2"/>
    <x v="0"/>
    <x v="2"/>
    <x v="2"/>
  </r>
  <r>
    <s v="Singapore"/>
    <x v="4"/>
    <s v="SG1"/>
    <m/>
    <x v="5"/>
    <x v="0"/>
    <x v="0"/>
    <x v="5"/>
    <x v="0"/>
    <x v="0"/>
    <x v="0"/>
    <m/>
    <x v="0"/>
    <x v="0"/>
    <n v="-0.60758100000000004"/>
    <m/>
    <x v="0"/>
    <x v="1"/>
    <x v="0"/>
    <x v="5"/>
    <x v="0"/>
  </r>
  <r>
    <s v="Singapore"/>
    <x v="1"/>
    <s v="SG3"/>
    <m/>
    <x v="3"/>
    <x v="3"/>
    <x v="0"/>
    <x v="3"/>
    <x v="0"/>
    <x v="0"/>
    <x v="0"/>
    <m/>
    <x v="0"/>
    <x v="0"/>
    <n v="-0.12463200000000001"/>
    <m/>
    <x v="0"/>
    <x v="3"/>
    <x v="0"/>
    <x v="4"/>
    <x v="0"/>
  </r>
  <r>
    <s v="Singapore"/>
    <x v="4"/>
    <s v="SG1"/>
    <m/>
    <x v="3"/>
    <x v="4"/>
    <x v="4"/>
    <x v="1"/>
    <x v="0"/>
    <x v="0"/>
    <x v="0"/>
    <m/>
    <x v="0"/>
    <x v="0"/>
    <n v="2.3680080000000001"/>
    <m/>
    <x v="1"/>
    <x v="1"/>
    <x v="0"/>
    <x v="2"/>
    <x v="2"/>
  </r>
  <r>
    <s v="Singapore"/>
    <x v="4"/>
    <s v="SG4"/>
    <m/>
    <x v="1"/>
    <x v="3"/>
    <x v="2"/>
    <x v="3"/>
    <x v="0"/>
    <x v="0"/>
    <x v="0"/>
    <m/>
    <x v="0"/>
    <x v="0"/>
    <n v="-2.775180744"/>
    <m/>
    <x v="4"/>
    <x v="3"/>
    <x v="0"/>
    <x v="1"/>
    <x v="2"/>
  </r>
  <r>
    <s v="Singapore"/>
    <x v="5"/>
    <s v="SG3"/>
    <m/>
    <x v="1"/>
    <x v="3"/>
    <x v="4"/>
    <x v="1"/>
    <x v="0"/>
    <x v="0"/>
    <x v="0"/>
    <m/>
    <x v="0"/>
    <x v="0"/>
    <n v="3.1158000000000002E-2"/>
    <m/>
    <x v="0"/>
    <x v="1"/>
    <x v="0"/>
    <x v="1"/>
    <x v="0"/>
  </r>
  <r>
    <s v="Singapore"/>
    <x v="5"/>
    <s v="SG1"/>
    <m/>
    <x v="1"/>
    <x v="4"/>
    <x v="1"/>
    <x v="2"/>
    <x v="0"/>
    <x v="0"/>
    <x v="0"/>
    <m/>
    <x v="0"/>
    <x v="0"/>
    <n v="1.9182266910000001"/>
    <m/>
    <x v="1"/>
    <x v="1"/>
    <x v="0"/>
    <x v="1"/>
    <x v="0"/>
  </r>
  <r>
    <s v="Singapore"/>
    <x v="1"/>
    <s v="SG1"/>
    <m/>
    <x v="0"/>
    <x v="1"/>
    <x v="4"/>
    <x v="0"/>
    <x v="0"/>
    <x v="0"/>
    <x v="0"/>
    <m/>
    <x v="0"/>
    <x v="0"/>
    <n v="-0.10905300000000001"/>
    <m/>
    <x v="0"/>
    <x v="1"/>
    <x v="0"/>
    <x v="5"/>
    <x v="0"/>
  </r>
  <r>
    <s v="Singapore"/>
    <x v="5"/>
    <s v="SG2"/>
    <m/>
    <x v="2"/>
    <x v="2"/>
    <x v="4"/>
    <x v="1"/>
    <x v="0"/>
    <x v="0"/>
    <x v="0"/>
    <m/>
    <x v="0"/>
    <x v="0"/>
    <n v="-0.81010800000000005"/>
    <m/>
    <x v="4"/>
    <x v="0"/>
    <x v="0"/>
    <x v="0"/>
    <x v="0"/>
  </r>
  <r>
    <s v="Singapore"/>
    <x v="1"/>
    <s v="SG1"/>
    <m/>
    <x v="3"/>
    <x v="4"/>
    <x v="3"/>
    <x v="3"/>
    <x v="0"/>
    <x v="0"/>
    <x v="0"/>
    <m/>
    <x v="0"/>
    <x v="0"/>
    <n v="-0.46737000000000001"/>
    <m/>
    <x v="4"/>
    <x v="1"/>
    <x v="0"/>
    <x v="2"/>
    <x v="0"/>
  </r>
  <r>
    <s v="Singapore"/>
    <x v="2"/>
    <s v="SG1"/>
    <m/>
    <x v="5"/>
    <x v="0"/>
    <x v="0"/>
    <x v="0"/>
    <x v="0"/>
    <x v="0"/>
    <x v="0"/>
    <m/>
    <x v="0"/>
    <x v="0"/>
    <n v="-4.1725079909999998"/>
    <m/>
    <x v="2"/>
    <x v="0"/>
    <x v="0"/>
    <x v="0"/>
    <x v="0"/>
  </r>
  <r>
    <s v="Singapore"/>
    <x v="3"/>
    <s v="SG2"/>
    <m/>
    <x v="1"/>
    <x v="0"/>
    <x v="3"/>
    <x v="3"/>
    <x v="0"/>
    <x v="0"/>
    <x v="0"/>
    <m/>
    <x v="0"/>
    <x v="0"/>
    <n v="-0.12463200000000001"/>
    <m/>
    <x v="0"/>
    <x v="1"/>
    <x v="0"/>
    <x v="0"/>
    <x v="2"/>
  </r>
  <r>
    <s v="Singapore"/>
    <x v="0"/>
    <s v="SG3"/>
    <m/>
    <x v="2"/>
    <x v="3"/>
    <x v="1"/>
    <x v="0"/>
    <x v="0"/>
    <x v="0"/>
    <x v="0"/>
    <m/>
    <x v="0"/>
    <x v="0"/>
    <n v="-13.014571968"/>
    <m/>
    <x v="0"/>
    <x v="3"/>
    <x v="0"/>
    <x v="0"/>
    <x v="2"/>
  </r>
  <r>
    <s v="Singapore"/>
    <x v="2"/>
    <s v="SG4"/>
    <m/>
    <x v="3"/>
    <x v="2"/>
    <x v="3"/>
    <x v="1"/>
    <x v="0"/>
    <x v="0"/>
    <x v="0"/>
    <m/>
    <x v="0"/>
    <x v="0"/>
    <n v="-0.46737000000000001"/>
    <m/>
    <x v="4"/>
    <x v="0"/>
    <x v="0"/>
    <x v="5"/>
    <x v="2"/>
  </r>
  <r>
    <s v="Singapore"/>
    <x v="3"/>
    <s v="SG1"/>
    <m/>
    <x v="4"/>
    <x v="4"/>
    <x v="1"/>
    <x v="1"/>
    <x v="0"/>
    <x v="0"/>
    <x v="0"/>
    <m/>
    <x v="0"/>
    <x v="0"/>
    <n v="-0.15579000000000001"/>
    <m/>
    <x v="0"/>
    <x v="3"/>
    <x v="0"/>
    <x v="3"/>
    <x v="0"/>
  </r>
  <r>
    <s v="Singapore"/>
    <x v="4"/>
    <s v="SG3"/>
    <m/>
    <x v="2"/>
    <x v="0"/>
    <x v="4"/>
    <x v="0"/>
    <x v="0"/>
    <x v="0"/>
    <x v="0"/>
    <m/>
    <x v="0"/>
    <x v="0"/>
    <n v="-0.56084400000000001"/>
    <m/>
    <x v="0"/>
    <x v="2"/>
    <x v="0"/>
    <x v="2"/>
    <x v="0"/>
  </r>
  <r>
    <s v="Singapore"/>
    <x v="0"/>
    <s v="SG2"/>
    <m/>
    <x v="1"/>
    <x v="0"/>
    <x v="1"/>
    <x v="2"/>
    <x v="0"/>
    <x v="0"/>
    <x v="0"/>
    <m/>
    <x v="0"/>
    <x v="0"/>
    <n v="-4.6737000000000001E-2"/>
    <m/>
    <x v="0"/>
    <x v="3"/>
    <x v="0"/>
    <x v="2"/>
    <x v="1"/>
  </r>
  <r>
    <s v="Singapore"/>
    <x v="2"/>
    <s v="SG2"/>
    <m/>
    <x v="3"/>
    <x v="0"/>
    <x v="1"/>
    <x v="3"/>
    <x v="0"/>
    <x v="0"/>
    <x v="0"/>
    <m/>
    <x v="0"/>
    <x v="0"/>
    <n v="9.8838784440000005"/>
    <m/>
    <x v="7"/>
    <x v="1"/>
    <x v="0"/>
    <x v="5"/>
    <x v="2"/>
  </r>
  <r>
    <s v="Singapore"/>
    <x v="1"/>
    <s v="SG2"/>
    <m/>
    <x v="4"/>
    <x v="2"/>
    <x v="0"/>
    <x v="2"/>
    <x v="0"/>
    <x v="0"/>
    <x v="0"/>
    <m/>
    <x v="0"/>
    <x v="0"/>
    <n v="-0.233685"/>
    <m/>
    <x v="0"/>
    <x v="1"/>
    <x v="0"/>
    <x v="4"/>
    <x v="1"/>
  </r>
  <r>
    <s v="Singapore"/>
    <x v="4"/>
    <s v="SG4"/>
    <m/>
    <x v="5"/>
    <x v="0"/>
    <x v="0"/>
    <x v="4"/>
    <x v="0"/>
    <x v="0"/>
    <x v="0"/>
    <m/>
    <x v="0"/>
    <x v="0"/>
    <n v="-1.5579000000000001E-2"/>
    <m/>
    <x v="0"/>
    <x v="1"/>
    <x v="0"/>
    <x v="4"/>
    <x v="1"/>
  </r>
  <r>
    <s v="Singapore"/>
    <x v="4"/>
    <s v="SG4"/>
    <m/>
    <x v="1"/>
    <x v="4"/>
    <x v="2"/>
    <x v="3"/>
    <x v="0"/>
    <x v="0"/>
    <x v="0"/>
    <m/>
    <x v="0"/>
    <x v="0"/>
    <n v="0.11595449700000002"/>
    <m/>
    <x v="3"/>
    <x v="0"/>
    <x v="0"/>
    <x v="0"/>
    <x v="2"/>
  </r>
  <r>
    <s v="Singapore"/>
    <x v="5"/>
    <s v="SG4"/>
    <m/>
    <x v="4"/>
    <x v="2"/>
    <x v="4"/>
    <x v="2"/>
    <x v="0"/>
    <x v="0"/>
    <x v="0"/>
    <m/>
    <x v="0"/>
    <x v="0"/>
    <n v="-2.5962247710000002"/>
    <m/>
    <x v="3"/>
    <x v="3"/>
    <x v="0"/>
    <x v="2"/>
    <x v="0"/>
  </r>
  <r>
    <s v="Singapore"/>
    <x v="2"/>
    <s v="SG1"/>
    <m/>
    <x v="5"/>
    <x v="1"/>
    <x v="0"/>
    <x v="1"/>
    <x v="0"/>
    <x v="0"/>
    <x v="0"/>
    <m/>
    <x v="0"/>
    <x v="0"/>
    <n v="-0.140211"/>
    <m/>
    <x v="0"/>
    <x v="1"/>
    <x v="0"/>
    <x v="1"/>
    <x v="2"/>
  </r>
  <r>
    <s v="Singapore"/>
    <x v="2"/>
    <s v="SG1"/>
    <m/>
    <x v="4"/>
    <x v="3"/>
    <x v="4"/>
    <x v="4"/>
    <x v="0"/>
    <x v="0"/>
    <x v="0"/>
    <m/>
    <x v="0"/>
    <x v="0"/>
    <n v="-0.140211"/>
    <m/>
    <x v="0"/>
    <x v="0"/>
    <x v="0"/>
    <x v="4"/>
    <x v="1"/>
  </r>
  <r>
    <s v="Singapore"/>
    <x v="2"/>
    <s v="SG4"/>
    <m/>
    <x v="2"/>
    <x v="0"/>
    <x v="2"/>
    <x v="3"/>
    <x v="0"/>
    <x v="0"/>
    <x v="0"/>
    <m/>
    <x v="0"/>
    <x v="0"/>
    <n v="-4.6737000000000001E-2"/>
    <m/>
    <x v="0"/>
    <x v="2"/>
    <x v="0"/>
    <x v="5"/>
    <x v="0"/>
  </r>
  <r>
    <s v="Singapore"/>
    <x v="5"/>
    <s v="SG1"/>
    <m/>
    <x v="3"/>
    <x v="2"/>
    <x v="1"/>
    <x v="5"/>
    <x v="0"/>
    <x v="0"/>
    <x v="0"/>
    <m/>
    <x v="0"/>
    <x v="0"/>
    <n v="-0.38947500000000002"/>
    <m/>
    <x v="0"/>
    <x v="0"/>
    <x v="0"/>
    <x v="5"/>
    <x v="1"/>
  </r>
  <r>
    <s v="Singapore"/>
    <x v="4"/>
    <s v="SG2"/>
    <m/>
    <x v="5"/>
    <x v="1"/>
    <x v="2"/>
    <x v="1"/>
    <x v="0"/>
    <x v="0"/>
    <x v="0"/>
    <m/>
    <x v="0"/>
    <x v="0"/>
    <n v="34.643723355000006"/>
    <m/>
    <x v="5"/>
    <x v="0"/>
    <x v="0"/>
    <x v="0"/>
    <x v="1"/>
  </r>
  <r>
    <s v="Singapore"/>
    <x v="2"/>
    <s v="SG3"/>
    <m/>
    <x v="2"/>
    <x v="0"/>
    <x v="2"/>
    <x v="3"/>
    <x v="0"/>
    <x v="0"/>
    <x v="0"/>
    <m/>
    <x v="0"/>
    <x v="0"/>
    <n v="2.2589550000000003"/>
    <m/>
    <x v="1"/>
    <x v="1"/>
    <x v="0"/>
    <x v="0"/>
    <x v="1"/>
  </r>
  <r>
    <s v="Singapore"/>
    <x v="4"/>
    <s v="SG2"/>
    <m/>
    <x v="0"/>
    <x v="2"/>
    <x v="2"/>
    <x v="1"/>
    <x v="0"/>
    <x v="0"/>
    <x v="0"/>
    <m/>
    <x v="0"/>
    <x v="0"/>
    <n v="0.34273800000000004"/>
    <m/>
    <x v="8"/>
    <x v="0"/>
    <x v="0"/>
    <x v="1"/>
    <x v="0"/>
  </r>
  <r>
    <s v="Singapore"/>
    <x v="0"/>
    <s v="SG3"/>
    <m/>
    <x v="1"/>
    <x v="1"/>
    <x v="4"/>
    <x v="4"/>
    <x v="0"/>
    <x v="0"/>
    <x v="0"/>
    <m/>
    <x v="0"/>
    <x v="0"/>
    <n v="1.9027255860000001"/>
    <m/>
    <x v="1"/>
    <x v="1"/>
    <x v="0"/>
    <x v="4"/>
    <x v="1"/>
  </r>
  <r>
    <s v="Singapore"/>
    <x v="4"/>
    <s v="SG1"/>
    <m/>
    <x v="0"/>
    <x v="3"/>
    <x v="3"/>
    <x v="1"/>
    <x v="0"/>
    <x v="0"/>
    <x v="0"/>
    <m/>
    <x v="0"/>
    <x v="0"/>
    <n v="7.0105500000000001E-2"/>
    <m/>
    <x v="1"/>
    <x v="1"/>
    <x v="0"/>
    <x v="2"/>
    <x v="0"/>
  </r>
  <r>
    <s v="Singapore"/>
    <x v="3"/>
    <s v="SG3"/>
    <m/>
    <x v="2"/>
    <x v="2"/>
    <x v="0"/>
    <x v="4"/>
    <x v="0"/>
    <x v="0"/>
    <x v="0"/>
    <m/>
    <x v="0"/>
    <x v="0"/>
    <n v="-0.1838322"/>
    <m/>
    <x v="4"/>
    <x v="0"/>
    <x v="0"/>
    <x v="2"/>
    <x v="1"/>
  </r>
  <r>
    <s v="Singapore"/>
    <x v="0"/>
    <s v="SG4"/>
    <m/>
    <x v="5"/>
    <x v="2"/>
    <x v="2"/>
    <x v="5"/>
    <x v="0"/>
    <x v="0"/>
    <x v="0"/>
    <m/>
    <x v="0"/>
    <x v="0"/>
    <n v="-0.264843"/>
    <m/>
    <x v="4"/>
    <x v="3"/>
    <x v="0"/>
    <x v="2"/>
    <x v="2"/>
  </r>
  <r>
    <s v="Singapore"/>
    <x v="2"/>
    <s v="SG3"/>
    <m/>
    <x v="2"/>
    <x v="1"/>
    <x v="3"/>
    <x v="5"/>
    <x v="0"/>
    <x v="0"/>
    <x v="0"/>
    <m/>
    <x v="0"/>
    <x v="0"/>
    <n v="-0.20252700000000001"/>
    <m/>
    <x v="0"/>
    <x v="1"/>
    <x v="0"/>
    <x v="4"/>
    <x v="2"/>
  </r>
  <r>
    <s v="Singapore"/>
    <x v="3"/>
    <s v="SG3"/>
    <m/>
    <x v="4"/>
    <x v="4"/>
    <x v="3"/>
    <x v="3"/>
    <x v="0"/>
    <x v="0"/>
    <x v="0"/>
    <m/>
    <x v="0"/>
    <x v="0"/>
    <n v="0.21810600000000002"/>
    <m/>
    <x v="4"/>
    <x v="2"/>
    <x v="0"/>
    <x v="3"/>
    <x v="2"/>
  </r>
  <r>
    <s v="Singapore"/>
    <x v="3"/>
    <s v="SG3"/>
    <m/>
    <x v="4"/>
    <x v="2"/>
    <x v="1"/>
    <x v="4"/>
    <x v="0"/>
    <x v="0"/>
    <x v="0"/>
    <m/>
    <x v="0"/>
    <x v="0"/>
    <n v="-6.2783370000000005"/>
    <m/>
    <x v="4"/>
    <x v="1"/>
    <x v="0"/>
    <x v="0"/>
    <x v="2"/>
  </r>
  <r>
    <s v="Singapore"/>
    <x v="4"/>
    <s v="SG4"/>
    <m/>
    <x v="5"/>
    <x v="4"/>
    <x v="1"/>
    <x v="0"/>
    <x v="0"/>
    <x v="0"/>
    <x v="0"/>
    <m/>
    <x v="0"/>
    <x v="0"/>
    <n v="-0.12463200000000001"/>
    <m/>
    <x v="0"/>
    <x v="1"/>
    <x v="0"/>
    <x v="5"/>
    <x v="2"/>
  </r>
  <r>
    <s v="Singapore"/>
    <x v="3"/>
    <s v="SG4"/>
    <m/>
    <x v="0"/>
    <x v="2"/>
    <x v="1"/>
    <x v="4"/>
    <x v="0"/>
    <x v="0"/>
    <x v="0"/>
    <m/>
    <x v="0"/>
    <x v="0"/>
    <n v="-36.766440000000003"/>
    <m/>
    <x v="5"/>
    <x v="1"/>
    <x v="0"/>
    <x v="2"/>
    <x v="0"/>
  </r>
  <r>
    <s v="Singapore"/>
    <x v="0"/>
    <s v="SG1"/>
    <m/>
    <x v="0"/>
    <x v="1"/>
    <x v="1"/>
    <x v="4"/>
    <x v="0"/>
    <x v="0"/>
    <x v="0"/>
    <m/>
    <x v="0"/>
    <x v="0"/>
    <n v="-0.233685"/>
    <m/>
    <x v="4"/>
    <x v="1"/>
    <x v="0"/>
    <x v="5"/>
    <x v="2"/>
  </r>
  <r>
    <s v="Singapore"/>
    <x v="1"/>
    <s v="SG2"/>
    <m/>
    <x v="4"/>
    <x v="1"/>
    <x v="2"/>
    <x v="2"/>
    <x v="0"/>
    <x v="0"/>
    <x v="0"/>
    <m/>
    <x v="0"/>
    <x v="0"/>
    <n v="-6.2316000000000003E-2"/>
    <m/>
    <x v="0"/>
    <x v="3"/>
    <x v="0"/>
    <x v="5"/>
    <x v="1"/>
  </r>
  <r>
    <s v="Singapore"/>
    <x v="1"/>
    <s v="SG1"/>
    <m/>
    <x v="4"/>
    <x v="4"/>
    <x v="4"/>
    <x v="3"/>
    <x v="0"/>
    <x v="0"/>
    <x v="0"/>
    <m/>
    <x v="0"/>
    <x v="0"/>
    <n v="-0.46737000000000001"/>
    <m/>
    <x v="0"/>
    <x v="2"/>
    <x v="0"/>
    <x v="5"/>
    <x v="0"/>
  </r>
  <r>
    <s v="Singapore"/>
    <x v="2"/>
    <s v="SG1"/>
    <m/>
    <x v="3"/>
    <x v="3"/>
    <x v="4"/>
    <x v="1"/>
    <x v="0"/>
    <x v="0"/>
    <x v="0"/>
    <m/>
    <x v="0"/>
    <x v="0"/>
    <n v="-0.280422"/>
    <m/>
    <x v="0"/>
    <x v="3"/>
    <x v="0"/>
    <x v="3"/>
    <x v="0"/>
  </r>
  <r>
    <s v="Singapore"/>
    <x v="2"/>
    <s v="SG2"/>
    <m/>
    <x v="1"/>
    <x v="1"/>
    <x v="4"/>
    <x v="5"/>
    <x v="0"/>
    <x v="0"/>
    <x v="0"/>
    <m/>
    <x v="0"/>
    <x v="0"/>
    <n v="0.15579000000000001"/>
    <m/>
    <x v="1"/>
    <x v="0"/>
    <x v="0"/>
    <x v="4"/>
    <x v="1"/>
  </r>
  <r>
    <s v="Singapore"/>
    <x v="0"/>
    <s v="SG4"/>
    <m/>
    <x v="1"/>
    <x v="4"/>
    <x v="0"/>
    <x v="0"/>
    <x v="0"/>
    <x v="0"/>
    <x v="0"/>
    <m/>
    <x v="0"/>
    <x v="0"/>
    <n v="1.0022282280000001"/>
    <m/>
    <x v="1"/>
    <x v="2"/>
    <x v="0"/>
    <x v="0"/>
    <x v="2"/>
  </r>
  <r>
    <s v="Singapore"/>
    <x v="5"/>
    <s v="SG4"/>
    <m/>
    <x v="1"/>
    <x v="3"/>
    <x v="1"/>
    <x v="1"/>
    <x v="0"/>
    <x v="0"/>
    <x v="0"/>
    <m/>
    <x v="0"/>
    <x v="0"/>
    <n v="-0.233685"/>
    <m/>
    <x v="0"/>
    <x v="1"/>
    <x v="0"/>
    <x v="0"/>
    <x v="1"/>
  </r>
  <r>
    <s v="Singapore"/>
    <x v="3"/>
    <s v="SG2"/>
    <m/>
    <x v="2"/>
    <x v="3"/>
    <x v="3"/>
    <x v="5"/>
    <x v="0"/>
    <x v="0"/>
    <x v="0"/>
    <m/>
    <x v="0"/>
    <x v="0"/>
    <n v="71.66340000000001"/>
    <m/>
    <x v="0"/>
    <x v="3"/>
    <x v="0"/>
    <x v="2"/>
    <x v="0"/>
  </r>
  <r>
    <s v="Singapore"/>
    <x v="5"/>
    <s v="SG3"/>
    <m/>
    <x v="3"/>
    <x v="1"/>
    <x v="4"/>
    <x v="3"/>
    <x v="0"/>
    <x v="0"/>
    <x v="0"/>
    <m/>
    <x v="0"/>
    <x v="0"/>
    <n v="-2.6484300000000003"/>
    <m/>
    <x v="1"/>
    <x v="1"/>
    <x v="0"/>
    <x v="1"/>
    <x v="0"/>
  </r>
  <r>
    <s v="Singapore"/>
    <x v="1"/>
    <s v="SG1"/>
    <m/>
    <x v="3"/>
    <x v="3"/>
    <x v="2"/>
    <x v="4"/>
    <x v="0"/>
    <x v="0"/>
    <x v="0"/>
    <m/>
    <x v="0"/>
    <x v="0"/>
    <n v="-4.6737000000000001E-2"/>
    <m/>
    <x v="0"/>
    <x v="1"/>
    <x v="0"/>
    <x v="5"/>
    <x v="2"/>
  </r>
  <r>
    <s v="Singapore"/>
    <x v="3"/>
    <s v="SG3"/>
    <m/>
    <x v="1"/>
    <x v="2"/>
    <x v="1"/>
    <x v="3"/>
    <x v="0"/>
    <x v="0"/>
    <x v="0"/>
    <m/>
    <x v="0"/>
    <x v="0"/>
    <n v="-22.724012348999999"/>
    <m/>
    <x v="4"/>
    <x v="3"/>
    <x v="0"/>
    <x v="5"/>
    <x v="2"/>
  </r>
  <r>
    <s v="Singapore"/>
    <x v="0"/>
    <s v="SG2"/>
    <m/>
    <x v="1"/>
    <x v="0"/>
    <x v="4"/>
    <x v="3"/>
    <x v="0"/>
    <x v="0"/>
    <x v="0"/>
    <m/>
    <x v="0"/>
    <x v="0"/>
    <n v="101.01951728100001"/>
    <m/>
    <x v="1"/>
    <x v="2"/>
    <x v="0"/>
    <x v="1"/>
    <x v="1"/>
  </r>
  <r>
    <s v="Singapore"/>
    <x v="2"/>
    <s v="SG4"/>
    <m/>
    <x v="3"/>
    <x v="3"/>
    <x v="4"/>
    <x v="0"/>
    <x v="0"/>
    <x v="0"/>
    <x v="0"/>
    <m/>
    <x v="0"/>
    <x v="0"/>
    <n v="0.38947500000000002"/>
    <m/>
    <x v="1"/>
    <x v="0"/>
    <x v="0"/>
    <x v="2"/>
    <x v="0"/>
  </r>
  <r>
    <s v="Singapore"/>
    <x v="2"/>
    <s v="SG4"/>
    <m/>
    <x v="1"/>
    <x v="0"/>
    <x v="2"/>
    <x v="4"/>
    <x v="0"/>
    <x v="0"/>
    <x v="0"/>
    <m/>
    <x v="0"/>
    <x v="0"/>
    <n v="-3.6610650000000002E-2"/>
    <m/>
    <x v="6"/>
    <x v="3"/>
    <x v="0"/>
    <x v="5"/>
    <x v="0"/>
  </r>
  <r>
    <s v="Singapore"/>
    <x v="0"/>
    <s v="SG2"/>
    <m/>
    <x v="2"/>
    <x v="4"/>
    <x v="0"/>
    <x v="0"/>
    <x v="0"/>
    <x v="0"/>
    <x v="0"/>
    <m/>
    <x v="0"/>
    <x v="0"/>
    <n v="-0.233685"/>
    <m/>
    <x v="0"/>
    <x v="0"/>
    <x v="0"/>
    <x v="5"/>
    <x v="0"/>
  </r>
  <r>
    <s v="Singapore"/>
    <x v="2"/>
    <s v="SG1"/>
    <m/>
    <x v="0"/>
    <x v="0"/>
    <x v="2"/>
    <x v="1"/>
    <x v="0"/>
    <x v="0"/>
    <x v="0"/>
    <m/>
    <x v="0"/>
    <x v="0"/>
    <n v="-9.3474000000000004"/>
    <m/>
    <x v="2"/>
    <x v="3"/>
    <x v="0"/>
    <x v="5"/>
    <x v="1"/>
  </r>
  <r>
    <s v="Singapore"/>
    <x v="2"/>
    <s v="SG2"/>
    <m/>
    <x v="2"/>
    <x v="1"/>
    <x v="2"/>
    <x v="1"/>
    <x v="0"/>
    <x v="0"/>
    <x v="0"/>
    <m/>
    <x v="0"/>
    <x v="0"/>
    <n v="1.9182266910000001"/>
    <m/>
    <x v="1"/>
    <x v="1"/>
    <x v="0"/>
    <x v="2"/>
    <x v="2"/>
  </r>
  <r>
    <s v="Singapore"/>
    <x v="2"/>
    <s v="SG2"/>
    <m/>
    <x v="4"/>
    <x v="3"/>
    <x v="0"/>
    <x v="0"/>
    <x v="0"/>
    <x v="0"/>
    <x v="0"/>
    <m/>
    <x v="0"/>
    <x v="0"/>
    <n v="-0.2726325"/>
    <m/>
    <x v="0"/>
    <x v="3"/>
    <x v="0"/>
    <x v="2"/>
    <x v="2"/>
  </r>
  <r>
    <s v="Singapore"/>
    <x v="5"/>
    <s v="SG1"/>
    <m/>
    <x v="2"/>
    <x v="4"/>
    <x v="4"/>
    <x v="1"/>
    <x v="0"/>
    <x v="0"/>
    <x v="0"/>
    <m/>
    <x v="0"/>
    <x v="0"/>
    <n v="2.3368500000000001"/>
    <m/>
    <x v="1"/>
    <x v="0"/>
    <x v="0"/>
    <x v="4"/>
    <x v="2"/>
  </r>
  <r>
    <s v="Singapore"/>
    <x v="5"/>
    <s v="SG1"/>
    <m/>
    <x v="1"/>
    <x v="2"/>
    <x v="2"/>
    <x v="3"/>
    <x v="0"/>
    <x v="0"/>
    <x v="0"/>
    <m/>
    <x v="0"/>
    <x v="0"/>
    <n v="-0.20057962500000001"/>
    <m/>
    <x v="6"/>
    <x v="1"/>
    <x v="0"/>
    <x v="1"/>
    <x v="1"/>
  </r>
  <r>
    <s v="Singapore"/>
    <x v="1"/>
    <s v="SG1"/>
    <m/>
    <x v="1"/>
    <x v="4"/>
    <x v="1"/>
    <x v="0"/>
    <x v="0"/>
    <x v="0"/>
    <x v="0"/>
    <m/>
    <x v="0"/>
    <x v="0"/>
    <n v="-0.42063300000000003"/>
    <m/>
    <x v="0"/>
    <x v="1"/>
    <x v="0"/>
    <x v="4"/>
    <x v="0"/>
  </r>
  <r>
    <s v="Singapore"/>
    <x v="5"/>
    <s v="SG2"/>
    <m/>
    <x v="3"/>
    <x v="0"/>
    <x v="0"/>
    <x v="2"/>
    <x v="0"/>
    <x v="0"/>
    <x v="0"/>
    <m/>
    <x v="0"/>
    <x v="0"/>
    <n v="18.947491380000002"/>
    <m/>
    <x v="0"/>
    <x v="3"/>
    <x v="0"/>
    <x v="0"/>
    <x v="0"/>
  </r>
  <r>
    <s v="Singapore"/>
    <x v="3"/>
    <s v="SG3"/>
    <m/>
    <x v="3"/>
    <x v="4"/>
    <x v="0"/>
    <x v="5"/>
    <x v="0"/>
    <x v="0"/>
    <x v="0"/>
    <m/>
    <x v="0"/>
    <x v="0"/>
    <n v="33.346179603000003"/>
    <m/>
    <x v="1"/>
    <x v="0"/>
    <x v="0"/>
    <x v="1"/>
    <x v="0"/>
  </r>
  <r>
    <s v="Singapore"/>
    <x v="4"/>
    <s v="SG3"/>
    <m/>
    <x v="3"/>
    <x v="3"/>
    <x v="1"/>
    <x v="5"/>
    <x v="0"/>
    <x v="0"/>
    <x v="0"/>
    <m/>
    <x v="0"/>
    <x v="0"/>
    <n v="-0.46737000000000001"/>
    <m/>
    <x v="4"/>
    <x v="1"/>
    <x v="0"/>
    <x v="5"/>
    <x v="0"/>
  </r>
  <r>
    <s v="Singapore"/>
    <x v="4"/>
    <s v="SG2"/>
    <m/>
    <x v="1"/>
    <x v="0"/>
    <x v="2"/>
    <x v="5"/>
    <x v="0"/>
    <x v="0"/>
    <x v="0"/>
    <m/>
    <x v="0"/>
    <x v="0"/>
    <n v="-1.1186812530000001"/>
    <m/>
    <x v="0"/>
    <x v="2"/>
    <x v="0"/>
    <x v="4"/>
    <x v="1"/>
  </r>
  <r>
    <s v="Singapore"/>
    <x v="2"/>
    <s v="SG4"/>
    <m/>
    <x v="4"/>
    <x v="4"/>
    <x v="3"/>
    <x v="5"/>
    <x v="0"/>
    <x v="0"/>
    <x v="0"/>
    <m/>
    <x v="0"/>
    <x v="0"/>
    <n v="1.0801232280000002"/>
    <m/>
    <x v="1"/>
    <x v="3"/>
    <x v="0"/>
    <x v="5"/>
    <x v="1"/>
  </r>
  <r>
    <s v="Singapore"/>
    <x v="2"/>
    <s v="SG2"/>
    <m/>
    <x v="2"/>
    <x v="2"/>
    <x v="1"/>
    <x v="2"/>
    <x v="0"/>
    <x v="0"/>
    <x v="0"/>
    <m/>
    <x v="0"/>
    <x v="0"/>
    <n v="-7.7895000000000006E-2"/>
    <m/>
    <x v="1"/>
    <x v="3"/>
    <x v="0"/>
    <x v="4"/>
    <x v="0"/>
  </r>
  <r>
    <s v="Singapore"/>
    <x v="3"/>
    <s v="SG4"/>
    <m/>
    <x v="4"/>
    <x v="3"/>
    <x v="4"/>
    <x v="1"/>
    <x v="0"/>
    <x v="0"/>
    <x v="0"/>
    <m/>
    <x v="0"/>
    <x v="0"/>
    <n v="-9.7051249980000005"/>
    <m/>
    <x v="7"/>
    <x v="3"/>
    <x v="0"/>
    <x v="5"/>
    <x v="1"/>
  </r>
  <r>
    <s v="Singapore"/>
    <x v="2"/>
    <s v="SG3"/>
    <m/>
    <x v="3"/>
    <x v="4"/>
    <x v="4"/>
    <x v="0"/>
    <x v="0"/>
    <x v="0"/>
    <x v="0"/>
    <m/>
    <x v="0"/>
    <x v="0"/>
    <n v="0.46737000000000001"/>
    <m/>
    <x v="1"/>
    <x v="0"/>
    <x v="0"/>
    <x v="4"/>
    <x v="2"/>
  </r>
  <r>
    <s v="Singapore"/>
    <x v="1"/>
    <s v="SG3"/>
    <m/>
    <x v="1"/>
    <x v="0"/>
    <x v="3"/>
    <x v="0"/>
    <x v="0"/>
    <x v="0"/>
    <x v="0"/>
    <m/>
    <x v="0"/>
    <x v="0"/>
    <n v="-0.77895000000000003"/>
    <m/>
    <x v="4"/>
    <x v="0"/>
    <x v="0"/>
    <x v="4"/>
    <x v="1"/>
  </r>
  <r>
    <s v="Singapore"/>
    <x v="1"/>
    <s v="SG1"/>
    <m/>
    <x v="3"/>
    <x v="4"/>
    <x v="0"/>
    <x v="4"/>
    <x v="0"/>
    <x v="0"/>
    <x v="0"/>
    <m/>
    <x v="0"/>
    <x v="0"/>
    <n v="0.21810600000000002"/>
    <m/>
    <x v="4"/>
    <x v="2"/>
    <x v="0"/>
    <x v="3"/>
    <x v="0"/>
  </r>
  <r>
    <s v="Singapore"/>
    <x v="5"/>
    <s v="SG3"/>
    <m/>
    <x v="3"/>
    <x v="4"/>
    <x v="1"/>
    <x v="0"/>
    <x v="0"/>
    <x v="0"/>
    <x v="0"/>
    <m/>
    <x v="0"/>
    <x v="0"/>
    <n v="-0.32715900000000003"/>
    <m/>
    <x v="0"/>
    <x v="3"/>
    <x v="0"/>
    <x v="1"/>
    <x v="0"/>
  </r>
  <r>
    <s v="Singapore"/>
    <x v="5"/>
    <s v="SG3"/>
    <m/>
    <x v="3"/>
    <x v="4"/>
    <x v="3"/>
    <x v="2"/>
    <x v="0"/>
    <x v="0"/>
    <x v="0"/>
    <m/>
    <x v="0"/>
    <x v="0"/>
    <n v="0.5530545"/>
    <m/>
    <x v="1"/>
    <x v="1"/>
    <x v="0"/>
    <x v="0"/>
    <x v="1"/>
  </r>
  <r>
    <s v="Singapore"/>
    <x v="0"/>
    <s v="SG4"/>
    <m/>
    <x v="4"/>
    <x v="2"/>
    <x v="2"/>
    <x v="3"/>
    <x v="0"/>
    <x v="0"/>
    <x v="0"/>
    <m/>
    <x v="0"/>
    <x v="0"/>
    <n v="-4.6737000000000001E-2"/>
    <m/>
    <x v="0"/>
    <x v="2"/>
    <x v="0"/>
    <x v="4"/>
    <x v="0"/>
  </r>
  <r>
    <s v="Singapore"/>
    <x v="0"/>
    <s v="SG3"/>
    <m/>
    <x v="4"/>
    <x v="4"/>
    <x v="1"/>
    <x v="0"/>
    <x v="0"/>
    <x v="0"/>
    <x v="0"/>
    <m/>
    <x v="0"/>
    <x v="0"/>
    <n v="0.34273800000000004"/>
    <m/>
    <x v="1"/>
    <x v="1"/>
    <x v="0"/>
    <x v="5"/>
    <x v="0"/>
  </r>
  <r>
    <s v="Singapore"/>
    <x v="3"/>
    <s v="SG4"/>
    <m/>
    <x v="0"/>
    <x v="4"/>
    <x v="4"/>
    <x v="3"/>
    <x v="0"/>
    <x v="0"/>
    <x v="0"/>
    <m/>
    <x v="0"/>
    <x v="0"/>
    <n v="0.42063300000000003"/>
    <m/>
    <x v="4"/>
    <x v="1"/>
    <x v="0"/>
    <x v="0"/>
    <x v="2"/>
  </r>
  <r>
    <s v="Singapore"/>
    <x v="2"/>
    <s v="SG4"/>
    <m/>
    <x v="1"/>
    <x v="2"/>
    <x v="4"/>
    <x v="1"/>
    <x v="0"/>
    <x v="0"/>
    <x v="0"/>
    <m/>
    <x v="0"/>
    <x v="0"/>
    <n v="-0.21810600000000002"/>
    <m/>
    <x v="1"/>
    <x v="0"/>
    <x v="0"/>
    <x v="3"/>
    <x v="2"/>
  </r>
  <r>
    <s v="Singapore"/>
    <x v="2"/>
    <s v="SG2"/>
    <m/>
    <x v="1"/>
    <x v="4"/>
    <x v="0"/>
    <x v="5"/>
    <x v="0"/>
    <x v="0"/>
    <x v="0"/>
    <m/>
    <x v="0"/>
    <x v="0"/>
    <n v="0.70105499999999998"/>
    <m/>
    <x v="1"/>
    <x v="2"/>
    <x v="0"/>
    <x v="0"/>
    <x v="2"/>
  </r>
  <r>
    <s v="Singapore"/>
    <x v="4"/>
    <s v="SG3"/>
    <m/>
    <x v="5"/>
    <x v="3"/>
    <x v="4"/>
    <x v="2"/>
    <x v="0"/>
    <x v="0"/>
    <x v="0"/>
    <m/>
    <x v="0"/>
    <x v="0"/>
    <n v="0.27933147000000003"/>
    <m/>
    <x v="8"/>
    <x v="3"/>
    <x v="0"/>
    <x v="1"/>
    <x v="1"/>
  </r>
  <r>
    <s v="Singapore"/>
    <x v="2"/>
    <s v="SG1"/>
    <m/>
    <x v="4"/>
    <x v="0"/>
    <x v="1"/>
    <x v="3"/>
    <x v="0"/>
    <x v="0"/>
    <x v="0"/>
    <m/>
    <x v="0"/>
    <x v="0"/>
    <n v="1.1450565000000001"/>
    <m/>
    <x v="1"/>
    <x v="0"/>
    <x v="0"/>
    <x v="4"/>
    <x v="2"/>
  </r>
  <r>
    <s v="Singapore"/>
    <x v="5"/>
    <s v="SG3"/>
    <m/>
    <x v="4"/>
    <x v="3"/>
    <x v="1"/>
    <x v="2"/>
    <x v="0"/>
    <x v="0"/>
    <x v="0"/>
    <m/>
    <x v="0"/>
    <x v="0"/>
    <n v="-0.56863350000000001"/>
    <m/>
    <x v="0"/>
    <x v="3"/>
    <x v="0"/>
    <x v="3"/>
    <x v="2"/>
  </r>
  <r>
    <s v="Singapore"/>
    <x v="1"/>
    <s v="SG1"/>
    <m/>
    <x v="1"/>
    <x v="0"/>
    <x v="3"/>
    <x v="5"/>
    <x v="0"/>
    <x v="0"/>
    <x v="0"/>
    <m/>
    <x v="0"/>
    <x v="0"/>
    <n v="-4.6737000000000001E-2"/>
    <m/>
    <x v="0"/>
    <x v="2"/>
    <x v="0"/>
    <x v="0"/>
    <x v="0"/>
  </r>
  <r>
    <s v="Singapore"/>
    <x v="3"/>
    <s v="SG3"/>
    <m/>
    <x v="5"/>
    <x v="3"/>
    <x v="0"/>
    <x v="5"/>
    <x v="0"/>
    <x v="0"/>
    <x v="0"/>
    <m/>
    <x v="0"/>
    <x v="0"/>
    <n v="-0.15579000000000001"/>
    <m/>
    <x v="0"/>
    <x v="2"/>
    <x v="0"/>
    <x v="5"/>
    <x v="0"/>
  </r>
  <r>
    <s v="Singapore"/>
    <x v="3"/>
    <s v="SG2"/>
    <m/>
    <x v="3"/>
    <x v="2"/>
    <x v="4"/>
    <x v="3"/>
    <x v="0"/>
    <x v="0"/>
    <x v="0"/>
    <m/>
    <x v="0"/>
    <x v="0"/>
    <n v="-2.33685E-2"/>
    <m/>
    <x v="0"/>
    <x v="3"/>
    <x v="0"/>
    <x v="5"/>
    <x v="0"/>
  </r>
  <r>
    <s v="Singapore"/>
    <x v="4"/>
    <s v="SG2"/>
    <m/>
    <x v="3"/>
    <x v="4"/>
    <x v="2"/>
    <x v="0"/>
    <x v="0"/>
    <x v="0"/>
    <x v="0"/>
    <m/>
    <x v="0"/>
    <x v="0"/>
    <n v="-80.231850000000009"/>
    <m/>
    <x v="2"/>
    <x v="1"/>
    <x v="0"/>
    <x v="4"/>
    <x v="0"/>
  </r>
  <r>
    <s v="Singapore"/>
    <x v="2"/>
    <s v="SG1"/>
    <m/>
    <x v="4"/>
    <x v="4"/>
    <x v="2"/>
    <x v="0"/>
    <x v="0"/>
    <x v="0"/>
    <x v="0"/>
    <m/>
    <x v="0"/>
    <x v="0"/>
    <n v="-0.280141578"/>
    <m/>
    <x v="0"/>
    <x v="1"/>
    <x v="0"/>
    <x v="3"/>
    <x v="0"/>
  </r>
  <r>
    <s v="Singapore"/>
    <x v="2"/>
    <s v="SG3"/>
    <m/>
    <x v="2"/>
    <x v="0"/>
    <x v="0"/>
    <x v="3"/>
    <x v="0"/>
    <x v="0"/>
    <x v="0"/>
    <m/>
    <x v="0"/>
    <x v="0"/>
    <n v="-6.2316000000000003E-2"/>
    <m/>
    <x v="0"/>
    <x v="3"/>
    <x v="0"/>
    <x v="0"/>
    <x v="1"/>
  </r>
  <r>
    <s v="Singapore"/>
    <x v="5"/>
    <s v="SG1"/>
    <m/>
    <x v="3"/>
    <x v="0"/>
    <x v="3"/>
    <x v="2"/>
    <x v="0"/>
    <x v="0"/>
    <x v="0"/>
    <m/>
    <x v="0"/>
    <x v="0"/>
    <n v="3.7233810000000003"/>
    <m/>
    <x v="11"/>
    <x v="0"/>
    <x v="0"/>
    <x v="3"/>
    <x v="0"/>
  </r>
  <r>
    <s v="Singapore"/>
    <x v="4"/>
    <s v="SG3"/>
    <m/>
    <x v="1"/>
    <x v="2"/>
    <x v="1"/>
    <x v="4"/>
    <x v="0"/>
    <x v="0"/>
    <x v="0"/>
    <m/>
    <x v="0"/>
    <x v="0"/>
    <n v="-4.2063300000000005E-2"/>
    <m/>
    <x v="3"/>
    <x v="0"/>
    <x v="0"/>
    <x v="4"/>
    <x v="1"/>
  </r>
  <r>
    <s v="Singapore"/>
    <x v="5"/>
    <s v="SG4"/>
    <m/>
    <x v="1"/>
    <x v="0"/>
    <x v="3"/>
    <x v="1"/>
    <x v="0"/>
    <x v="0"/>
    <x v="0"/>
    <m/>
    <x v="0"/>
    <x v="0"/>
    <n v="0.23261004900000001"/>
    <m/>
    <x v="3"/>
    <x v="0"/>
    <x v="0"/>
    <x v="5"/>
    <x v="1"/>
  </r>
  <r>
    <s v="Singapore"/>
    <x v="4"/>
    <s v="SG4"/>
    <m/>
    <x v="1"/>
    <x v="4"/>
    <x v="4"/>
    <x v="0"/>
    <x v="0"/>
    <x v="0"/>
    <x v="0"/>
    <m/>
    <x v="0"/>
    <x v="0"/>
    <n v="2.0882091600000003"/>
    <m/>
    <x v="1"/>
    <x v="1"/>
    <x v="0"/>
    <x v="2"/>
    <x v="1"/>
  </r>
  <r>
    <s v="Singapore"/>
    <x v="0"/>
    <s v="SG3"/>
    <m/>
    <x v="5"/>
    <x v="4"/>
    <x v="1"/>
    <x v="5"/>
    <x v="0"/>
    <x v="0"/>
    <x v="0"/>
    <m/>
    <x v="0"/>
    <x v="0"/>
    <n v="-0.21810600000000002"/>
    <m/>
    <x v="4"/>
    <x v="0"/>
    <x v="0"/>
    <x v="4"/>
    <x v="2"/>
  </r>
  <r>
    <s v="Singapore"/>
    <x v="5"/>
    <s v="SG2"/>
    <m/>
    <x v="4"/>
    <x v="1"/>
    <x v="0"/>
    <x v="5"/>
    <x v="0"/>
    <x v="0"/>
    <x v="0"/>
    <m/>
    <x v="0"/>
    <x v="0"/>
    <n v="0.12463200000000001"/>
    <m/>
    <x v="4"/>
    <x v="1"/>
    <x v="0"/>
    <x v="5"/>
    <x v="2"/>
  </r>
  <r>
    <s v="Singapore"/>
    <x v="4"/>
    <s v="SG2"/>
    <m/>
    <x v="5"/>
    <x v="1"/>
    <x v="1"/>
    <x v="5"/>
    <x v="0"/>
    <x v="0"/>
    <x v="0"/>
    <m/>
    <x v="0"/>
    <x v="0"/>
    <n v="0.42842250000000004"/>
    <m/>
    <x v="7"/>
    <x v="0"/>
    <x v="0"/>
    <x v="2"/>
    <x v="2"/>
  </r>
  <r>
    <s v="Singapore"/>
    <x v="3"/>
    <s v="SG4"/>
    <m/>
    <x v="5"/>
    <x v="2"/>
    <x v="0"/>
    <x v="1"/>
    <x v="0"/>
    <x v="0"/>
    <x v="0"/>
    <m/>
    <x v="0"/>
    <x v="0"/>
    <n v="0.233685"/>
    <m/>
    <x v="1"/>
    <x v="1"/>
    <x v="0"/>
    <x v="4"/>
    <x v="0"/>
  </r>
  <r>
    <s v="Singapore"/>
    <x v="4"/>
    <s v="SG2"/>
    <m/>
    <x v="5"/>
    <x v="3"/>
    <x v="1"/>
    <x v="0"/>
    <x v="0"/>
    <x v="0"/>
    <x v="0"/>
    <m/>
    <x v="0"/>
    <x v="0"/>
    <n v="-1.86948"/>
    <m/>
    <x v="4"/>
    <x v="1"/>
    <x v="0"/>
    <x v="5"/>
    <x v="1"/>
  </r>
  <r>
    <s v="Singapore"/>
    <x v="2"/>
    <s v="SG1"/>
    <m/>
    <x v="1"/>
    <x v="1"/>
    <x v="2"/>
    <x v="2"/>
    <x v="0"/>
    <x v="0"/>
    <x v="0"/>
    <m/>
    <x v="0"/>
    <x v="0"/>
    <n v="-0.15579000000000001"/>
    <m/>
    <x v="0"/>
    <x v="3"/>
    <x v="0"/>
    <x v="4"/>
    <x v="2"/>
  </r>
  <r>
    <s v="Singapore"/>
    <x v="0"/>
    <s v="SG2"/>
    <m/>
    <x v="3"/>
    <x v="2"/>
    <x v="0"/>
    <x v="2"/>
    <x v="0"/>
    <x v="0"/>
    <x v="0"/>
    <m/>
    <x v="0"/>
    <x v="0"/>
    <n v="-4.6737000000000001E-2"/>
    <m/>
    <x v="0"/>
    <x v="3"/>
    <x v="0"/>
    <x v="2"/>
    <x v="0"/>
  </r>
  <r>
    <s v="Singapore"/>
    <x v="4"/>
    <s v="SG1"/>
    <m/>
    <x v="1"/>
    <x v="1"/>
    <x v="3"/>
    <x v="4"/>
    <x v="0"/>
    <x v="0"/>
    <x v="0"/>
    <m/>
    <x v="0"/>
    <x v="0"/>
    <n v="-2.1031650000000002"/>
    <m/>
    <x v="4"/>
    <x v="3"/>
    <x v="0"/>
    <x v="1"/>
    <x v="2"/>
  </r>
  <r>
    <s v="Singapore"/>
    <x v="1"/>
    <s v="SG3"/>
    <m/>
    <x v="0"/>
    <x v="3"/>
    <x v="0"/>
    <x v="1"/>
    <x v="0"/>
    <x v="0"/>
    <x v="0"/>
    <m/>
    <x v="0"/>
    <x v="0"/>
    <n v="-179.485659"/>
    <m/>
    <x v="5"/>
    <x v="2"/>
    <x v="0"/>
    <x v="5"/>
    <x v="1"/>
  </r>
  <r>
    <s v="Singapore"/>
    <x v="5"/>
    <s v="SG3"/>
    <m/>
    <x v="3"/>
    <x v="1"/>
    <x v="0"/>
    <x v="4"/>
    <x v="0"/>
    <x v="0"/>
    <x v="0"/>
    <m/>
    <x v="0"/>
    <x v="0"/>
    <n v="-16.241107500000002"/>
    <m/>
    <x v="8"/>
    <x v="2"/>
    <x v="0"/>
    <x v="4"/>
    <x v="1"/>
  </r>
  <r>
    <s v="Singapore"/>
    <x v="1"/>
    <s v="SG4"/>
    <m/>
    <x v="0"/>
    <x v="2"/>
    <x v="0"/>
    <x v="2"/>
    <x v="0"/>
    <x v="0"/>
    <x v="0"/>
    <m/>
    <x v="0"/>
    <x v="0"/>
    <n v="3.4351695000000002"/>
    <m/>
    <x v="1"/>
    <x v="0"/>
    <x v="0"/>
    <x v="2"/>
    <x v="2"/>
  </r>
  <r>
    <s v="Singapore"/>
    <x v="1"/>
    <s v="SG3"/>
    <m/>
    <x v="2"/>
    <x v="3"/>
    <x v="3"/>
    <x v="4"/>
    <x v="0"/>
    <x v="0"/>
    <x v="0"/>
    <m/>
    <x v="0"/>
    <x v="0"/>
    <n v="10.244049345000001"/>
    <m/>
    <x v="9"/>
    <x v="3"/>
    <x v="0"/>
    <x v="3"/>
    <x v="2"/>
  </r>
  <r>
    <s v="Singapore"/>
    <x v="5"/>
    <s v="SG3"/>
    <m/>
    <x v="4"/>
    <x v="0"/>
    <x v="0"/>
    <x v="0"/>
    <x v="0"/>
    <x v="0"/>
    <x v="0"/>
    <m/>
    <x v="0"/>
    <x v="0"/>
    <n v="-0.77895000000000003"/>
    <m/>
    <x v="4"/>
    <x v="2"/>
    <x v="0"/>
    <x v="2"/>
    <x v="1"/>
  </r>
  <r>
    <s v="Singapore"/>
    <x v="3"/>
    <s v="SG2"/>
    <m/>
    <x v="1"/>
    <x v="4"/>
    <x v="3"/>
    <x v="1"/>
    <x v="0"/>
    <x v="0"/>
    <x v="0"/>
    <m/>
    <x v="0"/>
    <x v="0"/>
    <n v="-0.903582"/>
    <m/>
    <x v="1"/>
    <x v="0"/>
    <x v="0"/>
    <x v="3"/>
    <x v="1"/>
  </r>
  <r>
    <s v="Singapore"/>
    <x v="0"/>
    <s v="SG3"/>
    <m/>
    <x v="2"/>
    <x v="4"/>
    <x v="1"/>
    <x v="3"/>
    <x v="0"/>
    <x v="0"/>
    <x v="0"/>
    <m/>
    <x v="0"/>
    <x v="0"/>
    <n v="-7.7895000000000004E-3"/>
    <m/>
    <x v="3"/>
    <x v="2"/>
    <x v="0"/>
    <x v="0"/>
    <x v="0"/>
  </r>
  <r>
    <s v="Singapore"/>
    <x v="0"/>
    <s v="SG1"/>
    <m/>
    <x v="4"/>
    <x v="0"/>
    <x v="4"/>
    <x v="0"/>
    <x v="0"/>
    <x v="0"/>
    <x v="0"/>
    <m/>
    <x v="0"/>
    <x v="0"/>
    <n v="-0.70105499999999998"/>
    <m/>
    <x v="4"/>
    <x v="1"/>
    <x v="0"/>
    <x v="1"/>
    <x v="1"/>
  </r>
  <r>
    <s v="Singapore"/>
    <x v="2"/>
    <s v="SG3"/>
    <m/>
    <x v="0"/>
    <x v="2"/>
    <x v="2"/>
    <x v="5"/>
    <x v="0"/>
    <x v="0"/>
    <x v="0"/>
    <m/>
    <x v="0"/>
    <x v="0"/>
    <n v="3.8324340000000001"/>
    <m/>
    <x v="1"/>
    <x v="2"/>
    <x v="0"/>
    <x v="1"/>
    <x v="2"/>
  </r>
  <r>
    <s v="Singapore"/>
    <x v="0"/>
    <s v="SG3"/>
    <m/>
    <x v="3"/>
    <x v="3"/>
    <x v="4"/>
    <x v="3"/>
    <x v="0"/>
    <x v="0"/>
    <x v="0"/>
    <m/>
    <x v="0"/>
    <x v="0"/>
    <n v="0.74779200000000001"/>
    <m/>
    <x v="1"/>
    <x v="2"/>
    <x v="0"/>
    <x v="2"/>
    <x v="2"/>
  </r>
  <r>
    <s v="Singapore"/>
    <x v="2"/>
    <s v="SG3"/>
    <m/>
    <x v="3"/>
    <x v="4"/>
    <x v="0"/>
    <x v="2"/>
    <x v="0"/>
    <x v="0"/>
    <x v="0"/>
    <m/>
    <x v="0"/>
    <x v="0"/>
    <n v="0.21031650000000002"/>
    <m/>
    <x v="1"/>
    <x v="0"/>
    <x v="0"/>
    <x v="5"/>
    <x v="2"/>
  </r>
  <r>
    <s v="Singapore"/>
    <x v="2"/>
    <s v="SG3"/>
    <m/>
    <x v="3"/>
    <x v="4"/>
    <x v="2"/>
    <x v="5"/>
    <x v="0"/>
    <x v="0"/>
    <x v="0"/>
    <m/>
    <x v="0"/>
    <x v="0"/>
    <n v="-0.1838322"/>
    <m/>
    <x v="4"/>
    <x v="3"/>
    <x v="0"/>
    <x v="3"/>
    <x v="2"/>
  </r>
  <r>
    <s v="Singapore"/>
    <x v="4"/>
    <s v="SG3"/>
    <m/>
    <x v="4"/>
    <x v="3"/>
    <x v="0"/>
    <x v="4"/>
    <x v="0"/>
    <x v="0"/>
    <x v="0"/>
    <m/>
    <x v="0"/>
    <x v="0"/>
    <n v="0.12463200000000001"/>
    <m/>
    <x v="0"/>
    <x v="3"/>
    <x v="0"/>
    <x v="3"/>
    <x v="2"/>
  </r>
  <r>
    <s v="Singapore"/>
    <x v="3"/>
    <s v="SG1"/>
    <m/>
    <x v="0"/>
    <x v="3"/>
    <x v="0"/>
    <x v="2"/>
    <x v="0"/>
    <x v="0"/>
    <x v="0"/>
    <m/>
    <x v="0"/>
    <x v="0"/>
    <n v="-51.410700000000006"/>
    <m/>
    <x v="2"/>
    <x v="0"/>
    <x v="0"/>
    <x v="0"/>
    <x v="0"/>
  </r>
  <r>
    <s v="Singapore"/>
    <x v="3"/>
    <s v="SG3"/>
    <m/>
    <x v="5"/>
    <x v="3"/>
    <x v="4"/>
    <x v="4"/>
    <x v="0"/>
    <x v="0"/>
    <x v="0"/>
    <m/>
    <x v="0"/>
    <x v="0"/>
    <n v="-10.866321341999999"/>
    <m/>
    <x v="7"/>
    <x v="1"/>
    <x v="0"/>
    <x v="5"/>
    <x v="0"/>
  </r>
  <r>
    <s v="Singapore"/>
    <x v="5"/>
    <s v="SG2"/>
    <m/>
    <x v="0"/>
    <x v="4"/>
    <x v="1"/>
    <x v="4"/>
    <x v="0"/>
    <x v="0"/>
    <x v="0"/>
    <m/>
    <x v="0"/>
    <x v="0"/>
    <n v="-2.0971826640000004"/>
    <m/>
    <x v="4"/>
    <x v="2"/>
    <x v="0"/>
    <x v="4"/>
    <x v="2"/>
  </r>
  <r>
    <s v="Singapore"/>
    <x v="2"/>
    <s v="SG3"/>
    <m/>
    <x v="5"/>
    <x v="3"/>
    <x v="3"/>
    <x v="4"/>
    <x v="0"/>
    <x v="0"/>
    <x v="0"/>
    <m/>
    <x v="0"/>
    <x v="0"/>
    <n v="-0.41284350000000003"/>
    <m/>
    <x v="4"/>
    <x v="2"/>
    <x v="0"/>
    <x v="5"/>
    <x v="0"/>
  </r>
  <r>
    <s v="Singapore"/>
    <x v="4"/>
    <s v="SG2"/>
    <m/>
    <x v="4"/>
    <x v="0"/>
    <x v="3"/>
    <x v="4"/>
    <x v="0"/>
    <x v="0"/>
    <x v="0"/>
    <m/>
    <x v="0"/>
    <x v="0"/>
    <n v="9.8854830810000003"/>
    <m/>
    <x v="7"/>
    <x v="2"/>
    <x v="0"/>
    <x v="3"/>
    <x v="2"/>
  </r>
  <r>
    <s v="Singapore"/>
    <x v="5"/>
    <s v="SG1"/>
    <m/>
    <x v="1"/>
    <x v="0"/>
    <x v="3"/>
    <x v="5"/>
    <x v="0"/>
    <x v="0"/>
    <x v="0"/>
    <m/>
    <x v="0"/>
    <x v="0"/>
    <n v="0.17839512900000001"/>
    <m/>
    <x v="1"/>
    <x v="1"/>
    <x v="0"/>
    <x v="4"/>
    <x v="0"/>
  </r>
  <r>
    <s v="Singapore"/>
    <x v="5"/>
    <s v="SG3"/>
    <m/>
    <x v="0"/>
    <x v="1"/>
    <x v="0"/>
    <x v="4"/>
    <x v="0"/>
    <x v="0"/>
    <x v="0"/>
    <m/>
    <x v="0"/>
    <x v="0"/>
    <n v="-0.15579000000000001"/>
    <m/>
    <x v="0"/>
    <x v="3"/>
    <x v="0"/>
    <x v="1"/>
    <x v="2"/>
  </r>
  <r>
    <s v="Singapore"/>
    <x v="1"/>
    <s v="SG1"/>
    <m/>
    <x v="0"/>
    <x v="2"/>
    <x v="1"/>
    <x v="1"/>
    <x v="0"/>
    <x v="0"/>
    <x v="0"/>
    <m/>
    <x v="0"/>
    <x v="0"/>
    <n v="-2.3368500000000001"/>
    <m/>
    <x v="6"/>
    <x v="1"/>
    <x v="0"/>
    <x v="2"/>
    <x v="1"/>
  </r>
  <r>
    <s v="Singapore"/>
    <x v="0"/>
    <s v="SG3"/>
    <m/>
    <x v="4"/>
    <x v="4"/>
    <x v="2"/>
    <x v="5"/>
    <x v="0"/>
    <x v="0"/>
    <x v="0"/>
    <m/>
    <x v="0"/>
    <x v="0"/>
    <n v="-253.59144114599999"/>
    <m/>
    <x v="2"/>
    <x v="3"/>
    <x v="0"/>
    <x v="5"/>
    <x v="2"/>
  </r>
  <r>
    <s v="Singapore"/>
    <x v="4"/>
    <s v="SG4"/>
    <m/>
    <x v="5"/>
    <x v="4"/>
    <x v="3"/>
    <x v="2"/>
    <x v="0"/>
    <x v="0"/>
    <x v="0"/>
    <m/>
    <x v="0"/>
    <x v="0"/>
    <n v="-1.4410575000000001"/>
    <m/>
    <x v="4"/>
    <x v="3"/>
    <x v="0"/>
    <x v="5"/>
    <x v="0"/>
  </r>
  <r>
    <s v="Singapore"/>
    <x v="5"/>
    <s v="SG4"/>
    <m/>
    <x v="2"/>
    <x v="3"/>
    <x v="0"/>
    <x v="5"/>
    <x v="0"/>
    <x v="0"/>
    <x v="0"/>
    <m/>
    <x v="0"/>
    <x v="0"/>
    <n v="-0.21810600000000002"/>
    <m/>
    <x v="4"/>
    <x v="3"/>
    <x v="0"/>
    <x v="2"/>
    <x v="1"/>
  </r>
  <r>
    <s v="Singapore"/>
    <x v="2"/>
    <s v="SG4"/>
    <m/>
    <x v="0"/>
    <x v="2"/>
    <x v="1"/>
    <x v="1"/>
    <x v="0"/>
    <x v="0"/>
    <x v="0"/>
    <m/>
    <x v="0"/>
    <x v="0"/>
    <n v="7.4008662660000004"/>
    <m/>
    <x v="1"/>
    <x v="0"/>
    <x v="0"/>
    <x v="1"/>
    <x v="2"/>
  </r>
  <r>
    <s v="Singapore"/>
    <x v="0"/>
    <s v="SG1"/>
    <m/>
    <x v="5"/>
    <x v="4"/>
    <x v="3"/>
    <x v="4"/>
    <x v="0"/>
    <x v="0"/>
    <x v="0"/>
    <m/>
    <x v="0"/>
    <x v="0"/>
    <n v="-0.1168425"/>
    <m/>
    <x v="0"/>
    <x v="3"/>
    <x v="0"/>
    <x v="3"/>
    <x v="1"/>
  </r>
  <r>
    <s v="Singapore"/>
    <x v="0"/>
    <s v="SG4"/>
    <m/>
    <x v="4"/>
    <x v="0"/>
    <x v="2"/>
    <x v="0"/>
    <x v="0"/>
    <x v="0"/>
    <x v="0"/>
    <m/>
    <x v="0"/>
    <x v="0"/>
    <n v="-0.12463200000000001"/>
    <m/>
    <x v="4"/>
    <x v="2"/>
    <x v="0"/>
    <x v="4"/>
    <x v="0"/>
  </r>
  <r>
    <s v="Singapore"/>
    <x v="3"/>
    <s v="SG4"/>
    <m/>
    <x v="4"/>
    <x v="3"/>
    <x v="1"/>
    <x v="0"/>
    <x v="0"/>
    <x v="0"/>
    <x v="0"/>
    <m/>
    <x v="0"/>
    <x v="0"/>
    <n v="7.0105500000000001E-2"/>
    <m/>
    <x v="1"/>
    <x v="1"/>
    <x v="0"/>
    <x v="0"/>
    <x v="0"/>
  </r>
  <r>
    <s v="Singapore"/>
    <x v="1"/>
    <s v="SG1"/>
    <m/>
    <x v="2"/>
    <x v="2"/>
    <x v="2"/>
    <x v="4"/>
    <x v="0"/>
    <x v="0"/>
    <x v="0"/>
    <m/>
    <x v="0"/>
    <x v="0"/>
    <n v="-0.15579000000000001"/>
    <m/>
    <x v="4"/>
    <x v="1"/>
    <x v="0"/>
    <x v="5"/>
    <x v="2"/>
  </r>
  <r>
    <s v="Singapore"/>
    <x v="5"/>
    <s v="SG4"/>
    <m/>
    <x v="4"/>
    <x v="0"/>
    <x v="4"/>
    <x v="0"/>
    <x v="0"/>
    <x v="0"/>
    <x v="0"/>
    <m/>
    <x v="0"/>
    <x v="0"/>
    <n v="0.15579000000000001"/>
    <m/>
    <x v="1"/>
    <x v="3"/>
    <x v="0"/>
    <x v="3"/>
    <x v="1"/>
  </r>
  <r>
    <s v="Singapore"/>
    <x v="2"/>
    <s v="SG1"/>
    <m/>
    <x v="4"/>
    <x v="4"/>
    <x v="0"/>
    <x v="5"/>
    <x v="0"/>
    <x v="0"/>
    <x v="0"/>
    <m/>
    <x v="0"/>
    <x v="0"/>
    <n v="1.0801232280000002"/>
    <m/>
    <x v="1"/>
    <x v="3"/>
    <x v="0"/>
    <x v="0"/>
    <x v="1"/>
  </r>
  <r>
    <s v="Singapore"/>
    <x v="1"/>
    <s v="SG4"/>
    <m/>
    <x v="0"/>
    <x v="4"/>
    <x v="4"/>
    <x v="3"/>
    <x v="0"/>
    <x v="0"/>
    <x v="0"/>
    <m/>
    <x v="0"/>
    <x v="0"/>
    <n v="-4.6737000000000001E-2"/>
    <m/>
    <x v="0"/>
    <x v="3"/>
    <x v="0"/>
    <x v="0"/>
    <x v="2"/>
  </r>
  <r>
    <s v="Singapore"/>
    <x v="4"/>
    <s v="SG3"/>
    <m/>
    <x v="5"/>
    <x v="0"/>
    <x v="4"/>
    <x v="4"/>
    <x v="0"/>
    <x v="0"/>
    <x v="0"/>
    <m/>
    <x v="0"/>
    <x v="0"/>
    <n v="1.4566365000000001"/>
    <m/>
    <x v="1"/>
    <x v="1"/>
    <x v="0"/>
    <x v="1"/>
    <x v="0"/>
  </r>
  <r>
    <s v="Singapore"/>
    <x v="4"/>
    <s v="SG4"/>
    <m/>
    <x v="0"/>
    <x v="2"/>
    <x v="0"/>
    <x v="1"/>
    <x v="0"/>
    <x v="0"/>
    <x v="0"/>
    <m/>
    <x v="0"/>
    <x v="0"/>
    <n v="-0.12463200000000001"/>
    <m/>
    <x v="0"/>
    <x v="0"/>
    <x v="0"/>
    <x v="1"/>
    <x v="0"/>
  </r>
  <r>
    <s v="Singapore"/>
    <x v="4"/>
    <s v="SG2"/>
    <m/>
    <x v="0"/>
    <x v="1"/>
    <x v="3"/>
    <x v="1"/>
    <x v="0"/>
    <x v="0"/>
    <x v="0"/>
    <m/>
    <x v="0"/>
    <x v="0"/>
    <n v="-0.70105499999999998"/>
    <m/>
    <x v="4"/>
    <x v="2"/>
    <x v="0"/>
    <x v="3"/>
    <x v="2"/>
  </r>
  <r>
    <s v="Singapore"/>
    <x v="2"/>
    <s v="SG2"/>
    <m/>
    <x v="4"/>
    <x v="1"/>
    <x v="0"/>
    <x v="3"/>
    <x v="0"/>
    <x v="0"/>
    <x v="0"/>
    <m/>
    <x v="0"/>
    <x v="0"/>
    <n v="-0.67457070000000008"/>
    <m/>
    <x v="8"/>
    <x v="2"/>
    <x v="0"/>
    <x v="4"/>
    <x v="0"/>
  </r>
  <r>
    <s v="Singapore"/>
    <x v="4"/>
    <s v="SG4"/>
    <m/>
    <x v="4"/>
    <x v="1"/>
    <x v="4"/>
    <x v="1"/>
    <x v="0"/>
    <x v="0"/>
    <x v="0"/>
    <m/>
    <x v="0"/>
    <x v="0"/>
    <n v="1.0022282280000001"/>
    <m/>
    <x v="1"/>
    <x v="0"/>
    <x v="0"/>
    <x v="3"/>
    <x v="1"/>
  </r>
  <r>
    <s v="Singapore"/>
    <x v="5"/>
    <s v="SG3"/>
    <m/>
    <x v="3"/>
    <x v="0"/>
    <x v="0"/>
    <x v="4"/>
    <x v="0"/>
    <x v="0"/>
    <x v="0"/>
    <m/>
    <x v="0"/>
    <x v="0"/>
    <n v="71.077910021999998"/>
    <m/>
    <x v="7"/>
    <x v="3"/>
    <x v="0"/>
    <x v="3"/>
    <x v="1"/>
  </r>
  <r>
    <s v="Singapore"/>
    <x v="0"/>
    <s v="SG3"/>
    <m/>
    <x v="0"/>
    <x v="1"/>
    <x v="0"/>
    <x v="0"/>
    <x v="0"/>
    <x v="0"/>
    <x v="0"/>
    <m/>
    <x v="0"/>
    <x v="0"/>
    <n v="1.5161482800000001"/>
    <m/>
    <x v="1"/>
    <x v="2"/>
    <x v="0"/>
    <x v="2"/>
    <x v="1"/>
  </r>
  <r>
    <s v="Singapore"/>
    <x v="1"/>
    <s v="SG4"/>
    <m/>
    <x v="0"/>
    <x v="0"/>
    <x v="0"/>
    <x v="5"/>
    <x v="0"/>
    <x v="0"/>
    <x v="0"/>
    <m/>
    <x v="0"/>
    <x v="0"/>
    <n v="-0.77895000000000003"/>
    <m/>
    <x v="4"/>
    <x v="2"/>
    <x v="0"/>
    <x v="1"/>
    <x v="0"/>
  </r>
  <r>
    <s v="Singapore"/>
    <x v="5"/>
    <s v="SG2"/>
    <m/>
    <x v="0"/>
    <x v="0"/>
    <x v="1"/>
    <x v="5"/>
    <x v="0"/>
    <x v="0"/>
    <x v="0"/>
    <m/>
    <x v="0"/>
    <x v="0"/>
    <n v="-1.5579000000000001E-2"/>
    <m/>
    <x v="0"/>
    <x v="1"/>
    <x v="0"/>
    <x v="4"/>
    <x v="1"/>
  </r>
  <r>
    <s v="Singapore"/>
    <x v="3"/>
    <s v="SG3"/>
    <m/>
    <x v="4"/>
    <x v="3"/>
    <x v="4"/>
    <x v="2"/>
    <x v="0"/>
    <x v="0"/>
    <x v="0"/>
    <m/>
    <x v="0"/>
    <x v="0"/>
    <n v="-6.096062700000001E-2"/>
    <m/>
    <x v="3"/>
    <x v="0"/>
    <x v="0"/>
    <x v="1"/>
    <x v="2"/>
  </r>
  <r>
    <s v="Singapore"/>
    <x v="0"/>
    <s v="SG4"/>
    <m/>
    <x v="2"/>
    <x v="4"/>
    <x v="1"/>
    <x v="2"/>
    <x v="0"/>
    <x v="0"/>
    <x v="0"/>
    <m/>
    <x v="0"/>
    <x v="0"/>
    <n v="1.1450565000000001"/>
    <m/>
    <x v="1"/>
    <x v="1"/>
    <x v="0"/>
    <x v="1"/>
    <x v="0"/>
  </r>
  <r>
    <s v="Singapore"/>
    <x v="1"/>
    <s v="SG4"/>
    <m/>
    <x v="1"/>
    <x v="0"/>
    <x v="3"/>
    <x v="5"/>
    <x v="0"/>
    <x v="0"/>
    <x v="0"/>
    <m/>
    <x v="0"/>
    <x v="0"/>
    <n v="29.265151500000002"/>
    <m/>
    <x v="1"/>
    <x v="0"/>
    <x v="0"/>
    <x v="5"/>
    <x v="2"/>
  </r>
  <r>
    <s v="Singapore"/>
    <x v="4"/>
    <s v="SG1"/>
    <m/>
    <x v="2"/>
    <x v="1"/>
    <x v="1"/>
    <x v="1"/>
    <x v="0"/>
    <x v="0"/>
    <x v="0"/>
    <m/>
    <x v="0"/>
    <x v="0"/>
    <n v="-0.62316000000000005"/>
    <m/>
    <x v="4"/>
    <x v="0"/>
    <x v="0"/>
    <x v="5"/>
    <x v="1"/>
  </r>
  <r>
    <s v="Singapore"/>
    <x v="2"/>
    <s v="SG3"/>
    <m/>
    <x v="3"/>
    <x v="1"/>
    <x v="1"/>
    <x v="3"/>
    <x v="0"/>
    <x v="0"/>
    <x v="0"/>
    <m/>
    <x v="0"/>
    <x v="0"/>
    <n v="-3.256011"/>
    <m/>
    <x v="4"/>
    <x v="1"/>
    <x v="0"/>
    <x v="3"/>
    <x v="2"/>
  </r>
  <r>
    <s v="Singapore"/>
    <x v="2"/>
    <s v="SG1"/>
    <m/>
    <x v="0"/>
    <x v="3"/>
    <x v="2"/>
    <x v="4"/>
    <x v="0"/>
    <x v="0"/>
    <x v="0"/>
    <m/>
    <x v="0"/>
    <x v="0"/>
    <n v="-0.81010800000000005"/>
    <m/>
    <x v="4"/>
    <x v="2"/>
    <x v="0"/>
    <x v="5"/>
    <x v="2"/>
  </r>
  <r>
    <s v="Singapore"/>
    <x v="0"/>
    <s v="SG1"/>
    <m/>
    <x v="3"/>
    <x v="4"/>
    <x v="4"/>
    <x v="4"/>
    <x v="0"/>
    <x v="0"/>
    <x v="0"/>
    <m/>
    <x v="0"/>
    <x v="0"/>
    <n v="-195.87347394300002"/>
    <m/>
    <x v="6"/>
    <x v="0"/>
    <x v="0"/>
    <x v="1"/>
    <x v="0"/>
  </r>
  <r>
    <s v="Singapore"/>
    <x v="4"/>
    <s v="SG4"/>
    <m/>
    <x v="5"/>
    <x v="0"/>
    <x v="3"/>
    <x v="4"/>
    <x v="0"/>
    <x v="0"/>
    <x v="0"/>
    <m/>
    <x v="0"/>
    <x v="0"/>
    <n v="1.5142788000000003E-2"/>
    <m/>
    <x v="8"/>
    <x v="0"/>
    <x v="0"/>
    <x v="1"/>
    <x v="2"/>
  </r>
  <r>
    <s v="Singapore"/>
    <x v="0"/>
    <s v="SG3"/>
    <m/>
    <x v="3"/>
    <x v="4"/>
    <x v="2"/>
    <x v="4"/>
    <x v="0"/>
    <x v="0"/>
    <x v="0"/>
    <m/>
    <x v="0"/>
    <x v="0"/>
    <n v="-0.140211"/>
    <m/>
    <x v="4"/>
    <x v="0"/>
    <x v="0"/>
    <x v="1"/>
    <x v="1"/>
  </r>
  <r>
    <s v="Singapore"/>
    <x v="1"/>
    <s v="SG3"/>
    <m/>
    <x v="4"/>
    <x v="2"/>
    <x v="1"/>
    <x v="3"/>
    <x v="0"/>
    <x v="0"/>
    <x v="0"/>
    <m/>
    <x v="0"/>
    <x v="0"/>
    <n v="-0.545265"/>
    <m/>
    <x v="0"/>
    <x v="1"/>
    <x v="0"/>
    <x v="2"/>
    <x v="1"/>
  </r>
  <r>
    <s v="Singapore"/>
    <x v="3"/>
    <s v="SG2"/>
    <m/>
    <x v="3"/>
    <x v="0"/>
    <x v="3"/>
    <x v="0"/>
    <x v="0"/>
    <x v="0"/>
    <x v="0"/>
    <m/>
    <x v="0"/>
    <x v="0"/>
    <n v="1.2463200000000001E-2"/>
    <m/>
    <x v="6"/>
    <x v="2"/>
    <x v="0"/>
    <x v="5"/>
    <x v="0"/>
  </r>
  <r>
    <s v="Singapore"/>
    <x v="5"/>
    <s v="SG1"/>
    <m/>
    <x v="3"/>
    <x v="1"/>
    <x v="1"/>
    <x v="1"/>
    <x v="0"/>
    <x v="0"/>
    <x v="0"/>
    <m/>
    <x v="0"/>
    <x v="0"/>
    <n v="-0.10905300000000001"/>
    <m/>
    <x v="4"/>
    <x v="1"/>
    <x v="0"/>
    <x v="4"/>
    <x v="2"/>
  </r>
  <r>
    <s v="Singapore"/>
    <x v="2"/>
    <s v="SG2"/>
    <m/>
    <x v="4"/>
    <x v="2"/>
    <x v="4"/>
    <x v="3"/>
    <x v="0"/>
    <x v="0"/>
    <x v="0"/>
    <m/>
    <x v="0"/>
    <x v="0"/>
    <n v="0.12463200000000001"/>
    <m/>
    <x v="0"/>
    <x v="0"/>
    <x v="0"/>
    <x v="1"/>
    <x v="2"/>
  </r>
  <r>
    <s v="Singapore"/>
    <x v="0"/>
    <s v="SG4"/>
    <m/>
    <x v="2"/>
    <x v="1"/>
    <x v="3"/>
    <x v="5"/>
    <x v="0"/>
    <x v="0"/>
    <x v="0"/>
    <m/>
    <x v="0"/>
    <x v="0"/>
    <n v="-0.31158000000000002"/>
    <m/>
    <x v="4"/>
    <x v="3"/>
    <x v="0"/>
    <x v="3"/>
    <x v="2"/>
  </r>
  <r>
    <s v="Singapore"/>
    <x v="1"/>
    <s v="SG1"/>
    <m/>
    <x v="3"/>
    <x v="0"/>
    <x v="1"/>
    <x v="5"/>
    <x v="0"/>
    <x v="0"/>
    <x v="0"/>
    <m/>
    <x v="0"/>
    <x v="0"/>
    <n v="-0.12463200000000001"/>
    <m/>
    <x v="0"/>
    <x v="2"/>
    <x v="0"/>
    <x v="5"/>
    <x v="2"/>
  </r>
  <r>
    <s v="Singapore"/>
    <x v="0"/>
    <s v="SG1"/>
    <m/>
    <x v="2"/>
    <x v="4"/>
    <x v="0"/>
    <x v="5"/>
    <x v="0"/>
    <x v="0"/>
    <x v="0"/>
    <m/>
    <x v="0"/>
    <x v="0"/>
    <n v="2.33685E-2"/>
    <m/>
    <x v="3"/>
    <x v="0"/>
    <x v="0"/>
    <x v="1"/>
    <x v="0"/>
  </r>
  <r>
    <s v="Singapore"/>
    <x v="3"/>
    <s v="SG3"/>
    <m/>
    <x v="0"/>
    <x v="4"/>
    <x v="3"/>
    <x v="1"/>
    <x v="0"/>
    <x v="0"/>
    <x v="0"/>
    <m/>
    <x v="0"/>
    <x v="0"/>
    <n v="-0.21810600000000002"/>
    <m/>
    <x v="4"/>
    <x v="1"/>
    <x v="0"/>
    <x v="5"/>
    <x v="0"/>
  </r>
  <r>
    <s v="Singapore"/>
    <x v="0"/>
    <s v="SG3"/>
    <m/>
    <x v="4"/>
    <x v="0"/>
    <x v="2"/>
    <x v="1"/>
    <x v="0"/>
    <x v="0"/>
    <x v="0"/>
    <m/>
    <x v="0"/>
    <x v="0"/>
    <n v="-3.9422659500000004"/>
    <m/>
    <x v="2"/>
    <x v="0"/>
    <x v="0"/>
    <x v="2"/>
    <x v="0"/>
  </r>
  <r>
    <s v="Singapore"/>
    <x v="4"/>
    <s v="SG3"/>
    <m/>
    <x v="4"/>
    <x v="3"/>
    <x v="0"/>
    <x v="3"/>
    <x v="0"/>
    <x v="0"/>
    <x v="0"/>
    <m/>
    <x v="0"/>
    <x v="0"/>
    <n v="-0.12463200000000001"/>
    <m/>
    <x v="4"/>
    <x v="1"/>
    <x v="0"/>
    <x v="4"/>
    <x v="2"/>
  </r>
  <r>
    <s v="Singapore"/>
    <x v="2"/>
    <s v="SG3"/>
    <m/>
    <x v="2"/>
    <x v="1"/>
    <x v="2"/>
    <x v="1"/>
    <x v="0"/>
    <x v="0"/>
    <x v="0"/>
    <m/>
    <x v="0"/>
    <x v="0"/>
    <n v="-153.491349708"/>
    <m/>
    <x v="2"/>
    <x v="3"/>
    <x v="0"/>
    <x v="0"/>
    <x v="2"/>
  </r>
  <r>
    <s v="Singapore"/>
    <x v="2"/>
    <s v="SG4"/>
    <m/>
    <x v="3"/>
    <x v="1"/>
    <x v="1"/>
    <x v="0"/>
    <x v="0"/>
    <x v="0"/>
    <x v="0"/>
    <m/>
    <x v="0"/>
    <x v="0"/>
    <n v="-2.2932443789999999"/>
    <m/>
    <x v="3"/>
    <x v="3"/>
    <x v="0"/>
    <x v="5"/>
    <x v="2"/>
  </r>
  <r>
    <s v="Singapore"/>
    <x v="1"/>
    <s v="SG1"/>
    <m/>
    <x v="4"/>
    <x v="3"/>
    <x v="0"/>
    <x v="0"/>
    <x v="0"/>
    <x v="0"/>
    <x v="0"/>
    <m/>
    <x v="0"/>
    <x v="0"/>
    <n v="-14.198202072000001"/>
    <m/>
    <x v="9"/>
    <x v="3"/>
    <x v="0"/>
    <x v="5"/>
    <x v="2"/>
  </r>
  <r>
    <s v="Singapore"/>
    <x v="3"/>
    <s v="SG4"/>
    <m/>
    <x v="0"/>
    <x v="3"/>
    <x v="3"/>
    <x v="5"/>
    <x v="0"/>
    <x v="0"/>
    <x v="0"/>
    <m/>
    <x v="0"/>
    <x v="0"/>
    <n v="198.01997972100003"/>
    <m/>
    <x v="1"/>
    <x v="0"/>
    <x v="0"/>
    <x v="0"/>
    <x v="0"/>
  </r>
  <r>
    <s v="Singapore"/>
    <x v="5"/>
    <s v="SG2"/>
    <m/>
    <x v="5"/>
    <x v="0"/>
    <x v="3"/>
    <x v="4"/>
    <x v="0"/>
    <x v="0"/>
    <x v="0"/>
    <m/>
    <x v="0"/>
    <x v="0"/>
    <n v="-0.77895000000000003"/>
    <m/>
    <x v="4"/>
    <x v="3"/>
    <x v="0"/>
    <x v="5"/>
    <x v="1"/>
  </r>
  <r>
    <s v="Singapore"/>
    <x v="3"/>
    <s v="SG2"/>
    <m/>
    <x v="1"/>
    <x v="2"/>
    <x v="0"/>
    <x v="0"/>
    <x v="0"/>
    <x v="0"/>
    <x v="0"/>
    <m/>
    <x v="0"/>
    <x v="0"/>
    <n v="2.3274402840000001"/>
    <m/>
    <x v="9"/>
    <x v="0"/>
    <x v="0"/>
    <x v="5"/>
    <x v="0"/>
  </r>
  <r>
    <s v="Singapore"/>
    <x v="2"/>
    <s v="SG4"/>
    <m/>
    <x v="5"/>
    <x v="4"/>
    <x v="4"/>
    <x v="3"/>
    <x v="0"/>
    <x v="0"/>
    <x v="0"/>
    <m/>
    <x v="0"/>
    <x v="0"/>
    <n v="-2.775180744"/>
    <m/>
    <x v="4"/>
    <x v="2"/>
    <x v="0"/>
    <x v="0"/>
    <x v="1"/>
  </r>
  <r>
    <s v="Singapore"/>
    <x v="4"/>
    <s v="SG2"/>
    <m/>
    <x v="1"/>
    <x v="0"/>
    <x v="2"/>
    <x v="5"/>
    <x v="0"/>
    <x v="0"/>
    <x v="0"/>
    <m/>
    <x v="0"/>
    <x v="0"/>
    <n v="1.900638"/>
    <m/>
    <x v="1"/>
    <x v="3"/>
    <x v="0"/>
    <x v="4"/>
    <x v="0"/>
  </r>
  <r>
    <s v="Singapore"/>
    <x v="0"/>
    <s v="SG2"/>
    <m/>
    <x v="1"/>
    <x v="0"/>
    <x v="2"/>
    <x v="1"/>
    <x v="0"/>
    <x v="0"/>
    <x v="0"/>
    <m/>
    <x v="0"/>
    <x v="0"/>
    <n v="0.44400150000000005"/>
    <m/>
    <x v="1"/>
    <x v="0"/>
    <x v="0"/>
    <x v="3"/>
    <x v="1"/>
  </r>
  <r>
    <s v="Singapore"/>
    <x v="0"/>
    <s v="SG2"/>
    <m/>
    <x v="3"/>
    <x v="3"/>
    <x v="4"/>
    <x v="1"/>
    <x v="0"/>
    <x v="0"/>
    <x v="0"/>
    <m/>
    <x v="0"/>
    <x v="0"/>
    <n v="-4.6737000000000001E-2"/>
    <m/>
    <x v="0"/>
    <x v="1"/>
    <x v="0"/>
    <x v="1"/>
    <x v="2"/>
  </r>
  <r>
    <s v="Singapore"/>
    <x v="5"/>
    <s v="SG1"/>
    <m/>
    <x v="1"/>
    <x v="4"/>
    <x v="1"/>
    <x v="5"/>
    <x v="0"/>
    <x v="0"/>
    <x v="0"/>
    <m/>
    <x v="0"/>
    <x v="0"/>
    <n v="-2.5237980000000002"/>
    <m/>
    <x v="4"/>
    <x v="1"/>
    <x v="0"/>
    <x v="4"/>
    <x v="2"/>
  </r>
  <r>
    <s v="Singapore"/>
    <x v="5"/>
    <s v="SG2"/>
    <m/>
    <x v="4"/>
    <x v="0"/>
    <x v="4"/>
    <x v="1"/>
    <x v="0"/>
    <x v="0"/>
    <x v="0"/>
    <m/>
    <x v="0"/>
    <x v="0"/>
    <n v="-0.93474000000000002"/>
    <m/>
    <x v="4"/>
    <x v="1"/>
    <x v="0"/>
    <x v="2"/>
    <x v="2"/>
  </r>
  <r>
    <s v="Singapore"/>
    <x v="3"/>
    <s v="SG3"/>
    <m/>
    <x v="0"/>
    <x v="3"/>
    <x v="1"/>
    <x v="0"/>
    <x v="0"/>
    <x v="0"/>
    <x v="0"/>
    <m/>
    <x v="0"/>
    <x v="0"/>
    <n v="-0.15579000000000001"/>
    <m/>
    <x v="1"/>
    <x v="1"/>
    <x v="0"/>
    <x v="0"/>
    <x v="0"/>
  </r>
  <r>
    <s v="Singapore"/>
    <x v="4"/>
    <s v="SG1"/>
    <m/>
    <x v="5"/>
    <x v="0"/>
    <x v="3"/>
    <x v="1"/>
    <x v="0"/>
    <x v="0"/>
    <x v="0"/>
    <m/>
    <x v="0"/>
    <x v="0"/>
    <n v="-3.1158000000000002E-2"/>
    <m/>
    <x v="0"/>
    <x v="1"/>
    <x v="0"/>
    <x v="0"/>
    <x v="1"/>
  </r>
  <r>
    <s v="Singapore"/>
    <x v="4"/>
    <s v="SG3"/>
    <m/>
    <x v="5"/>
    <x v="4"/>
    <x v="3"/>
    <x v="5"/>
    <x v="0"/>
    <x v="0"/>
    <x v="0"/>
    <m/>
    <x v="0"/>
    <x v="0"/>
    <n v="-9.3474000000000004"/>
    <m/>
    <x v="4"/>
    <x v="3"/>
    <x v="0"/>
    <x v="1"/>
    <x v="1"/>
  </r>
  <r>
    <s v="Singapore"/>
    <x v="0"/>
    <s v="SG2"/>
    <m/>
    <x v="3"/>
    <x v="0"/>
    <x v="0"/>
    <x v="5"/>
    <x v="0"/>
    <x v="0"/>
    <x v="0"/>
    <m/>
    <x v="0"/>
    <x v="0"/>
    <n v="0.70105499999999998"/>
    <m/>
    <x v="1"/>
    <x v="1"/>
    <x v="0"/>
    <x v="4"/>
    <x v="2"/>
  </r>
  <r>
    <s v="Singapore"/>
    <x v="0"/>
    <s v="SG4"/>
    <m/>
    <x v="3"/>
    <x v="3"/>
    <x v="2"/>
    <x v="1"/>
    <x v="0"/>
    <x v="0"/>
    <x v="0"/>
    <m/>
    <x v="0"/>
    <x v="0"/>
    <n v="-0.31158000000000002"/>
    <m/>
    <x v="0"/>
    <x v="3"/>
    <x v="0"/>
    <x v="2"/>
    <x v="1"/>
  </r>
  <r>
    <s v="Singapore"/>
    <x v="0"/>
    <s v="SG4"/>
    <m/>
    <x v="1"/>
    <x v="1"/>
    <x v="0"/>
    <x v="0"/>
    <x v="0"/>
    <x v="0"/>
    <x v="0"/>
    <m/>
    <x v="0"/>
    <x v="0"/>
    <n v="-4.6737000000000001E-2"/>
    <m/>
    <x v="0"/>
    <x v="0"/>
    <x v="0"/>
    <x v="5"/>
    <x v="2"/>
  </r>
  <r>
    <s v="Singapore"/>
    <x v="2"/>
    <s v="SG4"/>
    <m/>
    <x v="3"/>
    <x v="0"/>
    <x v="4"/>
    <x v="5"/>
    <x v="0"/>
    <x v="0"/>
    <x v="0"/>
    <m/>
    <x v="0"/>
    <x v="0"/>
    <n v="-0.12463200000000001"/>
    <m/>
    <x v="0"/>
    <x v="0"/>
    <x v="0"/>
    <x v="3"/>
    <x v="0"/>
  </r>
  <r>
    <s v="Singapore"/>
    <x v="0"/>
    <s v="SG1"/>
    <m/>
    <x v="3"/>
    <x v="0"/>
    <x v="3"/>
    <x v="4"/>
    <x v="0"/>
    <x v="0"/>
    <x v="0"/>
    <m/>
    <x v="0"/>
    <x v="0"/>
    <n v="16.06288374"/>
    <m/>
    <x v="7"/>
    <x v="1"/>
    <x v="0"/>
    <x v="3"/>
    <x v="0"/>
  </r>
  <r>
    <s v="Singapore"/>
    <x v="4"/>
    <s v="SG3"/>
    <m/>
    <x v="1"/>
    <x v="2"/>
    <x v="2"/>
    <x v="4"/>
    <x v="0"/>
    <x v="0"/>
    <x v="0"/>
    <m/>
    <x v="0"/>
    <x v="0"/>
    <n v="-4.6152787499999999"/>
    <m/>
    <x v="3"/>
    <x v="3"/>
    <x v="0"/>
    <x v="1"/>
    <x v="1"/>
  </r>
  <r>
    <s v="Singapore"/>
    <x v="1"/>
    <s v="SG4"/>
    <m/>
    <x v="3"/>
    <x v="1"/>
    <x v="3"/>
    <x v="2"/>
    <x v="0"/>
    <x v="0"/>
    <x v="0"/>
    <m/>
    <x v="0"/>
    <x v="0"/>
    <n v="-0.264843"/>
    <m/>
    <x v="4"/>
    <x v="3"/>
    <x v="0"/>
    <x v="2"/>
    <x v="2"/>
  </r>
  <r>
    <s v="Singapore"/>
    <x v="0"/>
    <s v="SG1"/>
    <m/>
    <x v="3"/>
    <x v="4"/>
    <x v="1"/>
    <x v="5"/>
    <x v="0"/>
    <x v="0"/>
    <x v="0"/>
    <m/>
    <x v="0"/>
    <x v="0"/>
    <n v="-1.241739774"/>
    <m/>
    <x v="2"/>
    <x v="3"/>
    <x v="0"/>
    <x v="3"/>
    <x v="1"/>
  </r>
  <r>
    <s v="Singapore"/>
    <x v="2"/>
    <s v="SG1"/>
    <m/>
    <x v="3"/>
    <x v="4"/>
    <x v="3"/>
    <x v="4"/>
    <x v="0"/>
    <x v="0"/>
    <x v="0"/>
    <m/>
    <x v="0"/>
    <x v="0"/>
    <n v="2.3368500000000001"/>
    <m/>
    <x v="4"/>
    <x v="0"/>
    <x v="0"/>
    <x v="2"/>
    <x v="1"/>
  </r>
  <r>
    <s v="Singapore"/>
    <x v="2"/>
    <s v="SG3"/>
    <m/>
    <x v="4"/>
    <x v="2"/>
    <x v="4"/>
    <x v="4"/>
    <x v="0"/>
    <x v="0"/>
    <x v="0"/>
    <m/>
    <x v="0"/>
    <x v="0"/>
    <n v="2.7263250000000001"/>
    <m/>
    <x v="1"/>
    <x v="2"/>
    <x v="0"/>
    <x v="5"/>
    <x v="0"/>
  </r>
  <r>
    <s v="Singapore"/>
    <x v="0"/>
    <s v="SG2"/>
    <m/>
    <x v="4"/>
    <x v="4"/>
    <x v="2"/>
    <x v="3"/>
    <x v="0"/>
    <x v="0"/>
    <x v="0"/>
    <m/>
    <x v="0"/>
    <x v="0"/>
    <n v="0.72623066400000003"/>
    <m/>
    <x v="8"/>
    <x v="0"/>
    <x v="0"/>
    <x v="2"/>
    <x v="1"/>
  </r>
  <r>
    <s v="Singapore"/>
    <x v="4"/>
    <s v="SG3"/>
    <m/>
    <x v="4"/>
    <x v="2"/>
    <x v="4"/>
    <x v="0"/>
    <x v="0"/>
    <x v="0"/>
    <x v="0"/>
    <m/>
    <x v="0"/>
    <x v="0"/>
    <n v="-0.1215162"/>
    <m/>
    <x v="3"/>
    <x v="1"/>
    <x v="0"/>
    <x v="2"/>
    <x v="1"/>
  </r>
  <r>
    <s v="Singapore"/>
    <x v="2"/>
    <s v="SG3"/>
    <m/>
    <x v="4"/>
    <x v="0"/>
    <x v="2"/>
    <x v="5"/>
    <x v="0"/>
    <x v="0"/>
    <x v="0"/>
    <m/>
    <x v="0"/>
    <x v="0"/>
    <n v="0.68547600000000009"/>
    <m/>
    <x v="8"/>
    <x v="0"/>
    <x v="0"/>
    <x v="0"/>
    <x v="2"/>
  </r>
  <r>
    <s v="Singapore"/>
    <x v="5"/>
    <s v="SG2"/>
    <m/>
    <x v="0"/>
    <x v="0"/>
    <x v="4"/>
    <x v="0"/>
    <x v="0"/>
    <x v="0"/>
    <x v="0"/>
    <m/>
    <x v="0"/>
    <x v="0"/>
    <n v="-9.8147700000000004E-2"/>
    <m/>
    <x v="3"/>
    <x v="0"/>
    <x v="0"/>
    <x v="5"/>
    <x v="2"/>
  </r>
  <r>
    <s v="Singapore"/>
    <x v="4"/>
    <s v="SG4"/>
    <m/>
    <x v="0"/>
    <x v="1"/>
    <x v="3"/>
    <x v="4"/>
    <x v="0"/>
    <x v="0"/>
    <x v="0"/>
    <m/>
    <x v="0"/>
    <x v="0"/>
    <n v="-2.775180744"/>
    <m/>
    <x v="4"/>
    <x v="0"/>
    <x v="0"/>
    <x v="5"/>
    <x v="0"/>
  </r>
  <r>
    <s v="Singapore"/>
    <x v="3"/>
    <s v="SG4"/>
    <m/>
    <x v="3"/>
    <x v="3"/>
    <x v="1"/>
    <x v="5"/>
    <x v="0"/>
    <x v="0"/>
    <x v="0"/>
    <m/>
    <x v="0"/>
    <x v="0"/>
    <n v="-1.5579000000000001E-2"/>
    <m/>
    <x v="0"/>
    <x v="0"/>
    <x v="0"/>
    <x v="4"/>
    <x v="1"/>
  </r>
  <r>
    <s v="Singapore"/>
    <x v="0"/>
    <s v="SG2"/>
    <m/>
    <x v="2"/>
    <x v="1"/>
    <x v="3"/>
    <x v="5"/>
    <x v="0"/>
    <x v="0"/>
    <x v="0"/>
    <m/>
    <x v="0"/>
    <x v="0"/>
    <n v="-0.77895000000000003"/>
    <m/>
    <x v="4"/>
    <x v="0"/>
    <x v="0"/>
    <x v="1"/>
    <x v="0"/>
  </r>
  <r>
    <s v="Singapore"/>
    <x v="4"/>
    <s v="SG1"/>
    <m/>
    <x v="5"/>
    <x v="1"/>
    <x v="0"/>
    <x v="2"/>
    <x v="0"/>
    <x v="0"/>
    <x v="0"/>
    <m/>
    <x v="0"/>
    <x v="0"/>
    <n v="-1.074951"/>
    <m/>
    <x v="1"/>
    <x v="3"/>
    <x v="0"/>
    <x v="2"/>
    <x v="0"/>
  </r>
  <r>
    <s v="Singapore"/>
    <x v="0"/>
    <s v="SG2"/>
    <m/>
    <x v="4"/>
    <x v="3"/>
    <x v="2"/>
    <x v="3"/>
    <x v="0"/>
    <x v="0"/>
    <x v="0"/>
    <m/>
    <x v="0"/>
    <x v="0"/>
    <n v="-0.21810600000000002"/>
    <m/>
    <x v="4"/>
    <x v="1"/>
    <x v="0"/>
    <x v="1"/>
    <x v="1"/>
  </r>
  <r>
    <s v="Singapore"/>
    <x v="4"/>
    <s v="SG2"/>
    <m/>
    <x v="5"/>
    <x v="3"/>
    <x v="3"/>
    <x v="2"/>
    <x v="0"/>
    <x v="0"/>
    <x v="0"/>
    <m/>
    <x v="0"/>
    <x v="0"/>
    <n v="-5.1083541000000003E-2"/>
    <m/>
    <x v="0"/>
    <x v="3"/>
    <x v="0"/>
    <x v="5"/>
    <x v="2"/>
  </r>
  <r>
    <s v="Singapore"/>
    <x v="1"/>
    <s v="SG3"/>
    <m/>
    <x v="0"/>
    <x v="0"/>
    <x v="0"/>
    <x v="3"/>
    <x v="0"/>
    <x v="0"/>
    <x v="0"/>
    <m/>
    <x v="0"/>
    <x v="0"/>
    <n v="-0.12463200000000001"/>
    <m/>
    <x v="0"/>
    <x v="0"/>
    <x v="0"/>
    <x v="0"/>
    <x v="1"/>
  </r>
  <r>
    <s v="Singapore"/>
    <x v="1"/>
    <s v="SG3"/>
    <m/>
    <x v="5"/>
    <x v="1"/>
    <x v="1"/>
    <x v="4"/>
    <x v="0"/>
    <x v="0"/>
    <x v="0"/>
    <m/>
    <x v="0"/>
    <x v="0"/>
    <n v="-1.5579000000000001E-2"/>
    <m/>
    <x v="0"/>
    <x v="1"/>
    <x v="0"/>
    <x v="1"/>
    <x v="0"/>
  </r>
  <r>
    <s v="Singapore"/>
    <x v="4"/>
    <s v="SG1"/>
    <m/>
    <x v="0"/>
    <x v="4"/>
    <x v="0"/>
    <x v="3"/>
    <x v="0"/>
    <x v="0"/>
    <x v="0"/>
    <m/>
    <x v="0"/>
    <x v="0"/>
    <n v="-1.5579000000000001E-2"/>
    <m/>
    <x v="0"/>
    <x v="2"/>
    <x v="0"/>
    <x v="0"/>
    <x v="1"/>
  </r>
  <r>
    <s v="Singapore"/>
    <x v="1"/>
    <s v="SG1"/>
    <m/>
    <x v="0"/>
    <x v="2"/>
    <x v="1"/>
    <x v="0"/>
    <x v="0"/>
    <x v="0"/>
    <x v="0"/>
    <m/>
    <x v="0"/>
    <x v="0"/>
    <n v="16.59101184"/>
    <m/>
    <x v="7"/>
    <x v="3"/>
    <x v="0"/>
    <x v="1"/>
    <x v="1"/>
  </r>
  <r>
    <s v="Singapore"/>
    <x v="0"/>
    <s v="SG2"/>
    <m/>
    <x v="1"/>
    <x v="2"/>
    <x v="4"/>
    <x v="3"/>
    <x v="0"/>
    <x v="0"/>
    <x v="0"/>
    <m/>
    <x v="0"/>
    <x v="0"/>
    <n v="216.52320475799999"/>
    <m/>
    <x v="3"/>
    <x v="3"/>
    <x v="0"/>
    <x v="3"/>
    <x v="0"/>
  </r>
  <r>
    <s v="Singapore"/>
    <x v="2"/>
    <s v="SG1"/>
    <m/>
    <x v="2"/>
    <x v="0"/>
    <x v="1"/>
    <x v="2"/>
    <x v="0"/>
    <x v="0"/>
    <x v="0"/>
    <m/>
    <x v="0"/>
    <x v="0"/>
    <n v="-5.1410700000000004E-2"/>
    <m/>
    <x v="3"/>
    <x v="2"/>
    <x v="0"/>
    <x v="1"/>
    <x v="1"/>
  </r>
  <r>
    <s v="Singapore"/>
    <x v="2"/>
    <s v="SG2"/>
    <m/>
    <x v="5"/>
    <x v="1"/>
    <x v="1"/>
    <x v="3"/>
    <x v="0"/>
    <x v="0"/>
    <x v="0"/>
    <m/>
    <x v="0"/>
    <x v="0"/>
    <n v="-0.17136900000000002"/>
    <m/>
    <x v="8"/>
    <x v="3"/>
    <x v="0"/>
    <x v="4"/>
    <x v="1"/>
  </r>
  <r>
    <s v="Singapore"/>
    <x v="1"/>
    <s v="SG3"/>
    <m/>
    <x v="5"/>
    <x v="1"/>
    <x v="4"/>
    <x v="5"/>
    <x v="0"/>
    <x v="0"/>
    <x v="0"/>
    <m/>
    <x v="0"/>
    <x v="0"/>
    <n v="-3.8947500000000003E-2"/>
    <m/>
    <x v="0"/>
    <x v="3"/>
    <x v="0"/>
    <x v="1"/>
    <x v="2"/>
  </r>
  <r>
    <s v="Singapore"/>
    <x v="0"/>
    <s v="SG4"/>
    <m/>
    <x v="3"/>
    <x v="4"/>
    <x v="1"/>
    <x v="2"/>
    <x v="0"/>
    <x v="0"/>
    <x v="0"/>
    <m/>
    <x v="0"/>
    <x v="0"/>
    <n v="0.15579000000000001"/>
    <m/>
    <x v="1"/>
    <x v="2"/>
    <x v="0"/>
    <x v="5"/>
    <x v="0"/>
  </r>
  <r>
    <s v="Singapore"/>
    <x v="3"/>
    <s v="SG2"/>
    <m/>
    <x v="4"/>
    <x v="3"/>
    <x v="0"/>
    <x v="2"/>
    <x v="0"/>
    <x v="0"/>
    <x v="0"/>
    <m/>
    <x v="0"/>
    <x v="0"/>
    <n v="-7.7895000000000006E-2"/>
    <m/>
    <x v="4"/>
    <x v="0"/>
    <x v="0"/>
    <x v="3"/>
    <x v="2"/>
  </r>
  <r>
    <s v="Singapore"/>
    <x v="3"/>
    <s v="SG1"/>
    <m/>
    <x v="3"/>
    <x v="4"/>
    <x v="1"/>
    <x v="3"/>
    <x v="0"/>
    <x v="0"/>
    <x v="0"/>
    <m/>
    <x v="0"/>
    <x v="0"/>
    <n v="4.6737000000000001E-2"/>
    <m/>
    <x v="0"/>
    <x v="0"/>
    <x v="0"/>
    <x v="2"/>
    <x v="0"/>
  </r>
  <r>
    <s v="Singapore"/>
    <x v="2"/>
    <s v="SG3"/>
    <m/>
    <x v="3"/>
    <x v="4"/>
    <x v="2"/>
    <x v="5"/>
    <x v="0"/>
    <x v="0"/>
    <x v="0"/>
    <m/>
    <x v="0"/>
    <x v="0"/>
    <n v="-0.37389600000000001"/>
    <m/>
    <x v="4"/>
    <x v="0"/>
    <x v="0"/>
    <x v="0"/>
    <x v="2"/>
  </r>
  <r>
    <s v="Singapore"/>
    <x v="3"/>
    <s v="SG1"/>
    <m/>
    <x v="1"/>
    <x v="3"/>
    <x v="3"/>
    <x v="3"/>
    <x v="0"/>
    <x v="0"/>
    <x v="0"/>
    <m/>
    <x v="0"/>
    <x v="0"/>
    <n v="0.5530545"/>
    <m/>
    <x v="1"/>
    <x v="0"/>
    <x v="0"/>
    <x v="1"/>
    <x v="0"/>
  </r>
  <r>
    <s v="Singapore"/>
    <x v="0"/>
    <s v="SG1"/>
    <m/>
    <x v="1"/>
    <x v="1"/>
    <x v="2"/>
    <x v="2"/>
    <x v="0"/>
    <x v="0"/>
    <x v="0"/>
    <m/>
    <x v="0"/>
    <x v="0"/>
    <n v="-0.186948"/>
    <m/>
    <x v="4"/>
    <x v="2"/>
    <x v="0"/>
    <x v="4"/>
    <x v="0"/>
  </r>
  <r>
    <s v="Singapore"/>
    <x v="5"/>
    <s v="SG3"/>
    <m/>
    <x v="1"/>
    <x v="4"/>
    <x v="0"/>
    <x v="3"/>
    <x v="0"/>
    <x v="0"/>
    <x v="0"/>
    <m/>
    <x v="0"/>
    <x v="0"/>
    <n v="-2.4926400000000001E-2"/>
    <m/>
    <x v="6"/>
    <x v="2"/>
    <x v="0"/>
    <x v="5"/>
    <x v="2"/>
  </r>
  <r>
    <s v="Singapore"/>
    <x v="4"/>
    <s v="SG1"/>
    <m/>
    <x v="1"/>
    <x v="1"/>
    <x v="4"/>
    <x v="3"/>
    <x v="0"/>
    <x v="0"/>
    <x v="0"/>
    <m/>
    <x v="0"/>
    <x v="0"/>
    <n v="1.462603257"/>
    <m/>
    <x v="1"/>
    <x v="0"/>
    <x v="0"/>
    <x v="4"/>
    <x v="0"/>
  </r>
  <r>
    <s v="Singapore"/>
    <x v="2"/>
    <s v="SG3"/>
    <m/>
    <x v="5"/>
    <x v="0"/>
    <x v="4"/>
    <x v="1"/>
    <x v="0"/>
    <x v="0"/>
    <x v="0"/>
    <m/>
    <x v="0"/>
    <x v="0"/>
    <n v="0.14862366000000002"/>
    <m/>
    <x v="8"/>
    <x v="0"/>
    <x v="0"/>
    <x v="1"/>
    <x v="1"/>
  </r>
  <r>
    <s v="Singapore"/>
    <x v="3"/>
    <s v="SG2"/>
    <m/>
    <x v="4"/>
    <x v="4"/>
    <x v="4"/>
    <x v="4"/>
    <x v="0"/>
    <x v="0"/>
    <x v="0"/>
    <m/>
    <x v="0"/>
    <x v="0"/>
    <n v="-4.6737000000000001E-2"/>
    <m/>
    <x v="0"/>
    <x v="0"/>
    <x v="0"/>
    <x v="0"/>
    <x v="0"/>
  </r>
  <r>
    <s v="Singapore"/>
    <x v="0"/>
    <s v="SG3"/>
    <m/>
    <x v="5"/>
    <x v="4"/>
    <x v="0"/>
    <x v="0"/>
    <x v="0"/>
    <x v="0"/>
    <x v="0"/>
    <m/>
    <x v="0"/>
    <x v="0"/>
    <n v="-4.4789625E-2"/>
    <m/>
    <x v="6"/>
    <x v="0"/>
    <x v="0"/>
    <x v="2"/>
    <x v="1"/>
  </r>
  <r>
    <s v="Singapore"/>
    <x v="0"/>
    <s v="SG3"/>
    <m/>
    <x v="4"/>
    <x v="0"/>
    <x v="4"/>
    <x v="1"/>
    <x v="0"/>
    <x v="0"/>
    <x v="0"/>
    <m/>
    <x v="0"/>
    <x v="0"/>
    <n v="-0.19863225000000001"/>
    <m/>
    <x v="8"/>
    <x v="3"/>
    <x v="0"/>
    <x v="5"/>
    <x v="0"/>
  </r>
  <r>
    <s v="Singapore"/>
    <x v="3"/>
    <s v="SG4"/>
    <m/>
    <x v="3"/>
    <x v="2"/>
    <x v="4"/>
    <x v="2"/>
    <x v="0"/>
    <x v="0"/>
    <x v="0"/>
    <m/>
    <x v="0"/>
    <x v="0"/>
    <n v="-0.12463200000000001"/>
    <m/>
    <x v="0"/>
    <x v="0"/>
    <x v="0"/>
    <x v="3"/>
    <x v="0"/>
  </r>
  <r>
    <s v="Singapore"/>
    <x v="5"/>
    <s v="SG1"/>
    <m/>
    <x v="2"/>
    <x v="2"/>
    <x v="0"/>
    <x v="5"/>
    <x v="0"/>
    <x v="0"/>
    <x v="0"/>
    <m/>
    <x v="0"/>
    <x v="0"/>
    <n v="-1.3397940000000002"/>
    <m/>
    <x v="4"/>
    <x v="2"/>
    <x v="0"/>
    <x v="4"/>
    <x v="1"/>
  </r>
  <r>
    <s v="Singapore"/>
    <x v="5"/>
    <s v="SG3"/>
    <m/>
    <x v="5"/>
    <x v="4"/>
    <x v="4"/>
    <x v="0"/>
    <x v="0"/>
    <x v="0"/>
    <x v="0"/>
    <m/>
    <x v="0"/>
    <x v="0"/>
    <n v="0.1324215"/>
    <m/>
    <x v="1"/>
    <x v="1"/>
    <x v="0"/>
    <x v="0"/>
    <x v="0"/>
  </r>
  <r>
    <s v="Singapore"/>
    <x v="3"/>
    <s v="SG3"/>
    <m/>
    <x v="2"/>
    <x v="4"/>
    <x v="2"/>
    <x v="4"/>
    <x v="0"/>
    <x v="0"/>
    <x v="0"/>
    <m/>
    <x v="0"/>
    <x v="0"/>
    <n v="-3.1158000000000002E-2"/>
    <m/>
    <x v="0"/>
    <x v="0"/>
    <x v="0"/>
    <x v="1"/>
    <x v="2"/>
  </r>
  <r>
    <s v="Singapore"/>
    <x v="1"/>
    <s v="SG2"/>
    <m/>
    <x v="4"/>
    <x v="1"/>
    <x v="1"/>
    <x v="4"/>
    <x v="0"/>
    <x v="0"/>
    <x v="0"/>
    <m/>
    <x v="0"/>
    <x v="0"/>
    <n v="2.6484300000000003"/>
    <m/>
    <x v="1"/>
    <x v="1"/>
    <x v="0"/>
    <x v="0"/>
    <x v="2"/>
  </r>
  <r>
    <s v="Singapore"/>
    <x v="2"/>
    <s v="SG4"/>
    <m/>
    <x v="2"/>
    <x v="4"/>
    <x v="0"/>
    <x v="1"/>
    <x v="0"/>
    <x v="0"/>
    <x v="0"/>
    <m/>
    <x v="0"/>
    <x v="0"/>
    <n v="-0.24926400000000001"/>
    <m/>
    <x v="0"/>
    <x v="2"/>
    <x v="0"/>
    <x v="0"/>
    <x v="0"/>
  </r>
  <r>
    <s v="Singapore"/>
    <x v="2"/>
    <s v="SG3"/>
    <m/>
    <x v="1"/>
    <x v="4"/>
    <x v="4"/>
    <x v="5"/>
    <x v="0"/>
    <x v="0"/>
    <x v="0"/>
    <m/>
    <x v="0"/>
    <x v="0"/>
    <n v="0.65869569900000002"/>
    <m/>
    <x v="8"/>
    <x v="2"/>
    <x v="0"/>
    <x v="5"/>
    <x v="2"/>
  </r>
  <r>
    <s v="Singapore"/>
    <x v="0"/>
    <s v="SG2"/>
    <m/>
    <x v="1"/>
    <x v="1"/>
    <x v="0"/>
    <x v="0"/>
    <x v="0"/>
    <x v="0"/>
    <x v="0"/>
    <m/>
    <x v="0"/>
    <x v="0"/>
    <n v="-0.46737000000000001"/>
    <m/>
    <x v="4"/>
    <x v="3"/>
    <x v="0"/>
    <x v="2"/>
    <x v="1"/>
  </r>
  <r>
    <s v="Singapore"/>
    <x v="3"/>
    <s v="SG2"/>
    <m/>
    <x v="5"/>
    <x v="3"/>
    <x v="2"/>
    <x v="1"/>
    <x v="0"/>
    <x v="0"/>
    <x v="0"/>
    <m/>
    <x v="0"/>
    <x v="0"/>
    <n v="0.12463200000000001"/>
    <m/>
    <x v="0"/>
    <x v="1"/>
    <x v="0"/>
    <x v="0"/>
    <x v="1"/>
  </r>
  <r>
    <s v="Singapore"/>
    <x v="1"/>
    <s v="SG2"/>
    <m/>
    <x v="2"/>
    <x v="3"/>
    <x v="4"/>
    <x v="4"/>
    <x v="0"/>
    <x v="0"/>
    <x v="0"/>
    <m/>
    <x v="0"/>
    <x v="0"/>
    <n v="0.46737000000000001"/>
    <m/>
    <x v="4"/>
    <x v="3"/>
    <x v="0"/>
    <x v="5"/>
    <x v="2"/>
  </r>
  <r>
    <s v="Singapore"/>
    <x v="1"/>
    <s v="SG3"/>
    <m/>
    <x v="0"/>
    <x v="0"/>
    <x v="2"/>
    <x v="5"/>
    <x v="0"/>
    <x v="0"/>
    <x v="0"/>
    <m/>
    <x v="0"/>
    <x v="0"/>
    <n v="-0.37389600000000001"/>
    <m/>
    <x v="0"/>
    <x v="1"/>
    <x v="0"/>
    <x v="0"/>
    <x v="0"/>
  </r>
  <r>
    <s v="Singapore"/>
    <x v="3"/>
    <s v="SG2"/>
    <m/>
    <x v="3"/>
    <x v="0"/>
    <x v="2"/>
    <x v="3"/>
    <x v="0"/>
    <x v="0"/>
    <x v="0"/>
    <m/>
    <x v="0"/>
    <x v="0"/>
    <n v="-109.05300000000001"/>
    <m/>
    <x v="1"/>
    <x v="0"/>
    <x v="0"/>
    <x v="3"/>
    <x v="2"/>
  </r>
  <r>
    <s v="Singapore"/>
    <x v="0"/>
    <s v="SG3"/>
    <m/>
    <x v="2"/>
    <x v="3"/>
    <x v="4"/>
    <x v="0"/>
    <x v="0"/>
    <x v="0"/>
    <x v="0"/>
    <m/>
    <x v="0"/>
    <x v="0"/>
    <n v="-0.40427505000000002"/>
    <m/>
    <x v="0"/>
    <x v="0"/>
    <x v="0"/>
    <x v="4"/>
    <x v="1"/>
  </r>
  <r>
    <s v="Singapore"/>
    <x v="5"/>
    <s v="SG3"/>
    <m/>
    <x v="1"/>
    <x v="1"/>
    <x v="4"/>
    <x v="0"/>
    <x v="0"/>
    <x v="0"/>
    <x v="0"/>
    <m/>
    <x v="0"/>
    <x v="0"/>
    <n v="-9.3474000000000002E-2"/>
    <m/>
    <x v="0"/>
    <x v="1"/>
    <x v="0"/>
    <x v="5"/>
    <x v="1"/>
  </r>
  <r>
    <s v="Singapore"/>
    <x v="5"/>
    <s v="SG1"/>
    <m/>
    <x v="4"/>
    <x v="4"/>
    <x v="1"/>
    <x v="4"/>
    <x v="0"/>
    <x v="0"/>
    <x v="0"/>
    <m/>
    <x v="0"/>
    <x v="0"/>
    <n v="0.20252700000000001"/>
    <m/>
    <x v="1"/>
    <x v="0"/>
    <x v="0"/>
    <x v="3"/>
    <x v="0"/>
  </r>
  <r>
    <s v="Singapore"/>
    <x v="2"/>
    <s v="SG2"/>
    <m/>
    <x v="2"/>
    <x v="0"/>
    <x v="2"/>
    <x v="4"/>
    <x v="0"/>
    <x v="0"/>
    <x v="0"/>
    <m/>
    <x v="0"/>
    <x v="0"/>
    <n v="-107.49510000000001"/>
    <m/>
    <x v="4"/>
    <x v="1"/>
    <x v="0"/>
    <x v="0"/>
    <x v="0"/>
  </r>
  <r>
    <s v="Singapore"/>
    <x v="4"/>
    <s v="SG1"/>
    <m/>
    <x v="5"/>
    <x v="1"/>
    <x v="2"/>
    <x v="0"/>
    <x v="0"/>
    <x v="0"/>
    <x v="0"/>
    <m/>
    <x v="0"/>
    <x v="0"/>
    <n v="-0.31158000000000002"/>
    <m/>
    <x v="4"/>
    <x v="3"/>
    <x v="0"/>
    <x v="5"/>
    <x v="1"/>
  </r>
  <r>
    <s v="Singapore"/>
    <x v="0"/>
    <s v="SG1"/>
    <m/>
    <x v="4"/>
    <x v="4"/>
    <x v="0"/>
    <x v="3"/>
    <x v="0"/>
    <x v="0"/>
    <x v="0"/>
    <m/>
    <x v="0"/>
    <x v="0"/>
    <n v="-0.38947500000000002"/>
    <m/>
    <x v="0"/>
    <x v="3"/>
    <x v="0"/>
    <x v="2"/>
    <x v="0"/>
  </r>
  <r>
    <s v="Singapore"/>
    <x v="1"/>
    <s v="SG4"/>
    <m/>
    <x v="3"/>
    <x v="3"/>
    <x v="3"/>
    <x v="4"/>
    <x v="0"/>
    <x v="0"/>
    <x v="0"/>
    <m/>
    <x v="0"/>
    <x v="0"/>
    <n v="-0.12463200000000001"/>
    <m/>
    <x v="4"/>
    <x v="0"/>
    <x v="0"/>
    <x v="0"/>
    <x v="2"/>
  </r>
  <r>
    <s v="Singapore"/>
    <x v="0"/>
    <s v="SG4"/>
    <m/>
    <x v="2"/>
    <x v="4"/>
    <x v="2"/>
    <x v="5"/>
    <x v="0"/>
    <x v="0"/>
    <x v="0"/>
    <m/>
    <x v="0"/>
    <x v="0"/>
    <n v="-1.1310354"/>
    <m/>
    <x v="3"/>
    <x v="3"/>
    <x v="0"/>
    <x v="5"/>
    <x v="1"/>
  </r>
  <r>
    <s v="Singapore"/>
    <x v="0"/>
    <s v="SG1"/>
    <m/>
    <x v="2"/>
    <x v="2"/>
    <x v="3"/>
    <x v="5"/>
    <x v="0"/>
    <x v="0"/>
    <x v="0"/>
    <m/>
    <x v="0"/>
    <x v="0"/>
    <n v="-0.77895000000000003"/>
    <m/>
    <x v="4"/>
    <x v="0"/>
    <x v="0"/>
    <x v="0"/>
    <x v="1"/>
  </r>
  <r>
    <s v="Singapore"/>
    <x v="4"/>
    <s v="SG2"/>
    <m/>
    <x v="4"/>
    <x v="0"/>
    <x v="0"/>
    <x v="2"/>
    <x v="0"/>
    <x v="0"/>
    <x v="0"/>
    <m/>
    <x v="0"/>
    <x v="0"/>
    <n v="-80.387640000000005"/>
    <m/>
    <x v="3"/>
    <x v="0"/>
    <x v="0"/>
    <x v="2"/>
    <x v="1"/>
  </r>
  <r>
    <s v="Singapore"/>
    <x v="5"/>
    <s v="SG3"/>
    <m/>
    <x v="5"/>
    <x v="1"/>
    <x v="2"/>
    <x v="0"/>
    <x v="0"/>
    <x v="0"/>
    <x v="0"/>
    <m/>
    <x v="0"/>
    <x v="0"/>
    <n v="-0.48656332800000002"/>
    <m/>
    <x v="3"/>
    <x v="2"/>
    <x v="0"/>
    <x v="5"/>
    <x v="0"/>
  </r>
  <r>
    <s v="Singapore"/>
    <x v="2"/>
    <s v="SG1"/>
    <m/>
    <x v="2"/>
    <x v="1"/>
    <x v="2"/>
    <x v="0"/>
    <x v="0"/>
    <x v="0"/>
    <x v="0"/>
    <m/>
    <x v="0"/>
    <x v="0"/>
    <n v="5.9568954930000002"/>
    <m/>
    <x v="5"/>
    <x v="2"/>
    <x v="0"/>
    <x v="2"/>
    <x v="1"/>
  </r>
  <r>
    <s v="Singapore"/>
    <x v="0"/>
    <s v="SG3"/>
    <m/>
    <x v="4"/>
    <x v="1"/>
    <x v="2"/>
    <x v="1"/>
    <x v="0"/>
    <x v="0"/>
    <x v="0"/>
    <m/>
    <x v="0"/>
    <x v="0"/>
    <n v="8.6214186000000012E-2"/>
    <m/>
    <x v="8"/>
    <x v="3"/>
    <x v="0"/>
    <x v="3"/>
    <x v="2"/>
  </r>
  <r>
    <s v="Singapore"/>
    <x v="1"/>
    <s v="SG1"/>
    <m/>
    <x v="3"/>
    <x v="2"/>
    <x v="2"/>
    <x v="2"/>
    <x v="0"/>
    <x v="0"/>
    <x v="0"/>
    <m/>
    <x v="0"/>
    <x v="0"/>
    <n v="-1.5579000000000001E-2"/>
    <m/>
    <x v="0"/>
    <x v="1"/>
    <x v="0"/>
    <x v="3"/>
    <x v="0"/>
  </r>
  <r>
    <s v="Singapore"/>
    <x v="3"/>
    <s v="SG1"/>
    <m/>
    <x v="4"/>
    <x v="2"/>
    <x v="2"/>
    <x v="1"/>
    <x v="0"/>
    <x v="0"/>
    <x v="0"/>
    <m/>
    <x v="0"/>
    <x v="0"/>
    <n v="-0.1215162"/>
    <m/>
    <x v="3"/>
    <x v="3"/>
    <x v="0"/>
    <x v="2"/>
    <x v="1"/>
  </r>
  <r>
    <s v="Singapore"/>
    <x v="5"/>
    <s v="SG3"/>
    <m/>
    <x v="1"/>
    <x v="1"/>
    <x v="1"/>
    <x v="0"/>
    <x v="0"/>
    <x v="0"/>
    <x v="0"/>
    <m/>
    <x v="0"/>
    <x v="0"/>
    <n v="-7.9343847000000009E-2"/>
    <m/>
    <x v="3"/>
    <x v="2"/>
    <x v="0"/>
    <x v="0"/>
    <x v="0"/>
  </r>
  <r>
    <s v="Singapore"/>
    <x v="2"/>
    <s v="SG2"/>
    <m/>
    <x v="1"/>
    <x v="1"/>
    <x v="4"/>
    <x v="5"/>
    <x v="0"/>
    <x v="0"/>
    <x v="0"/>
    <m/>
    <x v="0"/>
    <x v="0"/>
    <n v="0.264843"/>
    <m/>
    <x v="1"/>
    <x v="1"/>
    <x v="0"/>
    <x v="4"/>
    <x v="2"/>
  </r>
  <r>
    <s v="Singapore"/>
    <x v="4"/>
    <s v="SG1"/>
    <m/>
    <x v="5"/>
    <x v="3"/>
    <x v="1"/>
    <x v="3"/>
    <x v="0"/>
    <x v="0"/>
    <x v="0"/>
    <m/>
    <x v="0"/>
    <x v="0"/>
    <n v="-0.85684500000000008"/>
    <m/>
    <x v="1"/>
    <x v="0"/>
    <x v="0"/>
    <x v="0"/>
    <x v="2"/>
  </r>
  <r>
    <s v="Singapore"/>
    <x v="3"/>
    <s v="SG2"/>
    <m/>
    <x v="1"/>
    <x v="2"/>
    <x v="0"/>
    <x v="1"/>
    <x v="0"/>
    <x v="0"/>
    <x v="0"/>
    <m/>
    <x v="0"/>
    <x v="0"/>
    <n v="-1.5579000000000001E-2"/>
    <m/>
    <x v="0"/>
    <x v="2"/>
    <x v="0"/>
    <x v="5"/>
    <x v="1"/>
  </r>
  <r>
    <s v="Singapore"/>
    <x v="3"/>
    <s v="SG3"/>
    <m/>
    <x v="3"/>
    <x v="1"/>
    <x v="4"/>
    <x v="2"/>
    <x v="0"/>
    <x v="0"/>
    <x v="0"/>
    <m/>
    <x v="0"/>
    <x v="0"/>
    <n v="-47.206457586000006"/>
    <m/>
    <x v="1"/>
    <x v="2"/>
    <x v="0"/>
    <x v="4"/>
    <x v="0"/>
  </r>
  <r>
    <s v="Singapore"/>
    <x v="2"/>
    <s v="SG2"/>
    <m/>
    <x v="0"/>
    <x v="1"/>
    <x v="4"/>
    <x v="3"/>
    <x v="0"/>
    <x v="0"/>
    <x v="0"/>
    <m/>
    <x v="0"/>
    <x v="0"/>
    <n v="-0.42063300000000003"/>
    <m/>
    <x v="0"/>
    <x v="1"/>
    <x v="0"/>
    <x v="2"/>
    <x v="0"/>
  </r>
  <r>
    <s v="Singapore"/>
    <x v="4"/>
    <s v="SG2"/>
    <m/>
    <x v="4"/>
    <x v="0"/>
    <x v="1"/>
    <x v="4"/>
    <x v="0"/>
    <x v="0"/>
    <x v="0"/>
    <m/>
    <x v="0"/>
    <x v="0"/>
    <n v="1.5225356700000001"/>
    <m/>
    <x v="1"/>
    <x v="1"/>
    <x v="0"/>
    <x v="1"/>
    <x v="2"/>
  </r>
  <r>
    <s v="Singapore"/>
    <x v="3"/>
    <s v="SG3"/>
    <m/>
    <x v="4"/>
    <x v="3"/>
    <x v="1"/>
    <x v="0"/>
    <x v="0"/>
    <x v="0"/>
    <x v="0"/>
    <m/>
    <x v="0"/>
    <x v="0"/>
    <n v="-0.12463200000000001"/>
    <m/>
    <x v="4"/>
    <x v="3"/>
    <x v="0"/>
    <x v="2"/>
    <x v="0"/>
  </r>
  <r>
    <s v="Singapore"/>
    <x v="2"/>
    <s v="SG2"/>
    <m/>
    <x v="3"/>
    <x v="0"/>
    <x v="0"/>
    <x v="3"/>
    <x v="0"/>
    <x v="0"/>
    <x v="0"/>
    <m/>
    <x v="0"/>
    <x v="0"/>
    <n v="-1.5579000000000001E-2"/>
    <m/>
    <x v="0"/>
    <x v="2"/>
    <x v="0"/>
    <x v="4"/>
    <x v="1"/>
  </r>
  <r>
    <s v="Singapore"/>
    <x v="5"/>
    <s v="SG2"/>
    <m/>
    <x v="3"/>
    <x v="4"/>
    <x v="2"/>
    <x v="5"/>
    <x v="0"/>
    <x v="0"/>
    <x v="0"/>
    <m/>
    <x v="0"/>
    <x v="0"/>
    <n v="-1.40211"/>
    <m/>
    <x v="4"/>
    <x v="2"/>
    <x v="0"/>
    <x v="3"/>
    <x v="2"/>
  </r>
  <r>
    <s v="Singapore"/>
    <x v="2"/>
    <s v="SG4"/>
    <m/>
    <x v="0"/>
    <x v="4"/>
    <x v="3"/>
    <x v="2"/>
    <x v="0"/>
    <x v="0"/>
    <x v="0"/>
    <m/>
    <x v="0"/>
    <x v="0"/>
    <n v="-0.128448855"/>
    <m/>
    <x v="0"/>
    <x v="1"/>
    <x v="0"/>
    <x v="1"/>
    <x v="2"/>
  </r>
  <r>
    <s v="Singapore"/>
    <x v="0"/>
    <s v="SG4"/>
    <m/>
    <x v="1"/>
    <x v="4"/>
    <x v="2"/>
    <x v="1"/>
    <x v="0"/>
    <x v="0"/>
    <x v="0"/>
    <m/>
    <x v="0"/>
    <x v="0"/>
    <n v="0.15968475000000001"/>
    <m/>
    <x v="7"/>
    <x v="3"/>
    <x v="0"/>
    <x v="1"/>
    <x v="1"/>
  </r>
  <r>
    <s v="Singapore"/>
    <x v="0"/>
    <s v="SG1"/>
    <m/>
    <x v="5"/>
    <x v="0"/>
    <x v="2"/>
    <x v="2"/>
    <x v="0"/>
    <x v="0"/>
    <x v="0"/>
    <m/>
    <x v="0"/>
    <x v="0"/>
    <n v="-18.694800000000001"/>
    <m/>
    <x v="1"/>
    <x v="2"/>
    <x v="0"/>
    <x v="1"/>
    <x v="0"/>
  </r>
  <r>
    <s v="Singapore"/>
    <x v="3"/>
    <s v="SG2"/>
    <m/>
    <x v="1"/>
    <x v="1"/>
    <x v="4"/>
    <x v="2"/>
    <x v="0"/>
    <x v="0"/>
    <x v="0"/>
    <m/>
    <x v="0"/>
    <x v="0"/>
    <n v="-4.6737000000000001E-2"/>
    <m/>
    <x v="0"/>
    <x v="0"/>
    <x v="0"/>
    <x v="4"/>
    <x v="1"/>
  </r>
  <r>
    <s v="Singapore"/>
    <x v="1"/>
    <s v="SG3"/>
    <m/>
    <x v="0"/>
    <x v="3"/>
    <x v="1"/>
    <x v="3"/>
    <x v="0"/>
    <x v="0"/>
    <x v="0"/>
    <m/>
    <x v="0"/>
    <x v="0"/>
    <n v="-0.47515950000000001"/>
    <m/>
    <x v="4"/>
    <x v="3"/>
    <x v="0"/>
    <x v="1"/>
    <x v="1"/>
  </r>
  <r>
    <s v="Singapore"/>
    <x v="3"/>
    <s v="SG4"/>
    <m/>
    <x v="2"/>
    <x v="4"/>
    <x v="1"/>
    <x v="3"/>
    <x v="0"/>
    <x v="0"/>
    <x v="0"/>
    <m/>
    <x v="0"/>
    <x v="0"/>
    <n v="-1.5579000000000001E-2"/>
    <m/>
    <x v="0"/>
    <x v="0"/>
    <x v="0"/>
    <x v="0"/>
    <x v="0"/>
  </r>
  <r>
    <s v="Singapore"/>
    <x v="2"/>
    <s v="SG3"/>
    <m/>
    <x v="4"/>
    <x v="1"/>
    <x v="3"/>
    <x v="2"/>
    <x v="0"/>
    <x v="0"/>
    <x v="0"/>
    <m/>
    <x v="0"/>
    <x v="0"/>
    <n v="9.7894073880000008"/>
    <m/>
    <x v="8"/>
    <x v="3"/>
    <x v="0"/>
    <x v="4"/>
    <x v="0"/>
  </r>
  <r>
    <s v="Singapore"/>
    <x v="3"/>
    <s v="SG2"/>
    <m/>
    <x v="2"/>
    <x v="2"/>
    <x v="0"/>
    <x v="3"/>
    <x v="0"/>
    <x v="0"/>
    <x v="0"/>
    <m/>
    <x v="0"/>
    <x v="0"/>
    <n v="0.66989700000000008"/>
    <m/>
    <x v="1"/>
    <x v="0"/>
    <x v="0"/>
    <x v="2"/>
    <x v="0"/>
  </r>
  <r>
    <s v="Singapore"/>
    <x v="2"/>
    <s v="SG1"/>
    <m/>
    <x v="0"/>
    <x v="1"/>
    <x v="3"/>
    <x v="0"/>
    <x v="0"/>
    <x v="0"/>
    <x v="0"/>
    <m/>
    <x v="0"/>
    <x v="0"/>
    <n v="-7.0105500000000001E-2"/>
    <m/>
    <x v="4"/>
    <x v="2"/>
    <x v="0"/>
    <x v="2"/>
    <x v="2"/>
  </r>
  <r>
    <s v="Singapore"/>
    <x v="1"/>
    <s v="SG1"/>
    <m/>
    <x v="0"/>
    <x v="4"/>
    <x v="0"/>
    <x v="2"/>
    <x v="0"/>
    <x v="0"/>
    <x v="0"/>
    <m/>
    <x v="0"/>
    <x v="0"/>
    <n v="0.34273800000000004"/>
    <m/>
    <x v="7"/>
    <x v="1"/>
    <x v="0"/>
    <x v="4"/>
    <x v="1"/>
  </r>
  <r>
    <s v="Singapore"/>
    <x v="2"/>
    <s v="SG3"/>
    <m/>
    <x v="4"/>
    <x v="0"/>
    <x v="3"/>
    <x v="1"/>
    <x v="0"/>
    <x v="0"/>
    <x v="0"/>
    <m/>
    <x v="0"/>
    <x v="0"/>
    <n v="-11.363821128"/>
    <m/>
    <x v="7"/>
    <x v="0"/>
    <x v="0"/>
    <x v="4"/>
    <x v="0"/>
  </r>
  <r>
    <s v="Singapore"/>
    <x v="4"/>
    <s v="SG3"/>
    <m/>
    <x v="5"/>
    <x v="2"/>
    <x v="2"/>
    <x v="0"/>
    <x v="0"/>
    <x v="0"/>
    <x v="0"/>
    <m/>
    <x v="0"/>
    <x v="0"/>
    <n v="-3.5590225500000003"/>
    <m/>
    <x v="3"/>
    <x v="1"/>
    <x v="0"/>
    <x v="3"/>
    <x v="2"/>
  </r>
  <r>
    <s v="Singapore"/>
    <x v="3"/>
    <s v="SG4"/>
    <m/>
    <x v="1"/>
    <x v="2"/>
    <x v="1"/>
    <x v="4"/>
    <x v="0"/>
    <x v="0"/>
    <x v="0"/>
    <m/>
    <x v="0"/>
    <x v="0"/>
    <n v="34.050724299000002"/>
    <m/>
    <x v="7"/>
    <x v="1"/>
    <x v="0"/>
    <x v="5"/>
    <x v="0"/>
  </r>
  <r>
    <s v="Singapore"/>
    <x v="5"/>
    <s v="SG1"/>
    <m/>
    <x v="3"/>
    <x v="0"/>
    <x v="0"/>
    <x v="2"/>
    <x v="0"/>
    <x v="0"/>
    <x v="0"/>
    <m/>
    <x v="0"/>
    <x v="0"/>
    <n v="-4.6737000000000001E-2"/>
    <m/>
    <x v="0"/>
    <x v="3"/>
    <x v="0"/>
    <x v="4"/>
    <x v="0"/>
  </r>
  <r>
    <s v="Singapore"/>
    <x v="2"/>
    <s v="SG4"/>
    <m/>
    <x v="3"/>
    <x v="3"/>
    <x v="0"/>
    <x v="0"/>
    <x v="0"/>
    <x v="0"/>
    <x v="0"/>
    <m/>
    <x v="0"/>
    <x v="0"/>
    <n v="0.37389600000000001"/>
    <m/>
    <x v="1"/>
    <x v="1"/>
    <x v="0"/>
    <x v="1"/>
    <x v="1"/>
  </r>
  <r>
    <s v="Singapore"/>
    <x v="1"/>
    <s v="SG2"/>
    <m/>
    <x v="4"/>
    <x v="1"/>
    <x v="0"/>
    <x v="2"/>
    <x v="0"/>
    <x v="0"/>
    <x v="0"/>
    <m/>
    <x v="0"/>
    <x v="0"/>
    <n v="-7.7895000000000006E-2"/>
    <m/>
    <x v="1"/>
    <x v="1"/>
    <x v="0"/>
    <x v="4"/>
    <x v="2"/>
  </r>
  <r>
    <s v="Singapore"/>
    <x v="3"/>
    <s v="SG1"/>
    <m/>
    <x v="5"/>
    <x v="0"/>
    <x v="0"/>
    <x v="3"/>
    <x v="0"/>
    <x v="0"/>
    <x v="0"/>
    <m/>
    <x v="0"/>
    <x v="0"/>
    <n v="1.0671615000000001"/>
    <m/>
    <x v="1"/>
    <x v="2"/>
    <x v="0"/>
    <x v="2"/>
    <x v="0"/>
  </r>
  <r>
    <s v="Singapore"/>
    <x v="2"/>
    <s v="SG2"/>
    <m/>
    <x v="2"/>
    <x v="2"/>
    <x v="3"/>
    <x v="4"/>
    <x v="0"/>
    <x v="0"/>
    <x v="0"/>
    <m/>
    <x v="0"/>
    <x v="0"/>
    <n v="-0.21810600000000002"/>
    <m/>
    <x v="1"/>
    <x v="0"/>
    <x v="0"/>
    <x v="0"/>
    <x v="1"/>
  </r>
  <r>
    <s v="Singapore"/>
    <x v="1"/>
    <s v="SG1"/>
    <m/>
    <x v="2"/>
    <x v="0"/>
    <x v="0"/>
    <x v="4"/>
    <x v="0"/>
    <x v="0"/>
    <x v="0"/>
    <m/>
    <x v="0"/>
    <x v="0"/>
    <n v="-15.318612594000001"/>
    <m/>
    <x v="7"/>
    <x v="1"/>
    <x v="0"/>
    <x v="4"/>
    <x v="0"/>
  </r>
  <r>
    <s v="Singapore"/>
    <x v="4"/>
    <s v="SG1"/>
    <m/>
    <x v="4"/>
    <x v="3"/>
    <x v="0"/>
    <x v="3"/>
    <x v="0"/>
    <x v="0"/>
    <x v="0"/>
    <m/>
    <x v="0"/>
    <x v="0"/>
    <n v="1.464426"/>
    <m/>
    <x v="4"/>
    <x v="3"/>
    <x v="0"/>
    <x v="2"/>
    <x v="1"/>
  </r>
  <r>
    <s v="Singapore"/>
    <x v="5"/>
    <s v="SG1"/>
    <m/>
    <x v="3"/>
    <x v="2"/>
    <x v="0"/>
    <x v="5"/>
    <x v="0"/>
    <x v="0"/>
    <x v="0"/>
    <m/>
    <x v="0"/>
    <x v="0"/>
    <n v="-3.3735545549999997"/>
    <m/>
    <x v="0"/>
    <x v="0"/>
    <x v="0"/>
    <x v="0"/>
    <x v="1"/>
  </r>
  <r>
    <s v="Singapore"/>
    <x v="0"/>
    <s v="SG1"/>
    <m/>
    <x v="2"/>
    <x v="2"/>
    <x v="0"/>
    <x v="1"/>
    <x v="0"/>
    <x v="0"/>
    <x v="0"/>
    <m/>
    <x v="0"/>
    <x v="0"/>
    <n v="-0.26328509999999999"/>
    <m/>
    <x v="2"/>
    <x v="1"/>
    <x v="0"/>
    <x v="1"/>
    <x v="2"/>
  </r>
  <r>
    <s v="Singapore"/>
    <x v="3"/>
    <s v="SG4"/>
    <m/>
    <x v="2"/>
    <x v="1"/>
    <x v="4"/>
    <x v="2"/>
    <x v="0"/>
    <x v="0"/>
    <x v="0"/>
    <m/>
    <x v="0"/>
    <x v="0"/>
    <n v="-8.8550412840000003"/>
    <m/>
    <x v="2"/>
    <x v="2"/>
    <x v="0"/>
    <x v="1"/>
    <x v="2"/>
  </r>
  <r>
    <s v="Singapore"/>
    <x v="3"/>
    <s v="SG3"/>
    <m/>
    <x v="1"/>
    <x v="3"/>
    <x v="2"/>
    <x v="3"/>
    <x v="0"/>
    <x v="0"/>
    <x v="0"/>
    <m/>
    <x v="0"/>
    <x v="0"/>
    <n v="-2.0252700000000002E-2"/>
    <m/>
    <x v="2"/>
    <x v="2"/>
    <x v="0"/>
    <x v="4"/>
    <x v="0"/>
  </r>
  <r>
    <s v="Singapore"/>
    <x v="0"/>
    <s v="SG1"/>
    <m/>
    <x v="4"/>
    <x v="0"/>
    <x v="3"/>
    <x v="1"/>
    <x v="0"/>
    <x v="0"/>
    <x v="0"/>
    <m/>
    <x v="0"/>
    <x v="0"/>
    <n v="0.37389600000000001"/>
    <m/>
    <x v="1"/>
    <x v="1"/>
    <x v="0"/>
    <x v="0"/>
    <x v="2"/>
  </r>
  <r>
    <s v="Singapore"/>
    <x v="1"/>
    <s v="SG1"/>
    <m/>
    <x v="4"/>
    <x v="0"/>
    <x v="1"/>
    <x v="0"/>
    <x v="0"/>
    <x v="0"/>
    <x v="0"/>
    <m/>
    <x v="0"/>
    <x v="0"/>
    <n v="1.0054063440000001"/>
    <m/>
    <x v="1"/>
    <x v="1"/>
    <x v="0"/>
    <x v="3"/>
    <x v="2"/>
  </r>
  <r>
    <s v="Singapore"/>
    <x v="3"/>
    <s v="SG4"/>
    <m/>
    <x v="1"/>
    <x v="3"/>
    <x v="3"/>
    <x v="2"/>
    <x v="0"/>
    <x v="0"/>
    <x v="0"/>
    <m/>
    <x v="0"/>
    <x v="0"/>
    <n v="-18.624632183999999"/>
    <m/>
    <x v="3"/>
    <x v="2"/>
    <x v="0"/>
    <x v="2"/>
    <x v="0"/>
  </r>
  <r>
    <s v="Singapore"/>
    <x v="3"/>
    <s v="SG3"/>
    <m/>
    <x v="5"/>
    <x v="1"/>
    <x v="3"/>
    <x v="1"/>
    <x v="0"/>
    <x v="0"/>
    <x v="0"/>
    <m/>
    <x v="0"/>
    <x v="0"/>
    <n v="-9.3474000000000002E-2"/>
    <m/>
    <x v="0"/>
    <x v="1"/>
    <x v="0"/>
    <x v="1"/>
    <x v="0"/>
  </r>
  <r>
    <s v="Singapore"/>
    <x v="2"/>
    <s v="SG1"/>
    <m/>
    <x v="0"/>
    <x v="3"/>
    <x v="3"/>
    <x v="2"/>
    <x v="0"/>
    <x v="0"/>
    <x v="0"/>
    <m/>
    <x v="0"/>
    <x v="0"/>
    <n v="-3.8464551000000007E-2"/>
    <m/>
    <x v="0"/>
    <x v="3"/>
    <x v="0"/>
    <x v="2"/>
    <x v="0"/>
  </r>
  <r>
    <s v="Singapore"/>
    <x v="3"/>
    <s v="SG4"/>
    <m/>
    <x v="4"/>
    <x v="4"/>
    <x v="0"/>
    <x v="3"/>
    <x v="0"/>
    <x v="0"/>
    <x v="0"/>
    <m/>
    <x v="0"/>
    <x v="0"/>
    <n v="2.3368500000000001"/>
    <m/>
    <x v="1"/>
    <x v="1"/>
    <x v="0"/>
    <x v="5"/>
    <x v="0"/>
  </r>
  <r>
    <s v="Singapore"/>
    <x v="1"/>
    <s v="SG3"/>
    <m/>
    <x v="3"/>
    <x v="4"/>
    <x v="1"/>
    <x v="0"/>
    <x v="0"/>
    <x v="0"/>
    <x v="0"/>
    <m/>
    <x v="0"/>
    <x v="0"/>
    <n v="-0.15579000000000001"/>
    <m/>
    <x v="0"/>
    <x v="3"/>
    <x v="0"/>
    <x v="5"/>
    <x v="2"/>
  </r>
  <r>
    <s v="Singapore"/>
    <x v="3"/>
    <s v="SG4"/>
    <m/>
    <x v="3"/>
    <x v="1"/>
    <x v="3"/>
    <x v="5"/>
    <x v="0"/>
    <x v="0"/>
    <x v="0"/>
    <m/>
    <x v="0"/>
    <x v="0"/>
    <n v="-0.59803107300000002"/>
    <m/>
    <x v="0"/>
    <x v="2"/>
    <x v="0"/>
    <x v="4"/>
    <x v="1"/>
  </r>
  <r>
    <s v="Singapore"/>
    <x v="4"/>
    <s v="SG4"/>
    <m/>
    <x v="5"/>
    <x v="1"/>
    <x v="1"/>
    <x v="4"/>
    <x v="0"/>
    <x v="0"/>
    <x v="0"/>
    <m/>
    <x v="0"/>
    <x v="0"/>
    <n v="-0.50631749999999998"/>
    <m/>
    <x v="0"/>
    <x v="3"/>
    <x v="0"/>
    <x v="5"/>
    <x v="0"/>
  </r>
  <r>
    <s v="Singapore"/>
    <x v="2"/>
    <s v="SG3"/>
    <m/>
    <x v="5"/>
    <x v="2"/>
    <x v="4"/>
    <x v="1"/>
    <x v="0"/>
    <x v="0"/>
    <x v="0"/>
    <m/>
    <x v="0"/>
    <x v="0"/>
    <n v="0.15579000000000001"/>
    <m/>
    <x v="1"/>
    <x v="3"/>
    <x v="0"/>
    <x v="1"/>
    <x v="2"/>
  </r>
  <r>
    <s v="Singapore"/>
    <x v="3"/>
    <s v="SG2"/>
    <m/>
    <x v="3"/>
    <x v="4"/>
    <x v="2"/>
    <x v="2"/>
    <x v="0"/>
    <x v="0"/>
    <x v="0"/>
    <m/>
    <x v="0"/>
    <x v="0"/>
    <n v="-1.3680075690000002"/>
    <m/>
    <x v="4"/>
    <x v="3"/>
    <x v="0"/>
    <x v="2"/>
    <x v="2"/>
  </r>
  <r>
    <s v="Singapore"/>
    <x v="4"/>
    <s v="SG3"/>
    <m/>
    <x v="5"/>
    <x v="0"/>
    <x v="3"/>
    <x v="3"/>
    <x v="0"/>
    <x v="0"/>
    <x v="0"/>
    <m/>
    <x v="0"/>
    <x v="0"/>
    <n v="0.37389600000000001"/>
    <m/>
    <x v="4"/>
    <x v="3"/>
    <x v="0"/>
    <x v="3"/>
    <x v="2"/>
  </r>
  <r>
    <s v="Singapore"/>
    <x v="1"/>
    <s v="SG1"/>
    <m/>
    <x v="4"/>
    <x v="0"/>
    <x v="0"/>
    <x v="0"/>
    <x v="0"/>
    <x v="0"/>
    <x v="0"/>
    <m/>
    <x v="0"/>
    <x v="0"/>
    <n v="-0.77895000000000003"/>
    <m/>
    <x v="3"/>
    <x v="2"/>
    <x v="0"/>
    <x v="4"/>
    <x v="1"/>
  </r>
  <r>
    <s v="Singapore"/>
    <x v="0"/>
    <s v="SG2"/>
    <m/>
    <x v="0"/>
    <x v="3"/>
    <x v="2"/>
    <x v="0"/>
    <x v="0"/>
    <x v="0"/>
    <x v="0"/>
    <m/>
    <x v="0"/>
    <x v="0"/>
    <n v="-4.6737000000000001E-2"/>
    <m/>
    <x v="0"/>
    <x v="0"/>
    <x v="0"/>
    <x v="2"/>
    <x v="1"/>
  </r>
  <r>
    <s v="Singapore"/>
    <x v="4"/>
    <s v="SG3"/>
    <m/>
    <x v="2"/>
    <x v="3"/>
    <x v="0"/>
    <x v="3"/>
    <x v="0"/>
    <x v="0"/>
    <x v="0"/>
    <m/>
    <x v="0"/>
    <x v="0"/>
    <n v="-7.7895000000000003"/>
    <m/>
    <x v="1"/>
    <x v="2"/>
    <x v="0"/>
    <x v="0"/>
    <x v="1"/>
  </r>
  <r>
    <s v="Singapore"/>
    <x v="5"/>
    <s v="SG4"/>
    <m/>
    <x v="1"/>
    <x v="2"/>
    <x v="3"/>
    <x v="5"/>
    <x v="0"/>
    <x v="0"/>
    <x v="0"/>
    <m/>
    <x v="0"/>
    <x v="0"/>
    <n v="-7.0105500000000001E-2"/>
    <m/>
    <x v="4"/>
    <x v="0"/>
    <x v="0"/>
    <x v="3"/>
    <x v="1"/>
  </r>
  <r>
    <s v="Singapore"/>
    <x v="5"/>
    <s v="SG1"/>
    <m/>
    <x v="5"/>
    <x v="2"/>
    <x v="3"/>
    <x v="0"/>
    <x v="0"/>
    <x v="0"/>
    <x v="0"/>
    <m/>
    <x v="0"/>
    <x v="0"/>
    <n v="0.30379050000000002"/>
    <m/>
    <x v="7"/>
    <x v="0"/>
    <x v="0"/>
    <x v="1"/>
    <x v="0"/>
  </r>
  <r>
    <s v="Singapore"/>
    <x v="4"/>
    <s v="SG3"/>
    <m/>
    <x v="4"/>
    <x v="4"/>
    <x v="2"/>
    <x v="4"/>
    <x v="0"/>
    <x v="0"/>
    <x v="0"/>
    <m/>
    <x v="0"/>
    <x v="0"/>
    <n v="-1.3008465"/>
    <m/>
    <x v="1"/>
    <x v="2"/>
    <x v="0"/>
    <x v="3"/>
    <x v="0"/>
  </r>
  <r>
    <s v="Singapore"/>
    <x v="0"/>
    <s v="SG1"/>
    <m/>
    <x v="3"/>
    <x v="1"/>
    <x v="0"/>
    <x v="5"/>
    <x v="0"/>
    <x v="0"/>
    <x v="0"/>
    <m/>
    <x v="0"/>
    <x v="0"/>
    <n v="-4.6737000000000001E-2"/>
    <m/>
    <x v="0"/>
    <x v="2"/>
    <x v="0"/>
    <x v="0"/>
    <x v="2"/>
  </r>
  <r>
    <s v="Singapore"/>
    <x v="5"/>
    <s v="SG2"/>
    <m/>
    <x v="1"/>
    <x v="0"/>
    <x v="4"/>
    <x v="5"/>
    <x v="0"/>
    <x v="0"/>
    <x v="0"/>
    <m/>
    <x v="0"/>
    <x v="0"/>
    <n v="-0.62316000000000005"/>
    <m/>
    <x v="4"/>
    <x v="3"/>
    <x v="0"/>
    <x v="1"/>
    <x v="1"/>
  </r>
  <r>
    <s v="Singapore"/>
    <x v="0"/>
    <s v="SG4"/>
    <m/>
    <x v="1"/>
    <x v="3"/>
    <x v="2"/>
    <x v="1"/>
    <x v="0"/>
    <x v="0"/>
    <x v="0"/>
    <m/>
    <x v="0"/>
    <x v="0"/>
    <n v="-15.579000000000001"/>
    <m/>
    <x v="1"/>
    <x v="1"/>
    <x v="0"/>
    <x v="3"/>
    <x v="0"/>
  </r>
  <r>
    <s v="Singapore"/>
    <x v="3"/>
    <s v="SG2"/>
    <m/>
    <x v="3"/>
    <x v="2"/>
    <x v="0"/>
    <x v="2"/>
    <x v="0"/>
    <x v="0"/>
    <x v="0"/>
    <m/>
    <x v="0"/>
    <x v="0"/>
    <n v="0.82568700000000006"/>
    <m/>
    <x v="1"/>
    <x v="0"/>
    <x v="0"/>
    <x v="4"/>
    <x v="1"/>
  </r>
  <r>
    <s v="Singapore"/>
    <x v="4"/>
    <s v="SG2"/>
    <m/>
    <x v="3"/>
    <x v="3"/>
    <x v="3"/>
    <x v="0"/>
    <x v="0"/>
    <x v="0"/>
    <x v="0"/>
    <m/>
    <x v="0"/>
    <x v="0"/>
    <n v="-0.21810600000000002"/>
    <m/>
    <x v="4"/>
    <x v="1"/>
    <x v="0"/>
    <x v="2"/>
    <x v="1"/>
  </r>
  <r>
    <s v="Singapore"/>
    <x v="2"/>
    <s v="SG4"/>
    <m/>
    <x v="1"/>
    <x v="0"/>
    <x v="3"/>
    <x v="1"/>
    <x v="0"/>
    <x v="0"/>
    <x v="0"/>
    <m/>
    <x v="0"/>
    <x v="0"/>
    <n v="-0.15579000000000001"/>
    <m/>
    <x v="0"/>
    <x v="0"/>
    <x v="0"/>
    <x v="1"/>
    <x v="1"/>
  </r>
  <r>
    <s v="Singapore"/>
    <x v="5"/>
    <s v="SG3"/>
    <m/>
    <x v="5"/>
    <x v="2"/>
    <x v="2"/>
    <x v="4"/>
    <x v="0"/>
    <x v="0"/>
    <x v="0"/>
    <m/>
    <x v="0"/>
    <x v="0"/>
    <n v="-0.14955840000000001"/>
    <m/>
    <x v="3"/>
    <x v="1"/>
    <x v="0"/>
    <x v="3"/>
    <x v="1"/>
  </r>
  <r>
    <s v="Singapore"/>
    <x v="5"/>
    <s v="SG2"/>
    <m/>
    <x v="0"/>
    <x v="3"/>
    <x v="2"/>
    <x v="0"/>
    <x v="0"/>
    <x v="0"/>
    <x v="0"/>
    <m/>
    <x v="0"/>
    <x v="0"/>
    <n v="-0.15579000000000001"/>
    <m/>
    <x v="0"/>
    <x v="3"/>
    <x v="0"/>
    <x v="5"/>
    <x v="0"/>
  </r>
  <r>
    <s v="Singapore"/>
    <x v="1"/>
    <s v="SG4"/>
    <m/>
    <x v="5"/>
    <x v="4"/>
    <x v="4"/>
    <x v="3"/>
    <x v="0"/>
    <x v="0"/>
    <x v="0"/>
    <m/>
    <x v="0"/>
    <x v="0"/>
    <n v="-0.15579000000000001"/>
    <m/>
    <x v="0"/>
    <x v="3"/>
    <x v="0"/>
    <x v="4"/>
    <x v="1"/>
  </r>
  <r>
    <s v="Singapore"/>
    <x v="5"/>
    <s v="SG2"/>
    <m/>
    <x v="3"/>
    <x v="0"/>
    <x v="2"/>
    <x v="3"/>
    <x v="0"/>
    <x v="0"/>
    <x v="0"/>
    <m/>
    <x v="0"/>
    <x v="0"/>
    <n v="-3.080466828"/>
    <m/>
    <x v="0"/>
    <x v="3"/>
    <x v="0"/>
    <x v="2"/>
    <x v="0"/>
  </r>
  <r>
    <s v="Singapore"/>
    <x v="2"/>
    <s v="SG3"/>
    <m/>
    <x v="5"/>
    <x v="0"/>
    <x v="0"/>
    <x v="3"/>
    <x v="0"/>
    <x v="0"/>
    <x v="0"/>
    <m/>
    <x v="0"/>
    <x v="0"/>
    <n v="-4.2842250000000002"/>
    <m/>
    <x v="4"/>
    <x v="0"/>
    <x v="0"/>
    <x v="0"/>
    <x v="2"/>
  </r>
  <r>
    <s v="Singapore"/>
    <x v="0"/>
    <s v="SG2"/>
    <m/>
    <x v="5"/>
    <x v="2"/>
    <x v="4"/>
    <x v="5"/>
    <x v="0"/>
    <x v="0"/>
    <x v="0"/>
    <m/>
    <x v="0"/>
    <x v="0"/>
    <n v="0.31158000000000002"/>
    <m/>
    <x v="8"/>
    <x v="3"/>
    <x v="0"/>
    <x v="1"/>
    <x v="1"/>
  </r>
  <r>
    <s v="Singapore"/>
    <x v="5"/>
    <s v="SG1"/>
    <m/>
    <x v="1"/>
    <x v="3"/>
    <x v="2"/>
    <x v="3"/>
    <x v="0"/>
    <x v="0"/>
    <x v="0"/>
    <m/>
    <x v="0"/>
    <x v="0"/>
    <n v="-8.7553980000000013"/>
    <m/>
    <x v="2"/>
    <x v="2"/>
    <x v="0"/>
    <x v="3"/>
    <x v="1"/>
  </r>
  <r>
    <s v="Singapore"/>
    <x v="0"/>
    <s v="SG2"/>
    <m/>
    <x v="3"/>
    <x v="0"/>
    <x v="4"/>
    <x v="0"/>
    <x v="0"/>
    <x v="0"/>
    <x v="0"/>
    <m/>
    <x v="0"/>
    <x v="0"/>
    <n v="-0.8880030000000001"/>
    <m/>
    <x v="0"/>
    <x v="2"/>
    <x v="0"/>
    <x v="0"/>
    <x v="0"/>
  </r>
  <r>
    <s v="Singapore"/>
    <x v="5"/>
    <s v="SG2"/>
    <m/>
    <x v="3"/>
    <x v="4"/>
    <x v="4"/>
    <x v="5"/>
    <x v="0"/>
    <x v="0"/>
    <x v="0"/>
    <m/>
    <x v="0"/>
    <x v="0"/>
    <n v="-4.8606480000000003"/>
    <m/>
    <x v="4"/>
    <x v="3"/>
    <x v="0"/>
    <x v="5"/>
    <x v="1"/>
  </r>
  <r>
    <s v="Singapore"/>
    <x v="2"/>
    <s v="SG4"/>
    <m/>
    <x v="5"/>
    <x v="0"/>
    <x v="1"/>
    <x v="3"/>
    <x v="0"/>
    <x v="0"/>
    <x v="0"/>
    <m/>
    <x v="0"/>
    <x v="0"/>
    <n v="2.6484300000000003"/>
    <m/>
    <x v="1"/>
    <x v="0"/>
    <x v="0"/>
    <x v="2"/>
    <x v="2"/>
  </r>
  <r>
    <s v="Singapore"/>
    <x v="2"/>
    <s v="SG1"/>
    <m/>
    <x v="2"/>
    <x v="4"/>
    <x v="0"/>
    <x v="2"/>
    <x v="0"/>
    <x v="0"/>
    <x v="0"/>
    <m/>
    <x v="0"/>
    <x v="0"/>
    <n v="-0.62316000000000005"/>
    <m/>
    <x v="4"/>
    <x v="3"/>
    <x v="0"/>
    <x v="5"/>
    <x v="1"/>
  </r>
  <r>
    <s v="Singapore"/>
    <x v="1"/>
    <s v="SG4"/>
    <m/>
    <x v="3"/>
    <x v="0"/>
    <x v="3"/>
    <x v="3"/>
    <x v="0"/>
    <x v="0"/>
    <x v="0"/>
    <m/>
    <x v="0"/>
    <x v="0"/>
    <n v="-0.62316000000000005"/>
    <m/>
    <x v="0"/>
    <x v="2"/>
    <x v="0"/>
    <x v="4"/>
    <x v="1"/>
  </r>
  <r>
    <s v="Singapore"/>
    <x v="5"/>
    <s v="SG1"/>
    <m/>
    <x v="2"/>
    <x v="2"/>
    <x v="3"/>
    <x v="4"/>
    <x v="0"/>
    <x v="0"/>
    <x v="0"/>
    <m/>
    <x v="0"/>
    <x v="0"/>
    <n v="5.4526500000000002"/>
    <m/>
    <x v="1"/>
    <x v="2"/>
    <x v="0"/>
    <x v="4"/>
    <x v="1"/>
  </r>
  <r>
    <s v="Singapore"/>
    <x v="2"/>
    <s v="SG3"/>
    <m/>
    <x v="0"/>
    <x v="2"/>
    <x v="4"/>
    <x v="4"/>
    <x v="0"/>
    <x v="0"/>
    <x v="0"/>
    <m/>
    <x v="0"/>
    <x v="0"/>
    <n v="-0.1838322"/>
    <m/>
    <x v="4"/>
    <x v="2"/>
    <x v="0"/>
    <x v="4"/>
    <x v="2"/>
  </r>
  <r>
    <s v="Singapore"/>
    <x v="5"/>
    <s v="SG1"/>
    <m/>
    <x v="3"/>
    <x v="1"/>
    <x v="2"/>
    <x v="2"/>
    <x v="0"/>
    <x v="0"/>
    <x v="0"/>
    <m/>
    <x v="0"/>
    <x v="0"/>
    <n v="-0.233685"/>
    <m/>
    <x v="0"/>
    <x v="2"/>
    <x v="0"/>
    <x v="4"/>
    <x v="2"/>
  </r>
  <r>
    <s v="Singapore"/>
    <x v="1"/>
    <s v="SG4"/>
    <m/>
    <x v="0"/>
    <x v="1"/>
    <x v="4"/>
    <x v="0"/>
    <x v="0"/>
    <x v="0"/>
    <x v="0"/>
    <m/>
    <x v="0"/>
    <x v="0"/>
    <n v="-0.545265"/>
    <m/>
    <x v="0"/>
    <x v="3"/>
    <x v="0"/>
    <x v="1"/>
    <x v="2"/>
  </r>
  <r>
    <s v="Singapore"/>
    <x v="4"/>
    <s v="SG2"/>
    <m/>
    <x v="4"/>
    <x v="1"/>
    <x v="2"/>
    <x v="3"/>
    <x v="0"/>
    <x v="0"/>
    <x v="0"/>
    <m/>
    <x v="0"/>
    <x v="0"/>
    <n v="-7.7895000000000006E-2"/>
    <m/>
    <x v="0"/>
    <x v="0"/>
    <x v="0"/>
    <x v="4"/>
    <x v="0"/>
  </r>
  <r>
    <s v="Singapore"/>
    <x v="5"/>
    <s v="SG1"/>
    <m/>
    <x v="1"/>
    <x v="4"/>
    <x v="2"/>
    <x v="2"/>
    <x v="0"/>
    <x v="0"/>
    <x v="0"/>
    <m/>
    <x v="0"/>
    <x v="0"/>
    <n v="51.712932600000002"/>
    <m/>
    <x v="1"/>
    <x v="2"/>
    <x v="0"/>
    <x v="2"/>
    <x v="0"/>
  </r>
  <r>
    <s v="Singapore"/>
    <x v="5"/>
    <s v="SG3"/>
    <m/>
    <x v="2"/>
    <x v="2"/>
    <x v="2"/>
    <x v="3"/>
    <x v="0"/>
    <x v="0"/>
    <x v="0"/>
    <m/>
    <x v="0"/>
    <x v="0"/>
    <n v="0.45880155"/>
    <m/>
    <x v="7"/>
    <x v="3"/>
    <x v="0"/>
    <x v="2"/>
    <x v="1"/>
  </r>
  <r>
    <s v="Singapore"/>
    <x v="0"/>
    <s v="SG4"/>
    <m/>
    <x v="1"/>
    <x v="0"/>
    <x v="0"/>
    <x v="5"/>
    <x v="0"/>
    <x v="0"/>
    <x v="0"/>
    <m/>
    <x v="0"/>
    <x v="0"/>
    <n v="-0.14800050000000001"/>
    <m/>
    <x v="4"/>
    <x v="0"/>
    <x v="0"/>
    <x v="0"/>
    <x v="2"/>
  </r>
  <r>
    <s v="Singapore"/>
    <x v="3"/>
    <s v="SG2"/>
    <m/>
    <x v="0"/>
    <x v="4"/>
    <x v="0"/>
    <x v="0"/>
    <x v="0"/>
    <x v="0"/>
    <x v="0"/>
    <m/>
    <x v="0"/>
    <x v="0"/>
    <n v="-2.1031650000000002"/>
    <m/>
    <x v="4"/>
    <x v="1"/>
    <x v="0"/>
    <x v="3"/>
    <x v="0"/>
  </r>
  <r>
    <s v="Singapore"/>
    <x v="1"/>
    <s v="SG1"/>
    <m/>
    <x v="0"/>
    <x v="1"/>
    <x v="2"/>
    <x v="3"/>
    <x v="0"/>
    <x v="0"/>
    <x v="0"/>
    <m/>
    <x v="0"/>
    <x v="0"/>
    <n v="4.0505399999999998"/>
    <m/>
    <x v="11"/>
    <x v="0"/>
    <x v="0"/>
    <x v="1"/>
    <x v="0"/>
  </r>
  <r>
    <s v="Singapore"/>
    <x v="4"/>
    <s v="SG3"/>
    <m/>
    <x v="4"/>
    <x v="2"/>
    <x v="0"/>
    <x v="5"/>
    <x v="0"/>
    <x v="0"/>
    <x v="0"/>
    <m/>
    <x v="0"/>
    <x v="0"/>
    <n v="-1.5579000000000001E-2"/>
    <m/>
    <x v="0"/>
    <x v="0"/>
    <x v="0"/>
    <x v="2"/>
    <x v="0"/>
  </r>
  <r>
    <s v="Singapore"/>
    <x v="0"/>
    <s v="SG2"/>
    <m/>
    <x v="3"/>
    <x v="0"/>
    <x v="2"/>
    <x v="5"/>
    <x v="0"/>
    <x v="0"/>
    <x v="0"/>
    <m/>
    <x v="0"/>
    <x v="0"/>
    <n v="-1.2650148000000001"/>
    <m/>
    <x v="3"/>
    <x v="2"/>
    <x v="0"/>
    <x v="2"/>
    <x v="1"/>
  </r>
  <r>
    <s v="Singapore"/>
    <x v="5"/>
    <s v="SG2"/>
    <m/>
    <x v="5"/>
    <x v="0"/>
    <x v="3"/>
    <x v="4"/>
    <x v="0"/>
    <x v="0"/>
    <x v="0"/>
    <m/>
    <x v="0"/>
    <x v="0"/>
    <n v="-0.233685"/>
    <m/>
    <x v="0"/>
    <x v="0"/>
    <x v="0"/>
    <x v="5"/>
    <x v="0"/>
  </r>
  <r>
    <s v="Singapore"/>
    <x v="4"/>
    <s v="SG4"/>
    <m/>
    <x v="1"/>
    <x v="0"/>
    <x v="0"/>
    <x v="5"/>
    <x v="0"/>
    <x v="0"/>
    <x v="0"/>
    <m/>
    <x v="0"/>
    <x v="0"/>
    <n v="6.3106634250000004"/>
    <m/>
    <x v="8"/>
    <x v="2"/>
    <x v="0"/>
    <x v="3"/>
    <x v="0"/>
  </r>
  <r>
    <s v="Singapore"/>
    <x v="4"/>
    <s v="SG1"/>
    <m/>
    <x v="1"/>
    <x v="4"/>
    <x v="0"/>
    <x v="2"/>
    <x v="0"/>
    <x v="0"/>
    <x v="0"/>
    <m/>
    <x v="0"/>
    <x v="0"/>
    <n v="-27.853927785000003"/>
    <m/>
    <x v="2"/>
    <x v="0"/>
    <x v="0"/>
    <x v="5"/>
    <x v="0"/>
  </r>
  <r>
    <s v="Singapore"/>
    <x v="5"/>
    <s v="SG3"/>
    <m/>
    <x v="5"/>
    <x v="4"/>
    <x v="4"/>
    <x v="3"/>
    <x v="0"/>
    <x v="0"/>
    <x v="0"/>
    <m/>
    <x v="0"/>
    <x v="0"/>
    <n v="7.9667267040000009"/>
    <m/>
    <x v="0"/>
    <x v="2"/>
    <x v="0"/>
    <x v="0"/>
    <x v="1"/>
  </r>
  <r>
    <s v="Singapore"/>
    <x v="1"/>
    <s v="SG3"/>
    <m/>
    <x v="2"/>
    <x v="0"/>
    <x v="2"/>
    <x v="2"/>
    <x v="0"/>
    <x v="0"/>
    <x v="0"/>
    <m/>
    <x v="0"/>
    <x v="0"/>
    <n v="-0.85684500000000008"/>
    <m/>
    <x v="4"/>
    <x v="3"/>
    <x v="0"/>
    <x v="1"/>
    <x v="1"/>
  </r>
  <r>
    <s v="Singapore"/>
    <x v="4"/>
    <s v="SG3"/>
    <m/>
    <x v="5"/>
    <x v="1"/>
    <x v="3"/>
    <x v="2"/>
    <x v="0"/>
    <x v="0"/>
    <x v="0"/>
    <m/>
    <x v="0"/>
    <x v="0"/>
    <n v="-0.233685"/>
    <m/>
    <x v="4"/>
    <x v="2"/>
    <x v="0"/>
    <x v="2"/>
    <x v="0"/>
  </r>
  <r>
    <s v="Singapore"/>
    <x v="4"/>
    <s v="SG2"/>
    <m/>
    <x v="2"/>
    <x v="4"/>
    <x v="1"/>
    <x v="4"/>
    <x v="0"/>
    <x v="0"/>
    <x v="0"/>
    <m/>
    <x v="0"/>
    <x v="0"/>
    <n v="-0.15579000000000001"/>
    <m/>
    <x v="0"/>
    <x v="1"/>
    <x v="0"/>
    <x v="2"/>
    <x v="0"/>
  </r>
  <r>
    <s v="Singapore"/>
    <x v="0"/>
    <s v="SG2"/>
    <m/>
    <x v="3"/>
    <x v="1"/>
    <x v="1"/>
    <x v="1"/>
    <x v="0"/>
    <x v="0"/>
    <x v="0"/>
    <m/>
    <x v="0"/>
    <x v="0"/>
    <n v="0.21031650000000002"/>
    <m/>
    <x v="4"/>
    <x v="1"/>
    <x v="0"/>
    <x v="4"/>
    <x v="0"/>
  </r>
  <r>
    <s v="Singapore"/>
    <x v="0"/>
    <s v="SG2"/>
    <m/>
    <x v="3"/>
    <x v="4"/>
    <x v="3"/>
    <x v="0"/>
    <x v="0"/>
    <x v="0"/>
    <x v="0"/>
    <m/>
    <x v="0"/>
    <x v="0"/>
    <n v="-1.5579000000000001E-2"/>
    <m/>
    <x v="0"/>
    <x v="2"/>
    <x v="0"/>
    <x v="1"/>
    <x v="2"/>
  </r>
  <r>
    <s v="Singapore"/>
    <x v="5"/>
    <s v="SG2"/>
    <m/>
    <x v="0"/>
    <x v="4"/>
    <x v="2"/>
    <x v="5"/>
    <x v="0"/>
    <x v="0"/>
    <x v="0"/>
    <m/>
    <x v="0"/>
    <x v="0"/>
    <n v="-5.1083541000000003E-2"/>
    <m/>
    <x v="0"/>
    <x v="1"/>
    <x v="0"/>
    <x v="3"/>
    <x v="1"/>
  </r>
  <r>
    <s v="Singapore"/>
    <x v="5"/>
    <s v="SG2"/>
    <m/>
    <x v="2"/>
    <x v="2"/>
    <x v="4"/>
    <x v="0"/>
    <x v="0"/>
    <x v="0"/>
    <x v="0"/>
    <m/>
    <x v="0"/>
    <x v="0"/>
    <n v="0.17136900000000002"/>
    <m/>
    <x v="1"/>
    <x v="3"/>
    <x v="0"/>
    <x v="2"/>
    <x v="0"/>
  </r>
  <r>
    <s v="Singapore"/>
    <x v="1"/>
    <s v="SG2"/>
    <m/>
    <x v="2"/>
    <x v="0"/>
    <x v="4"/>
    <x v="1"/>
    <x v="0"/>
    <x v="0"/>
    <x v="0"/>
    <m/>
    <x v="0"/>
    <x v="0"/>
    <n v="0.17839512900000001"/>
    <m/>
    <x v="1"/>
    <x v="0"/>
    <x v="0"/>
    <x v="4"/>
    <x v="0"/>
  </r>
  <r>
    <s v="Singapore"/>
    <x v="2"/>
    <s v="SG3"/>
    <m/>
    <x v="1"/>
    <x v="1"/>
    <x v="2"/>
    <x v="1"/>
    <x v="0"/>
    <x v="0"/>
    <x v="0"/>
    <m/>
    <x v="0"/>
    <x v="0"/>
    <n v="-0.15579000000000001"/>
    <m/>
    <x v="4"/>
    <x v="2"/>
    <x v="0"/>
    <x v="4"/>
    <x v="1"/>
  </r>
  <r>
    <s v="Singapore"/>
    <x v="5"/>
    <s v="SG1"/>
    <m/>
    <x v="5"/>
    <x v="4"/>
    <x v="1"/>
    <x v="4"/>
    <x v="0"/>
    <x v="0"/>
    <x v="0"/>
    <m/>
    <x v="0"/>
    <x v="0"/>
    <n v="-0.69638130000000009"/>
    <m/>
    <x v="0"/>
    <x v="1"/>
    <x v="0"/>
    <x v="5"/>
    <x v="0"/>
  </r>
  <r>
    <s v="Singapore"/>
    <x v="5"/>
    <s v="SG2"/>
    <m/>
    <x v="1"/>
    <x v="4"/>
    <x v="4"/>
    <x v="0"/>
    <x v="0"/>
    <x v="0"/>
    <x v="0"/>
    <m/>
    <x v="0"/>
    <x v="0"/>
    <n v="-7.7895000000000006E-2"/>
    <m/>
    <x v="0"/>
    <x v="3"/>
    <x v="0"/>
    <x v="4"/>
    <x v="1"/>
  </r>
  <r>
    <s v="Singapore"/>
    <x v="3"/>
    <s v="SG1"/>
    <m/>
    <x v="4"/>
    <x v="2"/>
    <x v="4"/>
    <x v="5"/>
    <x v="0"/>
    <x v="0"/>
    <x v="0"/>
    <m/>
    <x v="0"/>
    <x v="0"/>
    <n v="0.26172719999999999"/>
    <m/>
    <x v="3"/>
    <x v="3"/>
    <x v="0"/>
    <x v="5"/>
    <x v="0"/>
  </r>
  <r>
    <s v="Singapore"/>
    <x v="3"/>
    <s v="SG4"/>
    <m/>
    <x v="1"/>
    <x v="3"/>
    <x v="4"/>
    <x v="2"/>
    <x v="0"/>
    <x v="0"/>
    <x v="0"/>
    <m/>
    <x v="0"/>
    <x v="0"/>
    <n v="-0.15579000000000001"/>
    <m/>
    <x v="0"/>
    <x v="1"/>
    <x v="0"/>
    <x v="0"/>
    <x v="2"/>
  </r>
  <r>
    <s v="Singapore"/>
    <x v="4"/>
    <s v="SG4"/>
    <m/>
    <x v="2"/>
    <x v="4"/>
    <x v="2"/>
    <x v="3"/>
    <x v="0"/>
    <x v="0"/>
    <x v="0"/>
    <m/>
    <x v="0"/>
    <x v="0"/>
    <n v="-0.24926400000000001"/>
    <m/>
    <x v="0"/>
    <x v="1"/>
    <x v="0"/>
    <x v="0"/>
    <x v="1"/>
  </r>
  <r>
    <s v="Singapore"/>
    <x v="0"/>
    <s v="SG3"/>
    <m/>
    <x v="1"/>
    <x v="0"/>
    <x v="0"/>
    <x v="4"/>
    <x v="0"/>
    <x v="0"/>
    <x v="0"/>
    <m/>
    <x v="0"/>
    <x v="0"/>
    <n v="-6.0758100000000006"/>
    <m/>
    <x v="6"/>
    <x v="1"/>
    <x v="0"/>
    <x v="3"/>
    <x v="0"/>
  </r>
  <r>
    <s v="Singapore"/>
    <x v="0"/>
    <s v="SG3"/>
    <m/>
    <x v="4"/>
    <x v="3"/>
    <x v="0"/>
    <x v="5"/>
    <x v="0"/>
    <x v="0"/>
    <x v="0"/>
    <m/>
    <x v="0"/>
    <x v="0"/>
    <n v="-42.063300000000005"/>
    <m/>
    <x v="3"/>
    <x v="3"/>
    <x v="0"/>
    <x v="0"/>
    <x v="2"/>
  </r>
  <r>
    <s v="Singapore"/>
    <x v="3"/>
    <s v="SG4"/>
    <m/>
    <x v="5"/>
    <x v="4"/>
    <x v="0"/>
    <x v="3"/>
    <x v="0"/>
    <x v="0"/>
    <x v="0"/>
    <m/>
    <x v="0"/>
    <x v="0"/>
    <n v="18.866231316000004"/>
    <m/>
    <x v="5"/>
    <x v="1"/>
    <x v="0"/>
    <x v="5"/>
    <x v="0"/>
  </r>
  <r>
    <s v="Singapore"/>
    <x v="0"/>
    <s v="SG3"/>
    <m/>
    <x v="5"/>
    <x v="4"/>
    <x v="3"/>
    <x v="3"/>
    <x v="0"/>
    <x v="0"/>
    <x v="0"/>
    <m/>
    <x v="0"/>
    <x v="0"/>
    <n v="2.212218"/>
    <m/>
    <x v="1"/>
    <x v="3"/>
    <x v="0"/>
    <x v="2"/>
    <x v="1"/>
  </r>
  <r>
    <s v="Singapore"/>
    <x v="2"/>
    <s v="SG2"/>
    <m/>
    <x v="0"/>
    <x v="0"/>
    <x v="4"/>
    <x v="0"/>
    <x v="0"/>
    <x v="0"/>
    <x v="0"/>
    <m/>
    <x v="0"/>
    <x v="0"/>
    <n v="-9.3474000000000002E-2"/>
    <m/>
    <x v="0"/>
    <x v="2"/>
    <x v="0"/>
    <x v="2"/>
    <x v="0"/>
  </r>
  <r>
    <s v="Singapore"/>
    <x v="1"/>
    <s v="SG3"/>
    <m/>
    <x v="5"/>
    <x v="2"/>
    <x v="1"/>
    <x v="3"/>
    <x v="0"/>
    <x v="0"/>
    <x v="0"/>
    <m/>
    <x v="0"/>
    <x v="0"/>
    <n v="-32.217185052000005"/>
    <m/>
    <x v="7"/>
    <x v="0"/>
    <x v="0"/>
    <x v="5"/>
    <x v="0"/>
  </r>
  <r>
    <s v="Singapore"/>
    <x v="4"/>
    <s v="SG2"/>
    <m/>
    <x v="2"/>
    <x v="4"/>
    <x v="3"/>
    <x v="5"/>
    <x v="0"/>
    <x v="0"/>
    <x v="0"/>
    <m/>
    <x v="0"/>
    <x v="0"/>
    <n v="-9.3474000000000002E-2"/>
    <m/>
    <x v="6"/>
    <x v="2"/>
    <x v="0"/>
    <x v="2"/>
    <x v="2"/>
  </r>
  <r>
    <s v="Singapore"/>
    <x v="1"/>
    <s v="SG3"/>
    <m/>
    <x v="3"/>
    <x v="0"/>
    <x v="3"/>
    <x v="0"/>
    <x v="0"/>
    <x v="0"/>
    <x v="0"/>
    <m/>
    <x v="0"/>
    <x v="0"/>
    <n v="-0.233685"/>
    <m/>
    <x v="0"/>
    <x v="3"/>
    <x v="0"/>
    <x v="4"/>
    <x v="1"/>
  </r>
  <r>
    <s v="Singapore"/>
    <x v="1"/>
    <s v="SG2"/>
    <m/>
    <x v="3"/>
    <x v="4"/>
    <x v="1"/>
    <x v="2"/>
    <x v="0"/>
    <x v="0"/>
    <x v="0"/>
    <m/>
    <x v="0"/>
    <x v="0"/>
    <n v="-0.280422"/>
    <m/>
    <x v="0"/>
    <x v="3"/>
    <x v="0"/>
    <x v="1"/>
    <x v="2"/>
  </r>
  <r>
    <s v="Singapore"/>
    <x v="3"/>
    <s v="SG4"/>
    <m/>
    <x v="1"/>
    <x v="2"/>
    <x v="1"/>
    <x v="4"/>
    <x v="0"/>
    <x v="0"/>
    <x v="0"/>
    <m/>
    <x v="0"/>
    <x v="0"/>
    <n v="0.12463200000000001"/>
    <m/>
    <x v="0"/>
    <x v="3"/>
    <x v="0"/>
    <x v="0"/>
    <x v="0"/>
  </r>
  <r>
    <s v="Singapore"/>
    <x v="2"/>
    <s v="SG1"/>
    <m/>
    <x v="4"/>
    <x v="4"/>
    <x v="0"/>
    <x v="3"/>
    <x v="0"/>
    <x v="0"/>
    <x v="0"/>
    <m/>
    <x v="0"/>
    <x v="0"/>
    <n v="-0.233685"/>
    <m/>
    <x v="4"/>
    <x v="2"/>
    <x v="0"/>
    <x v="2"/>
    <x v="2"/>
  </r>
  <r>
    <s v="Singapore"/>
    <x v="0"/>
    <s v="SG3"/>
    <m/>
    <x v="2"/>
    <x v="2"/>
    <x v="4"/>
    <x v="5"/>
    <x v="0"/>
    <x v="0"/>
    <x v="0"/>
    <m/>
    <x v="0"/>
    <x v="0"/>
    <n v="-0.545265"/>
    <m/>
    <x v="2"/>
    <x v="1"/>
    <x v="0"/>
    <x v="1"/>
    <x v="0"/>
  </r>
  <r>
    <s v="Singapore"/>
    <x v="0"/>
    <s v="SG2"/>
    <m/>
    <x v="1"/>
    <x v="3"/>
    <x v="0"/>
    <x v="2"/>
    <x v="0"/>
    <x v="0"/>
    <x v="0"/>
    <m/>
    <x v="0"/>
    <x v="0"/>
    <n v="0.21031650000000002"/>
    <m/>
    <x v="1"/>
    <x v="3"/>
    <x v="0"/>
    <x v="5"/>
    <x v="1"/>
  </r>
  <r>
    <s v="Singapore"/>
    <x v="5"/>
    <s v="SG1"/>
    <m/>
    <x v="3"/>
    <x v="4"/>
    <x v="1"/>
    <x v="0"/>
    <x v="0"/>
    <x v="0"/>
    <x v="0"/>
    <m/>
    <x v="0"/>
    <x v="0"/>
    <n v="-3.5052750000000001E-2"/>
    <m/>
    <x v="3"/>
    <x v="0"/>
    <x v="0"/>
    <x v="5"/>
    <x v="0"/>
  </r>
  <r>
    <s v="Singapore"/>
    <x v="2"/>
    <s v="SG1"/>
    <m/>
    <x v="2"/>
    <x v="1"/>
    <x v="2"/>
    <x v="4"/>
    <x v="0"/>
    <x v="0"/>
    <x v="0"/>
    <m/>
    <x v="0"/>
    <x v="0"/>
    <n v="-3.9944556000000002"/>
    <m/>
    <x v="4"/>
    <x v="2"/>
    <x v="0"/>
    <x v="2"/>
    <x v="0"/>
  </r>
  <r>
    <s v="Singapore"/>
    <x v="2"/>
    <s v="SG2"/>
    <m/>
    <x v="4"/>
    <x v="3"/>
    <x v="3"/>
    <x v="1"/>
    <x v="0"/>
    <x v="0"/>
    <x v="0"/>
    <m/>
    <x v="0"/>
    <x v="0"/>
    <n v="0.65819717100000008"/>
    <m/>
    <x v="1"/>
    <x v="0"/>
    <x v="0"/>
    <x v="0"/>
    <x v="2"/>
  </r>
  <r>
    <s v="Singapore"/>
    <x v="4"/>
    <s v="SG3"/>
    <m/>
    <x v="2"/>
    <x v="3"/>
    <x v="1"/>
    <x v="1"/>
    <x v="0"/>
    <x v="0"/>
    <x v="0"/>
    <m/>
    <x v="0"/>
    <x v="0"/>
    <n v="-3.1158000000000002E-2"/>
    <m/>
    <x v="0"/>
    <x v="2"/>
    <x v="0"/>
    <x v="3"/>
    <x v="1"/>
  </r>
  <r>
    <s v="Singapore"/>
    <x v="2"/>
    <s v="SG4"/>
    <m/>
    <x v="3"/>
    <x v="2"/>
    <x v="2"/>
    <x v="4"/>
    <x v="0"/>
    <x v="0"/>
    <x v="0"/>
    <m/>
    <x v="0"/>
    <x v="0"/>
    <n v="-7.7895000000000006E-2"/>
    <m/>
    <x v="0"/>
    <x v="3"/>
    <x v="0"/>
    <x v="4"/>
    <x v="2"/>
  </r>
  <r>
    <s v="Singapore"/>
    <x v="3"/>
    <s v="SG2"/>
    <m/>
    <x v="0"/>
    <x v="3"/>
    <x v="0"/>
    <x v="5"/>
    <x v="0"/>
    <x v="0"/>
    <x v="0"/>
    <m/>
    <x v="0"/>
    <x v="0"/>
    <n v="0.17136900000000002"/>
    <m/>
    <x v="8"/>
    <x v="2"/>
    <x v="0"/>
    <x v="3"/>
    <x v="1"/>
  </r>
  <r>
    <s v="Singapore"/>
    <x v="4"/>
    <s v="SG1"/>
    <m/>
    <x v="2"/>
    <x v="3"/>
    <x v="2"/>
    <x v="1"/>
    <x v="0"/>
    <x v="0"/>
    <x v="0"/>
    <m/>
    <x v="0"/>
    <x v="0"/>
    <n v="-4.6737000000000001E-2"/>
    <m/>
    <x v="0"/>
    <x v="2"/>
    <x v="0"/>
    <x v="2"/>
    <x v="1"/>
  </r>
  <r>
    <s v="Singapore"/>
    <x v="4"/>
    <s v="SG1"/>
    <m/>
    <x v="1"/>
    <x v="4"/>
    <x v="4"/>
    <x v="2"/>
    <x v="0"/>
    <x v="0"/>
    <x v="0"/>
    <m/>
    <x v="0"/>
    <x v="0"/>
    <n v="1.2307410000000001"/>
    <m/>
    <x v="1"/>
    <x v="2"/>
    <x v="0"/>
    <x v="4"/>
    <x v="0"/>
  </r>
  <r>
    <s v="Singapore"/>
    <x v="4"/>
    <s v="SG1"/>
    <m/>
    <x v="0"/>
    <x v="4"/>
    <x v="4"/>
    <x v="4"/>
    <x v="0"/>
    <x v="0"/>
    <x v="0"/>
    <m/>
    <x v="0"/>
    <x v="0"/>
    <n v="-0.14955840000000001"/>
    <m/>
    <x v="3"/>
    <x v="0"/>
    <x v="0"/>
    <x v="5"/>
    <x v="0"/>
  </r>
  <r>
    <s v="Singapore"/>
    <x v="4"/>
    <s v="SG3"/>
    <m/>
    <x v="1"/>
    <x v="0"/>
    <x v="3"/>
    <x v="2"/>
    <x v="0"/>
    <x v="0"/>
    <x v="0"/>
    <m/>
    <x v="0"/>
    <x v="0"/>
    <n v="0.70105499999999998"/>
    <m/>
    <x v="1"/>
    <x v="2"/>
    <x v="0"/>
    <x v="2"/>
    <x v="0"/>
  </r>
  <r>
    <s v="Singapore"/>
    <x v="3"/>
    <s v="SG1"/>
    <m/>
    <x v="3"/>
    <x v="0"/>
    <x v="3"/>
    <x v="4"/>
    <x v="0"/>
    <x v="0"/>
    <x v="0"/>
    <m/>
    <x v="0"/>
    <x v="0"/>
    <n v="-0.34273800000000004"/>
    <m/>
    <x v="3"/>
    <x v="0"/>
    <x v="0"/>
    <x v="3"/>
    <x v="1"/>
  </r>
  <r>
    <s v="Singapore"/>
    <x v="4"/>
    <s v="SG1"/>
    <m/>
    <x v="2"/>
    <x v="2"/>
    <x v="4"/>
    <x v="2"/>
    <x v="0"/>
    <x v="0"/>
    <x v="0"/>
    <m/>
    <x v="0"/>
    <x v="0"/>
    <n v="-0.1838322"/>
    <m/>
    <x v="4"/>
    <x v="2"/>
    <x v="0"/>
    <x v="1"/>
    <x v="0"/>
  </r>
  <r>
    <s v="Singapore"/>
    <x v="4"/>
    <s v="SG3"/>
    <m/>
    <x v="4"/>
    <x v="0"/>
    <x v="0"/>
    <x v="5"/>
    <x v="0"/>
    <x v="0"/>
    <x v="0"/>
    <m/>
    <x v="0"/>
    <x v="0"/>
    <n v="-213.02366283000003"/>
    <m/>
    <x v="2"/>
    <x v="3"/>
    <x v="0"/>
    <x v="4"/>
    <x v="2"/>
  </r>
  <r>
    <s v="Singapore"/>
    <x v="2"/>
    <s v="SG4"/>
    <m/>
    <x v="5"/>
    <x v="2"/>
    <x v="1"/>
    <x v="5"/>
    <x v="0"/>
    <x v="0"/>
    <x v="0"/>
    <m/>
    <x v="0"/>
    <x v="0"/>
    <n v="2.2290433200000002"/>
    <m/>
    <x v="1"/>
    <x v="1"/>
    <x v="0"/>
    <x v="0"/>
    <x v="2"/>
  </r>
  <r>
    <s v="Singapore"/>
    <x v="5"/>
    <s v="SG3"/>
    <m/>
    <x v="2"/>
    <x v="1"/>
    <x v="0"/>
    <x v="1"/>
    <x v="0"/>
    <x v="0"/>
    <x v="0"/>
    <m/>
    <x v="0"/>
    <x v="0"/>
    <n v="-0.15579000000000001"/>
    <m/>
    <x v="1"/>
    <x v="1"/>
    <x v="0"/>
    <x v="4"/>
    <x v="2"/>
  </r>
  <r>
    <s v="Singapore"/>
    <x v="2"/>
    <s v="SG1"/>
    <m/>
    <x v="5"/>
    <x v="1"/>
    <x v="2"/>
    <x v="2"/>
    <x v="0"/>
    <x v="0"/>
    <x v="0"/>
    <m/>
    <x v="0"/>
    <x v="0"/>
    <n v="-0.21810600000000002"/>
    <m/>
    <x v="1"/>
    <x v="1"/>
    <x v="0"/>
    <x v="0"/>
    <x v="1"/>
  </r>
  <r>
    <s v="Singapore"/>
    <x v="2"/>
    <s v="SG3"/>
    <m/>
    <x v="3"/>
    <x v="3"/>
    <x v="4"/>
    <x v="4"/>
    <x v="0"/>
    <x v="0"/>
    <x v="0"/>
    <m/>
    <x v="0"/>
    <x v="0"/>
    <n v="-1.2463200000000001"/>
    <m/>
    <x v="1"/>
    <x v="0"/>
    <x v="0"/>
    <x v="2"/>
    <x v="0"/>
  </r>
  <r>
    <s v="Singapore"/>
    <x v="4"/>
    <s v="SG3"/>
    <m/>
    <x v="1"/>
    <x v="2"/>
    <x v="1"/>
    <x v="0"/>
    <x v="0"/>
    <x v="0"/>
    <x v="0"/>
    <m/>
    <x v="0"/>
    <x v="0"/>
    <n v="-103.84286829300001"/>
    <m/>
    <x v="4"/>
    <x v="3"/>
    <x v="0"/>
    <x v="5"/>
    <x v="0"/>
  </r>
  <r>
    <s v="Singapore"/>
    <x v="2"/>
    <s v="SG4"/>
    <m/>
    <x v="2"/>
    <x v="4"/>
    <x v="0"/>
    <x v="5"/>
    <x v="0"/>
    <x v="0"/>
    <x v="0"/>
    <m/>
    <x v="0"/>
    <x v="0"/>
    <n v="-0.15579000000000001"/>
    <m/>
    <x v="4"/>
    <x v="0"/>
    <x v="0"/>
    <x v="2"/>
    <x v="1"/>
  </r>
  <r>
    <s v="Singapore"/>
    <x v="2"/>
    <s v="SG3"/>
    <m/>
    <x v="1"/>
    <x v="3"/>
    <x v="4"/>
    <x v="4"/>
    <x v="0"/>
    <x v="0"/>
    <x v="0"/>
    <m/>
    <x v="0"/>
    <x v="0"/>
    <n v="-0.12463200000000001"/>
    <m/>
    <x v="0"/>
    <x v="1"/>
    <x v="0"/>
    <x v="1"/>
    <x v="0"/>
  </r>
  <r>
    <s v="Singapore"/>
    <x v="0"/>
    <s v="SG2"/>
    <m/>
    <x v="1"/>
    <x v="0"/>
    <x v="4"/>
    <x v="2"/>
    <x v="0"/>
    <x v="0"/>
    <x v="0"/>
    <m/>
    <x v="0"/>
    <x v="0"/>
    <n v="-0.9241462800000001"/>
    <m/>
    <x v="4"/>
    <x v="3"/>
    <x v="0"/>
    <x v="0"/>
    <x v="2"/>
  </r>
  <r>
    <s v="Singapore"/>
    <x v="5"/>
    <s v="SG3"/>
    <m/>
    <x v="1"/>
    <x v="1"/>
    <x v="3"/>
    <x v="0"/>
    <x v="0"/>
    <x v="0"/>
    <x v="0"/>
    <m/>
    <x v="0"/>
    <x v="0"/>
    <n v="-3.1158000000000002E-2"/>
    <m/>
    <x v="0"/>
    <x v="2"/>
    <x v="0"/>
    <x v="4"/>
    <x v="2"/>
  </r>
  <r>
    <s v="Singapore"/>
    <x v="2"/>
    <s v="SG2"/>
    <m/>
    <x v="1"/>
    <x v="3"/>
    <x v="4"/>
    <x v="1"/>
    <x v="0"/>
    <x v="0"/>
    <x v="0"/>
    <m/>
    <x v="0"/>
    <x v="0"/>
    <n v="-4.6737000000000001E-2"/>
    <m/>
    <x v="0"/>
    <x v="0"/>
    <x v="0"/>
    <x v="3"/>
    <x v="0"/>
  </r>
  <r>
    <s v="Singapore"/>
    <x v="0"/>
    <s v="SG3"/>
    <m/>
    <x v="1"/>
    <x v="2"/>
    <x v="2"/>
    <x v="2"/>
    <x v="0"/>
    <x v="0"/>
    <x v="0"/>
    <m/>
    <x v="0"/>
    <x v="0"/>
    <n v="-1.1808414630000001"/>
    <m/>
    <x v="4"/>
    <x v="1"/>
    <x v="0"/>
    <x v="3"/>
    <x v="2"/>
  </r>
  <r>
    <s v="Singapore"/>
    <x v="5"/>
    <s v="SG4"/>
    <m/>
    <x v="2"/>
    <x v="0"/>
    <x v="4"/>
    <x v="4"/>
    <x v="0"/>
    <x v="0"/>
    <x v="0"/>
    <m/>
    <x v="0"/>
    <x v="0"/>
    <n v="4.0505400000000004E-2"/>
    <m/>
    <x v="2"/>
    <x v="3"/>
    <x v="0"/>
    <x v="4"/>
    <x v="1"/>
  </r>
  <r>
    <s v="Singapore"/>
    <x v="2"/>
    <s v="SG3"/>
    <m/>
    <x v="1"/>
    <x v="4"/>
    <x v="3"/>
    <x v="0"/>
    <x v="0"/>
    <x v="0"/>
    <x v="0"/>
    <m/>
    <x v="0"/>
    <x v="0"/>
    <n v="-2.4303240000000002"/>
    <m/>
    <x v="1"/>
    <x v="3"/>
    <x v="0"/>
    <x v="0"/>
    <x v="1"/>
  </r>
  <r>
    <s v="Singapore"/>
    <x v="0"/>
    <s v="SG2"/>
    <m/>
    <x v="2"/>
    <x v="4"/>
    <x v="1"/>
    <x v="5"/>
    <x v="0"/>
    <x v="0"/>
    <x v="0"/>
    <m/>
    <x v="0"/>
    <x v="0"/>
    <n v="0.98147700000000004"/>
    <m/>
    <x v="1"/>
    <x v="1"/>
    <x v="0"/>
    <x v="3"/>
    <x v="2"/>
  </r>
  <r>
    <s v="Singapore"/>
    <x v="4"/>
    <s v="SG1"/>
    <m/>
    <x v="0"/>
    <x v="3"/>
    <x v="3"/>
    <x v="2"/>
    <x v="0"/>
    <x v="0"/>
    <x v="0"/>
    <m/>
    <x v="0"/>
    <x v="0"/>
    <n v="-0.15579000000000001"/>
    <m/>
    <x v="0"/>
    <x v="3"/>
    <x v="0"/>
    <x v="0"/>
    <x v="0"/>
  </r>
  <r>
    <s v="Singapore"/>
    <x v="4"/>
    <s v="SG2"/>
    <m/>
    <x v="3"/>
    <x v="4"/>
    <x v="3"/>
    <x v="0"/>
    <x v="0"/>
    <x v="0"/>
    <x v="0"/>
    <m/>
    <x v="0"/>
    <x v="0"/>
    <n v="0.42063300000000003"/>
    <m/>
    <x v="4"/>
    <x v="3"/>
    <x v="0"/>
    <x v="0"/>
    <x v="1"/>
  </r>
  <r>
    <s v="Singapore"/>
    <x v="3"/>
    <s v="SG4"/>
    <m/>
    <x v="3"/>
    <x v="0"/>
    <x v="1"/>
    <x v="1"/>
    <x v="0"/>
    <x v="0"/>
    <x v="0"/>
    <m/>
    <x v="0"/>
    <x v="0"/>
    <n v="-0.70105499999999998"/>
    <m/>
    <x v="4"/>
    <x v="3"/>
    <x v="0"/>
    <x v="3"/>
    <x v="1"/>
  </r>
  <r>
    <s v="Singapore"/>
    <x v="2"/>
    <s v="SG1"/>
    <m/>
    <x v="4"/>
    <x v="1"/>
    <x v="2"/>
    <x v="1"/>
    <x v="0"/>
    <x v="0"/>
    <x v="0"/>
    <m/>
    <x v="0"/>
    <x v="0"/>
    <n v="-2.6640090000000001"/>
    <m/>
    <x v="0"/>
    <x v="1"/>
    <x v="0"/>
    <x v="4"/>
    <x v="2"/>
  </r>
  <r>
    <s v="Singapore"/>
    <x v="3"/>
    <s v="SG2"/>
    <m/>
    <x v="4"/>
    <x v="0"/>
    <x v="0"/>
    <x v="1"/>
    <x v="0"/>
    <x v="0"/>
    <x v="0"/>
    <m/>
    <x v="0"/>
    <x v="0"/>
    <n v="-0.42063300000000003"/>
    <m/>
    <x v="4"/>
    <x v="2"/>
    <x v="0"/>
    <x v="3"/>
    <x v="2"/>
  </r>
  <r>
    <s v="Singapore"/>
    <x v="4"/>
    <s v="SG3"/>
    <m/>
    <x v="5"/>
    <x v="2"/>
    <x v="4"/>
    <x v="4"/>
    <x v="0"/>
    <x v="0"/>
    <x v="0"/>
    <m/>
    <x v="0"/>
    <x v="0"/>
    <n v="1.137267"/>
    <m/>
    <x v="1"/>
    <x v="1"/>
    <x v="0"/>
    <x v="3"/>
    <x v="0"/>
  </r>
  <r>
    <s v="Singapore"/>
    <x v="1"/>
    <s v="SG2"/>
    <m/>
    <x v="1"/>
    <x v="0"/>
    <x v="2"/>
    <x v="5"/>
    <x v="0"/>
    <x v="0"/>
    <x v="0"/>
    <m/>
    <x v="0"/>
    <x v="0"/>
    <n v="-1.959978411"/>
    <m/>
    <x v="4"/>
    <x v="2"/>
    <x v="0"/>
    <x v="3"/>
    <x v="2"/>
  </r>
  <r>
    <s v="Singapore"/>
    <x v="0"/>
    <s v="SG3"/>
    <m/>
    <x v="3"/>
    <x v="3"/>
    <x v="0"/>
    <x v="4"/>
    <x v="0"/>
    <x v="0"/>
    <x v="0"/>
    <m/>
    <x v="0"/>
    <x v="0"/>
    <n v="0.64652850000000006"/>
    <m/>
    <x v="1"/>
    <x v="2"/>
    <x v="0"/>
    <x v="3"/>
    <x v="1"/>
  </r>
  <r>
    <s v="Singapore"/>
    <x v="3"/>
    <s v="SG4"/>
    <m/>
    <x v="0"/>
    <x v="4"/>
    <x v="1"/>
    <x v="1"/>
    <x v="0"/>
    <x v="0"/>
    <x v="0"/>
    <m/>
    <x v="0"/>
    <x v="0"/>
    <n v="-9.8147700000000004E-2"/>
    <m/>
    <x v="3"/>
    <x v="0"/>
    <x v="0"/>
    <x v="3"/>
    <x v="2"/>
  </r>
  <r>
    <s v="Singapore"/>
    <x v="0"/>
    <s v="SG2"/>
    <m/>
    <x v="5"/>
    <x v="0"/>
    <x v="1"/>
    <x v="5"/>
    <x v="0"/>
    <x v="0"/>
    <x v="0"/>
    <m/>
    <x v="0"/>
    <x v="0"/>
    <n v="-1.5579000000000001E-2"/>
    <m/>
    <x v="0"/>
    <x v="1"/>
    <x v="0"/>
    <x v="1"/>
    <x v="2"/>
  </r>
  <r>
    <s v="Singapore"/>
    <x v="5"/>
    <s v="SG1"/>
    <m/>
    <x v="1"/>
    <x v="3"/>
    <x v="3"/>
    <x v="3"/>
    <x v="0"/>
    <x v="0"/>
    <x v="0"/>
    <m/>
    <x v="0"/>
    <x v="0"/>
    <n v="-4.8980376000000003"/>
    <m/>
    <x v="3"/>
    <x v="3"/>
    <x v="0"/>
    <x v="2"/>
    <x v="2"/>
  </r>
  <r>
    <s v="Singapore"/>
    <x v="0"/>
    <s v="SG2"/>
    <m/>
    <x v="4"/>
    <x v="1"/>
    <x v="1"/>
    <x v="5"/>
    <x v="0"/>
    <x v="0"/>
    <x v="0"/>
    <m/>
    <x v="0"/>
    <x v="0"/>
    <n v="-0.81010800000000005"/>
    <m/>
    <x v="4"/>
    <x v="0"/>
    <x v="0"/>
    <x v="0"/>
    <x v="0"/>
  </r>
  <r>
    <s v="Singapore"/>
    <x v="1"/>
    <s v="SG3"/>
    <m/>
    <x v="2"/>
    <x v="0"/>
    <x v="1"/>
    <x v="4"/>
    <x v="0"/>
    <x v="0"/>
    <x v="0"/>
    <m/>
    <x v="0"/>
    <x v="0"/>
    <n v="2.7263250000000001"/>
    <m/>
    <x v="1"/>
    <x v="3"/>
    <x v="0"/>
    <x v="2"/>
    <x v="1"/>
  </r>
  <r>
    <s v="Singapore"/>
    <x v="5"/>
    <s v="SG4"/>
    <m/>
    <x v="0"/>
    <x v="4"/>
    <x v="2"/>
    <x v="4"/>
    <x v="0"/>
    <x v="0"/>
    <x v="0"/>
    <m/>
    <x v="0"/>
    <x v="0"/>
    <n v="-0.42063300000000003"/>
    <m/>
    <x v="4"/>
    <x v="3"/>
    <x v="0"/>
    <x v="5"/>
    <x v="2"/>
  </r>
  <r>
    <s v="Singapore"/>
    <x v="0"/>
    <s v="SG2"/>
    <m/>
    <x v="3"/>
    <x v="0"/>
    <x v="1"/>
    <x v="1"/>
    <x v="0"/>
    <x v="0"/>
    <x v="0"/>
    <m/>
    <x v="0"/>
    <x v="0"/>
    <n v="0.37389600000000001"/>
    <m/>
    <x v="1"/>
    <x v="2"/>
    <x v="0"/>
    <x v="5"/>
    <x v="2"/>
  </r>
  <r>
    <s v="Singapore"/>
    <x v="2"/>
    <s v="SG2"/>
    <m/>
    <x v="5"/>
    <x v="3"/>
    <x v="2"/>
    <x v="1"/>
    <x v="0"/>
    <x v="0"/>
    <x v="0"/>
    <m/>
    <x v="0"/>
    <x v="0"/>
    <n v="-3.1499491680000005"/>
    <m/>
    <x v="0"/>
    <x v="0"/>
    <x v="0"/>
    <x v="4"/>
    <x v="2"/>
  </r>
  <r>
    <s v="Singapore"/>
    <x v="0"/>
    <s v="SG4"/>
    <m/>
    <x v="2"/>
    <x v="3"/>
    <x v="0"/>
    <x v="1"/>
    <x v="0"/>
    <x v="0"/>
    <x v="0"/>
    <m/>
    <x v="0"/>
    <x v="0"/>
    <n v="-5.5520440200000003"/>
    <m/>
    <x v="4"/>
    <x v="1"/>
    <x v="0"/>
    <x v="0"/>
    <x v="1"/>
  </r>
  <r>
    <s v="Singapore"/>
    <x v="4"/>
    <s v="SG2"/>
    <m/>
    <x v="0"/>
    <x v="2"/>
    <x v="0"/>
    <x v="5"/>
    <x v="0"/>
    <x v="0"/>
    <x v="0"/>
    <m/>
    <x v="0"/>
    <x v="0"/>
    <n v="0.12463200000000001"/>
    <m/>
    <x v="0"/>
    <x v="2"/>
    <x v="0"/>
    <x v="2"/>
    <x v="1"/>
  </r>
  <r>
    <s v="Singapore"/>
    <x v="5"/>
    <s v="SG1"/>
    <m/>
    <x v="1"/>
    <x v="0"/>
    <x v="1"/>
    <x v="2"/>
    <x v="0"/>
    <x v="0"/>
    <x v="0"/>
    <m/>
    <x v="0"/>
    <x v="0"/>
    <n v="31.957483122000003"/>
    <m/>
    <x v="7"/>
    <x v="1"/>
    <x v="0"/>
    <x v="0"/>
    <x v="0"/>
  </r>
  <r>
    <s v="Singapore"/>
    <x v="3"/>
    <s v="SG4"/>
    <m/>
    <x v="0"/>
    <x v="1"/>
    <x v="4"/>
    <x v="0"/>
    <x v="0"/>
    <x v="0"/>
    <x v="0"/>
    <m/>
    <x v="0"/>
    <x v="0"/>
    <n v="-0.15579000000000001"/>
    <m/>
    <x v="0"/>
    <x v="2"/>
    <x v="0"/>
    <x v="4"/>
    <x v="0"/>
  </r>
  <r>
    <s v="Singapore"/>
    <x v="1"/>
    <s v="SG1"/>
    <m/>
    <x v="5"/>
    <x v="1"/>
    <x v="3"/>
    <x v="5"/>
    <x v="0"/>
    <x v="0"/>
    <x v="0"/>
    <m/>
    <x v="0"/>
    <x v="0"/>
    <n v="-4.6737000000000001E-2"/>
    <m/>
    <x v="8"/>
    <x v="2"/>
    <x v="0"/>
    <x v="1"/>
    <x v="0"/>
  </r>
  <r>
    <s v="Singapore"/>
    <x v="2"/>
    <s v="SG1"/>
    <m/>
    <x v="2"/>
    <x v="0"/>
    <x v="2"/>
    <x v="2"/>
    <x v="0"/>
    <x v="0"/>
    <x v="0"/>
    <m/>
    <x v="0"/>
    <x v="0"/>
    <n v="5.6084400000000006E-2"/>
    <m/>
    <x v="6"/>
    <x v="1"/>
    <x v="0"/>
    <x v="1"/>
    <x v="0"/>
  </r>
  <r>
    <s v="Singapore"/>
    <x v="5"/>
    <s v="SG1"/>
    <m/>
    <x v="5"/>
    <x v="2"/>
    <x v="2"/>
    <x v="1"/>
    <x v="0"/>
    <x v="0"/>
    <x v="0"/>
    <m/>
    <x v="0"/>
    <x v="0"/>
    <n v="-2.0971826640000004"/>
    <m/>
    <x v="4"/>
    <x v="2"/>
    <x v="0"/>
    <x v="1"/>
    <x v="1"/>
  </r>
  <r>
    <s v="Singapore"/>
    <x v="4"/>
    <s v="SG2"/>
    <m/>
    <x v="1"/>
    <x v="4"/>
    <x v="3"/>
    <x v="3"/>
    <x v="0"/>
    <x v="0"/>
    <x v="0"/>
    <m/>
    <x v="0"/>
    <x v="0"/>
    <n v="-0.55788399000000011"/>
    <m/>
    <x v="0"/>
    <x v="2"/>
    <x v="0"/>
    <x v="0"/>
    <x v="0"/>
  </r>
  <r>
    <s v="Singapore"/>
    <x v="5"/>
    <s v="SG1"/>
    <m/>
    <x v="1"/>
    <x v="2"/>
    <x v="2"/>
    <x v="1"/>
    <x v="0"/>
    <x v="0"/>
    <x v="0"/>
    <m/>
    <x v="0"/>
    <x v="0"/>
    <n v="-1.7576695170000001"/>
    <m/>
    <x v="7"/>
    <x v="2"/>
    <x v="0"/>
    <x v="5"/>
    <x v="0"/>
  </r>
  <r>
    <s v="Singapore"/>
    <x v="5"/>
    <s v="SG4"/>
    <m/>
    <x v="5"/>
    <x v="2"/>
    <x v="3"/>
    <x v="4"/>
    <x v="0"/>
    <x v="0"/>
    <x v="0"/>
    <m/>
    <x v="0"/>
    <x v="0"/>
    <n v="-2.0971826640000004"/>
    <m/>
    <x v="4"/>
    <x v="3"/>
    <x v="0"/>
    <x v="2"/>
    <x v="2"/>
  </r>
  <r>
    <s v="Singapore"/>
    <x v="1"/>
    <s v="SG3"/>
    <m/>
    <x v="2"/>
    <x v="1"/>
    <x v="0"/>
    <x v="3"/>
    <x v="0"/>
    <x v="0"/>
    <x v="0"/>
    <m/>
    <x v="0"/>
    <x v="0"/>
    <n v="-4.6737000000000002"/>
    <m/>
    <x v="4"/>
    <x v="1"/>
    <x v="0"/>
    <x v="3"/>
    <x v="0"/>
  </r>
  <r>
    <s v="Singapore"/>
    <x v="2"/>
    <s v="SG2"/>
    <m/>
    <x v="3"/>
    <x v="2"/>
    <x v="4"/>
    <x v="3"/>
    <x v="0"/>
    <x v="0"/>
    <x v="0"/>
    <m/>
    <x v="0"/>
    <x v="0"/>
    <n v="3.9726450000000004"/>
    <m/>
    <x v="1"/>
    <x v="1"/>
    <x v="0"/>
    <x v="1"/>
    <x v="2"/>
  </r>
  <r>
    <s v="Singapore"/>
    <x v="5"/>
    <s v="SG2"/>
    <m/>
    <x v="4"/>
    <x v="0"/>
    <x v="3"/>
    <x v="0"/>
    <x v="0"/>
    <x v="0"/>
    <x v="0"/>
    <m/>
    <x v="0"/>
    <x v="0"/>
    <n v="-0.1822743"/>
    <m/>
    <x v="2"/>
    <x v="1"/>
    <x v="0"/>
    <x v="3"/>
    <x v="2"/>
  </r>
  <r>
    <s v="Singapore"/>
    <x v="0"/>
    <s v="SG4"/>
    <m/>
    <x v="0"/>
    <x v="0"/>
    <x v="4"/>
    <x v="4"/>
    <x v="0"/>
    <x v="0"/>
    <x v="0"/>
    <m/>
    <x v="0"/>
    <x v="0"/>
    <n v="-3.8947500000000003E-2"/>
    <m/>
    <x v="0"/>
    <x v="3"/>
    <x v="0"/>
    <x v="5"/>
    <x v="0"/>
  </r>
  <r>
    <s v="Singapore"/>
    <x v="5"/>
    <s v="SG4"/>
    <m/>
    <x v="5"/>
    <x v="0"/>
    <x v="3"/>
    <x v="3"/>
    <x v="0"/>
    <x v="0"/>
    <x v="0"/>
    <m/>
    <x v="0"/>
    <x v="0"/>
    <n v="0.15579000000000001"/>
    <m/>
    <x v="1"/>
    <x v="2"/>
    <x v="0"/>
    <x v="1"/>
    <x v="1"/>
  </r>
  <r>
    <s v="Singapore"/>
    <x v="3"/>
    <s v="SG2"/>
    <m/>
    <x v="0"/>
    <x v="0"/>
    <x v="0"/>
    <x v="4"/>
    <x v="0"/>
    <x v="0"/>
    <x v="0"/>
    <m/>
    <x v="0"/>
    <x v="0"/>
    <n v="-0.21810600000000002"/>
    <m/>
    <x v="4"/>
    <x v="2"/>
    <x v="0"/>
    <x v="0"/>
    <x v="0"/>
  </r>
  <r>
    <s v="Singapore"/>
    <x v="1"/>
    <s v="SG3"/>
    <m/>
    <x v="4"/>
    <x v="0"/>
    <x v="1"/>
    <x v="0"/>
    <x v="0"/>
    <x v="0"/>
    <x v="0"/>
    <m/>
    <x v="0"/>
    <x v="0"/>
    <n v="-0.15579000000000001"/>
    <m/>
    <x v="4"/>
    <x v="0"/>
    <x v="0"/>
    <x v="3"/>
    <x v="0"/>
  </r>
  <r>
    <s v="Singapore"/>
    <x v="1"/>
    <s v="SG4"/>
    <m/>
    <x v="1"/>
    <x v="4"/>
    <x v="3"/>
    <x v="4"/>
    <x v="0"/>
    <x v="0"/>
    <x v="0"/>
    <m/>
    <x v="0"/>
    <x v="0"/>
    <n v="0.15579000000000001"/>
    <m/>
    <x v="1"/>
    <x v="3"/>
    <x v="0"/>
    <x v="4"/>
    <x v="1"/>
  </r>
  <r>
    <s v="Singapore"/>
    <x v="0"/>
    <s v="SG2"/>
    <m/>
    <x v="4"/>
    <x v="1"/>
    <x v="2"/>
    <x v="2"/>
    <x v="0"/>
    <x v="0"/>
    <x v="0"/>
    <m/>
    <x v="0"/>
    <x v="0"/>
    <n v="-0.42063300000000003"/>
    <m/>
    <x v="4"/>
    <x v="3"/>
    <x v="0"/>
    <x v="1"/>
    <x v="1"/>
  </r>
  <r>
    <s v="Singapore"/>
    <x v="1"/>
    <s v="SG3"/>
    <m/>
    <x v="2"/>
    <x v="3"/>
    <x v="1"/>
    <x v="0"/>
    <x v="0"/>
    <x v="0"/>
    <x v="0"/>
    <m/>
    <x v="0"/>
    <x v="0"/>
    <n v="-0.93474000000000002"/>
    <m/>
    <x v="4"/>
    <x v="1"/>
    <x v="0"/>
    <x v="3"/>
    <x v="1"/>
  </r>
  <r>
    <s v="Singapore"/>
    <x v="1"/>
    <s v="SG1"/>
    <m/>
    <x v="0"/>
    <x v="0"/>
    <x v="3"/>
    <x v="1"/>
    <x v="0"/>
    <x v="0"/>
    <x v="0"/>
    <m/>
    <x v="0"/>
    <x v="0"/>
    <n v="-51.410700000000006"/>
    <m/>
    <x v="3"/>
    <x v="1"/>
    <x v="0"/>
    <x v="1"/>
    <x v="0"/>
  </r>
  <r>
    <s v="Singapore"/>
    <x v="3"/>
    <s v="SG1"/>
    <m/>
    <x v="4"/>
    <x v="4"/>
    <x v="2"/>
    <x v="0"/>
    <x v="0"/>
    <x v="0"/>
    <x v="0"/>
    <m/>
    <x v="0"/>
    <x v="0"/>
    <n v="1.1995830000000001"/>
    <m/>
    <x v="1"/>
    <x v="2"/>
    <x v="0"/>
    <x v="5"/>
    <x v="0"/>
  </r>
  <r>
    <s v="Singapore"/>
    <x v="5"/>
    <s v="SG4"/>
    <m/>
    <x v="3"/>
    <x v="2"/>
    <x v="2"/>
    <x v="0"/>
    <x v="0"/>
    <x v="0"/>
    <x v="0"/>
    <m/>
    <x v="0"/>
    <x v="0"/>
    <n v="-0.94907268000000011"/>
    <m/>
    <x v="3"/>
    <x v="2"/>
    <x v="0"/>
    <x v="3"/>
    <x v="1"/>
  </r>
  <r>
    <s v="Singapore"/>
    <x v="2"/>
    <s v="SG1"/>
    <m/>
    <x v="4"/>
    <x v="4"/>
    <x v="1"/>
    <x v="3"/>
    <x v="0"/>
    <x v="0"/>
    <x v="0"/>
    <m/>
    <x v="0"/>
    <x v="0"/>
    <n v="-4.2063300000000003"/>
    <m/>
    <x v="4"/>
    <x v="2"/>
    <x v="0"/>
    <x v="3"/>
    <x v="2"/>
  </r>
  <r>
    <s v="Singapore"/>
    <x v="0"/>
    <s v="SG2"/>
    <m/>
    <x v="1"/>
    <x v="4"/>
    <x v="0"/>
    <x v="2"/>
    <x v="0"/>
    <x v="0"/>
    <x v="0"/>
    <m/>
    <x v="0"/>
    <x v="0"/>
    <n v="0.37389600000000001"/>
    <m/>
    <x v="1"/>
    <x v="1"/>
    <x v="0"/>
    <x v="0"/>
    <x v="1"/>
  </r>
  <r>
    <s v="Singapore"/>
    <x v="0"/>
    <s v="SG4"/>
    <m/>
    <x v="1"/>
    <x v="2"/>
    <x v="0"/>
    <x v="5"/>
    <x v="0"/>
    <x v="0"/>
    <x v="0"/>
    <m/>
    <x v="0"/>
    <x v="0"/>
    <n v="-4.0505400000000004E-2"/>
    <m/>
    <x v="2"/>
    <x v="3"/>
    <x v="0"/>
    <x v="1"/>
    <x v="1"/>
  </r>
  <r>
    <s v="Singapore"/>
    <x v="1"/>
    <s v="SG1"/>
    <m/>
    <x v="3"/>
    <x v="4"/>
    <x v="4"/>
    <x v="2"/>
    <x v="0"/>
    <x v="0"/>
    <x v="0"/>
    <m/>
    <x v="0"/>
    <x v="0"/>
    <n v="-2.260528479"/>
    <m/>
    <x v="0"/>
    <x v="0"/>
    <x v="0"/>
    <x v="4"/>
    <x v="1"/>
  </r>
  <r>
    <s v="Singapore"/>
    <x v="1"/>
    <s v="SG2"/>
    <m/>
    <x v="2"/>
    <x v="4"/>
    <x v="4"/>
    <x v="1"/>
    <x v="0"/>
    <x v="0"/>
    <x v="0"/>
    <m/>
    <x v="0"/>
    <x v="0"/>
    <n v="-0.14800050000000001"/>
    <m/>
    <x v="4"/>
    <x v="3"/>
    <x v="0"/>
    <x v="3"/>
    <x v="1"/>
  </r>
  <r>
    <s v="Singapore"/>
    <x v="0"/>
    <s v="SG1"/>
    <m/>
    <x v="0"/>
    <x v="0"/>
    <x v="1"/>
    <x v="3"/>
    <x v="0"/>
    <x v="0"/>
    <x v="0"/>
    <m/>
    <x v="0"/>
    <x v="0"/>
    <n v="-0.24926400000000001"/>
    <m/>
    <x v="0"/>
    <x v="0"/>
    <x v="0"/>
    <x v="4"/>
    <x v="0"/>
  </r>
  <r>
    <s v="Singapore"/>
    <x v="5"/>
    <s v="SG1"/>
    <m/>
    <x v="0"/>
    <x v="3"/>
    <x v="2"/>
    <x v="0"/>
    <x v="0"/>
    <x v="0"/>
    <x v="0"/>
    <m/>
    <x v="0"/>
    <x v="0"/>
    <n v="-0.30780988200000003"/>
    <m/>
    <x v="0"/>
    <x v="1"/>
    <x v="0"/>
    <x v="5"/>
    <x v="1"/>
  </r>
  <r>
    <s v="Singapore"/>
    <x v="3"/>
    <s v="SG3"/>
    <m/>
    <x v="5"/>
    <x v="2"/>
    <x v="3"/>
    <x v="5"/>
    <x v="0"/>
    <x v="0"/>
    <x v="0"/>
    <m/>
    <x v="0"/>
    <x v="0"/>
    <n v="-0.51410699999999998"/>
    <m/>
    <x v="8"/>
    <x v="2"/>
    <x v="0"/>
    <x v="5"/>
    <x v="0"/>
  </r>
  <r>
    <s v="Singapore"/>
    <x v="2"/>
    <s v="SG2"/>
    <m/>
    <x v="3"/>
    <x v="3"/>
    <x v="4"/>
    <x v="2"/>
    <x v="0"/>
    <x v="0"/>
    <x v="0"/>
    <m/>
    <x v="0"/>
    <x v="0"/>
    <n v="-78.86862518400001"/>
    <m/>
    <x v="8"/>
    <x v="3"/>
    <x v="0"/>
    <x v="2"/>
    <x v="2"/>
  </r>
  <r>
    <s v="Singapore"/>
    <x v="1"/>
    <s v="SG3"/>
    <m/>
    <x v="1"/>
    <x v="4"/>
    <x v="2"/>
    <x v="3"/>
    <x v="0"/>
    <x v="0"/>
    <x v="0"/>
    <m/>
    <x v="0"/>
    <x v="0"/>
    <n v="0.264843"/>
    <m/>
    <x v="1"/>
    <x v="1"/>
    <x v="0"/>
    <x v="1"/>
    <x v="2"/>
  </r>
  <r>
    <s v="Singapore"/>
    <x v="2"/>
    <s v="SG3"/>
    <m/>
    <x v="5"/>
    <x v="0"/>
    <x v="1"/>
    <x v="2"/>
    <x v="0"/>
    <x v="0"/>
    <x v="0"/>
    <m/>
    <x v="0"/>
    <x v="0"/>
    <n v="-4.6737000000000001E-2"/>
    <m/>
    <x v="0"/>
    <x v="1"/>
    <x v="0"/>
    <x v="3"/>
    <x v="1"/>
  </r>
  <r>
    <s v="Singapore"/>
    <x v="3"/>
    <s v="SG4"/>
    <m/>
    <x v="1"/>
    <x v="4"/>
    <x v="3"/>
    <x v="0"/>
    <x v="0"/>
    <x v="0"/>
    <x v="0"/>
    <m/>
    <x v="0"/>
    <x v="0"/>
    <n v="77.89500000000001"/>
    <m/>
    <x v="5"/>
    <x v="0"/>
    <x v="0"/>
    <x v="3"/>
    <x v="2"/>
  </r>
  <r>
    <s v="Singapore"/>
    <x v="4"/>
    <s v="SG1"/>
    <m/>
    <x v="5"/>
    <x v="3"/>
    <x v="4"/>
    <x v="5"/>
    <x v="0"/>
    <x v="0"/>
    <x v="0"/>
    <m/>
    <x v="0"/>
    <x v="0"/>
    <n v="-0.24926400000000001"/>
    <m/>
    <x v="0"/>
    <x v="1"/>
    <x v="0"/>
    <x v="5"/>
    <x v="0"/>
  </r>
  <r>
    <s v="Singapore"/>
    <x v="2"/>
    <s v="SG2"/>
    <m/>
    <x v="5"/>
    <x v="3"/>
    <x v="1"/>
    <x v="2"/>
    <x v="0"/>
    <x v="0"/>
    <x v="0"/>
    <m/>
    <x v="0"/>
    <x v="0"/>
    <n v="0.1838322"/>
    <m/>
    <x v="4"/>
    <x v="1"/>
    <x v="0"/>
    <x v="0"/>
    <x v="2"/>
  </r>
  <r>
    <s v="Singapore"/>
    <x v="2"/>
    <s v="SG1"/>
    <m/>
    <x v="1"/>
    <x v="0"/>
    <x v="1"/>
    <x v="3"/>
    <x v="0"/>
    <x v="0"/>
    <x v="0"/>
    <m/>
    <x v="0"/>
    <x v="0"/>
    <n v="-7.7895000000000004E-3"/>
    <m/>
    <x v="0"/>
    <x v="3"/>
    <x v="0"/>
    <x v="4"/>
    <x v="1"/>
  </r>
  <r>
    <s v="Singapore"/>
    <x v="1"/>
    <s v="SG3"/>
    <m/>
    <x v="5"/>
    <x v="3"/>
    <x v="2"/>
    <x v="1"/>
    <x v="0"/>
    <x v="0"/>
    <x v="0"/>
    <m/>
    <x v="0"/>
    <x v="0"/>
    <n v="0.78424685999999999"/>
    <m/>
    <x v="1"/>
    <x v="0"/>
    <x v="0"/>
    <x v="1"/>
    <x v="1"/>
  </r>
  <r>
    <s v="Singapore"/>
    <x v="0"/>
    <s v="SG4"/>
    <m/>
    <x v="2"/>
    <x v="0"/>
    <x v="1"/>
    <x v="0"/>
    <x v="0"/>
    <x v="0"/>
    <x v="0"/>
    <m/>
    <x v="0"/>
    <x v="0"/>
    <n v="2.8556307000000003"/>
    <m/>
    <x v="1"/>
    <x v="3"/>
    <x v="0"/>
    <x v="3"/>
    <x v="0"/>
  </r>
  <r>
    <s v="Singapore"/>
    <x v="2"/>
    <s v="SG2"/>
    <m/>
    <x v="4"/>
    <x v="2"/>
    <x v="3"/>
    <x v="0"/>
    <x v="0"/>
    <x v="0"/>
    <x v="0"/>
    <m/>
    <x v="0"/>
    <x v="0"/>
    <n v="0.51410699999999998"/>
    <m/>
    <x v="1"/>
    <x v="3"/>
    <x v="0"/>
    <x v="5"/>
    <x v="2"/>
  </r>
  <r>
    <s v="Singapore"/>
    <x v="5"/>
    <s v="SG1"/>
    <m/>
    <x v="0"/>
    <x v="4"/>
    <x v="4"/>
    <x v="0"/>
    <x v="0"/>
    <x v="0"/>
    <x v="0"/>
    <m/>
    <x v="0"/>
    <x v="0"/>
    <n v="1.168425"/>
    <m/>
    <x v="1"/>
    <x v="3"/>
    <x v="0"/>
    <x v="5"/>
    <x v="1"/>
  </r>
  <r>
    <s v="Singapore"/>
    <x v="0"/>
    <s v="SG2"/>
    <m/>
    <x v="0"/>
    <x v="2"/>
    <x v="2"/>
    <x v="2"/>
    <x v="0"/>
    <x v="0"/>
    <x v="0"/>
    <m/>
    <x v="0"/>
    <x v="0"/>
    <n v="7.0105500000000001E-2"/>
    <m/>
    <x v="1"/>
    <x v="1"/>
    <x v="0"/>
    <x v="4"/>
    <x v="2"/>
  </r>
  <r>
    <s v="Singapore"/>
    <x v="1"/>
    <s v="SG2"/>
    <m/>
    <x v="2"/>
    <x v="1"/>
    <x v="4"/>
    <x v="3"/>
    <x v="0"/>
    <x v="0"/>
    <x v="0"/>
    <m/>
    <x v="0"/>
    <x v="0"/>
    <n v="0.1838322"/>
    <m/>
    <x v="4"/>
    <x v="1"/>
    <x v="0"/>
    <x v="5"/>
    <x v="1"/>
  </r>
  <r>
    <s v="Singapore"/>
    <x v="4"/>
    <s v="SG3"/>
    <m/>
    <x v="2"/>
    <x v="4"/>
    <x v="4"/>
    <x v="0"/>
    <x v="0"/>
    <x v="0"/>
    <x v="0"/>
    <m/>
    <x v="0"/>
    <x v="0"/>
    <n v="33.186899907000004"/>
    <m/>
    <x v="1"/>
    <x v="1"/>
    <x v="0"/>
    <x v="3"/>
    <x v="1"/>
  </r>
  <r>
    <s v="Singapore"/>
    <x v="2"/>
    <s v="SG3"/>
    <m/>
    <x v="2"/>
    <x v="2"/>
    <x v="2"/>
    <x v="0"/>
    <x v="0"/>
    <x v="0"/>
    <x v="0"/>
    <m/>
    <x v="0"/>
    <x v="0"/>
    <n v="-0.12463200000000001"/>
    <m/>
    <x v="0"/>
    <x v="0"/>
    <x v="0"/>
    <x v="1"/>
    <x v="1"/>
  </r>
  <r>
    <s v="Singapore"/>
    <x v="0"/>
    <s v="SG4"/>
    <m/>
    <x v="3"/>
    <x v="2"/>
    <x v="3"/>
    <x v="1"/>
    <x v="0"/>
    <x v="0"/>
    <x v="0"/>
    <m/>
    <x v="0"/>
    <x v="0"/>
    <n v="-2.33685E-2"/>
    <m/>
    <x v="3"/>
    <x v="3"/>
    <x v="0"/>
    <x v="3"/>
    <x v="2"/>
  </r>
  <r>
    <s v="Singapore"/>
    <x v="3"/>
    <s v="SG2"/>
    <m/>
    <x v="5"/>
    <x v="2"/>
    <x v="1"/>
    <x v="2"/>
    <x v="0"/>
    <x v="0"/>
    <x v="0"/>
    <m/>
    <x v="0"/>
    <x v="0"/>
    <n v="-0.12463200000000001"/>
    <m/>
    <x v="4"/>
    <x v="1"/>
    <x v="0"/>
    <x v="4"/>
    <x v="2"/>
  </r>
  <r>
    <s v="Singapore"/>
    <x v="5"/>
    <s v="SG1"/>
    <m/>
    <x v="0"/>
    <x v="2"/>
    <x v="0"/>
    <x v="5"/>
    <x v="0"/>
    <x v="0"/>
    <x v="0"/>
    <m/>
    <x v="0"/>
    <x v="0"/>
    <n v="19.180864800000002"/>
    <m/>
    <x v="8"/>
    <x v="0"/>
    <x v="0"/>
    <x v="3"/>
    <x v="1"/>
  </r>
  <r>
    <s v="Singapore"/>
    <x v="2"/>
    <s v="SG4"/>
    <m/>
    <x v="3"/>
    <x v="3"/>
    <x v="3"/>
    <x v="2"/>
    <x v="0"/>
    <x v="0"/>
    <x v="0"/>
    <m/>
    <x v="0"/>
    <x v="0"/>
    <n v="-0.71663399999999999"/>
    <m/>
    <x v="4"/>
    <x v="2"/>
    <x v="0"/>
    <x v="1"/>
    <x v="1"/>
  </r>
  <r>
    <s v="Singapore"/>
    <x v="3"/>
    <s v="SG4"/>
    <m/>
    <x v="5"/>
    <x v="0"/>
    <x v="4"/>
    <x v="4"/>
    <x v="0"/>
    <x v="0"/>
    <x v="0"/>
    <m/>
    <x v="0"/>
    <x v="0"/>
    <n v="-0.12463200000000001"/>
    <m/>
    <x v="0"/>
    <x v="2"/>
    <x v="0"/>
    <x v="1"/>
    <x v="2"/>
  </r>
  <r>
    <s v="Singapore"/>
    <x v="2"/>
    <s v="SG3"/>
    <m/>
    <x v="2"/>
    <x v="2"/>
    <x v="4"/>
    <x v="2"/>
    <x v="0"/>
    <x v="0"/>
    <x v="0"/>
    <m/>
    <x v="0"/>
    <x v="0"/>
    <n v="0.37389600000000001"/>
    <m/>
    <x v="1"/>
    <x v="1"/>
    <x v="0"/>
    <x v="4"/>
    <x v="1"/>
  </r>
  <r>
    <s v="Singapore"/>
    <x v="1"/>
    <s v="SG2"/>
    <m/>
    <x v="0"/>
    <x v="4"/>
    <x v="0"/>
    <x v="2"/>
    <x v="0"/>
    <x v="0"/>
    <x v="0"/>
    <m/>
    <x v="0"/>
    <x v="0"/>
    <n v="0.233685"/>
    <m/>
    <x v="1"/>
    <x v="0"/>
    <x v="0"/>
    <x v="1"/>
    <x v="1"/>
  </r>
  <r>
    <s v="Singapore"/>
    <x v="1"/>
    <s v="SG2"/>
    <m/>
    <x v="4"/>
    <x v="1"/>
    <x v="1"/>
    <x v="4"/>
    <x v="0"/>
    <x v="0"/>
    <x v="0"/>
    <m/>
    <x v="0"/>
    <x v="0"/>
    <n v="-0.15373357200000001"/>
    <m/>
    <x v="0"/>
    <x v="2"/>
    <x v="0"/>
    <x v="2"/>
    <x v="2"/>
  </r>
  <r>
    <s v="Singapore"/>
    <x v="4"/>
    <s v="SG1"/>
    <m/>
    <x v="0"/>
    <x v="4"/>
    <x v="4"/>
    <x v="0"/>
    <x v="0"/>
    <x v="0"/>
    <x v="0"/>
    <m/>
    <x v="0"/>
    <x v="0"/>
    <n v="0.70105499999999998"/>
    <m/>
    <x v="1"/>
    <x v="2"/>
    <x v="0"/>
    <x v="1"/>
    <x v="2"/>
  </r>
  <r>
    <s v="Singapore"/>
    <x v="4"/>
    <s v="SG1"/>
    <m/>
    <x v="1"/>
    <x v="4"/>
    <x v="1"/>
    <x v="5"/>
    <x v="0"/>
    <x v="0"/>
    <x v="0"/>
    <m/>
    <x v="0"/>
    <x v="0"/>
    <n v="-4.6737000000000001E-2"/>
    <m/>
    <x v="0"/>
    <x v="0"/>
    <x v="0"/>
    <x v="5"/>
    <x v="1"/>
  </r>
  <r>
    <s v="Singapore"/>
    <x v="3"/>
    <s v="SG2"/>
    <m/>
    <x v="4"/>
    <x v="3"/>
    <x v="1"/>
    <x v="5"/>
    <x v="0"/>
    <x v="0"/>
    <x v="0"/>
    <m/>
    <x v="0"/>
    <x v="0"/>
    <n v="-136.50578411400002"/>
    <m/>
    <x v="5"/>
    <x v="2"/>
    <x v="0"/>
    <x v="3"/>
    <x v="2"/>
  </r>
  <r>
    <s v="Singapore"/>
    <x v="3"/>
    <s v="SG2"/>
    <m/>
    <x v="4"/>
    <x v="3"/>
    <x v="4"/>
    <x v="3"/>
    <x v="0"/>
    <x v="0"/>
    <x v="0"/>
    <m/>
    <x v="0"/>
    <x v="0"/>
    <n v="-2.6484300000000003"/>
    <m/>
    <x v="1"/>
    <x v="1"/>
    <x v="0"/>
    <x v="2"/>
    <x v="0"/>
  </r>
  <r>
    <s v="Singapore"/>
    <x v="3"/>
    <s v="SG3"/>
    <m/>
    <x v="1"/>
    <x v="2"/>
    <x v="1"/>
    <x v="5"/>
    <x v="0"/>
    <x v="0"/>
    <x v="0"/>
    <m/>
    <x v="0"/>
    <x v="0"/>
    <n v="0.37389600000000001"/>
    <m/>
    <x v="1"/>
    <x v="1"/>
    <x v="0"/>
    <x v="2"/>
    <x v="1"/>
  </r>
  <r>
    <s v="Singapore"/>
    <x v="3"/>
    <s v="SG2"/>
    <m/>
    <x v="4"/>
    <x v="1"/>
    <x v="2"/>
    <x v="2"/>
    <x v="0"/>
    <x v="0"/>
    <x v="0"/>
    <m/>
    <x v="0"/>
    <x v="0"/>
    <n v="2.3368500000000001"/>
    <m/>
    <x v="4"/>
    <x v="2"/>
    <x v="0"/>
    <x v="0"/>
    <x v="0"/>
  </r>
  <r>
    <s v="Singapore"/>
    <x v="5"/>
    <s v="SG3"/>
    <m/>
    <x v="5"/>
    <x v="4"/>
    <x v="3"/>
    <x v="0"/>
    <x v="0"/>
    <x v="0"/>
    <x v="0"/>
    <m/>
    <x v="0"/>
    <x v="0"/>
    <n v="-2.775180744"/>
    <m/>
    <x v="4"/>
    <x v="0"/>
    <x v="0"/>
    <x v="2"/>
    <x v="1"/>
  </r>
  <r>
    <s v="Singapore"/>
    <x v="0"/>
    <s v="SG1"/>
    <m/>
    <x v="1"/>
    <x v="1"/>
    <x v="2"/>
    <x v="0"/>
    <x v="0"/>
    <x v="0"/>
    <x v="0"/>
    <m/>
    <x v="0"/>
    <x v="0"/>
    <n v="4.6737000000000003E-3"/>
    <m/>
    <x v="3"/>
    <x v="1"/>
    <x v="0"/>
    <x v="1"/>
    <x v="0"/>
  </r>
  <r>
    <s v="Singapore"/>
    <x v="0"/>
    <s v="SG3"/>
    <m/>
    <x v="2"/>
    <x v="2"/>
    <x v="2"/>
    <x v="5"/>
    <x v="0"/>
    <x v="0"/>
    <x v="0"/>
    <m/>
    <x v="0"/>
    <x v="0"/>
    <n v="-7.7895000000000004E-3"/>
    <m/>
    <x v="0"/>
    <x v="2"/>
    <x v="0"/>
    <x v="4"/>
    <x v="1"/>
  </r>
  <r>
    <s v="Singapore"/>
    <x v="1"/>
    <s v="SG2"/>
    <m/>
    <x v="5"/>
    <x v="2"/>
    <x v="1"/>
    <x v="2"/>
    <x v="0"/>
    <x v="0"/>
    <x v="0"/>
    <m/>
    <x v="0"/>
    <x v="0"/>
    <n v="0.1838322"/>
    <m/>
    <x v="4"/>
    <x v="1"/>
    <x v="0"/>
    <x v="1"/>
    <x v="0"/>
  </r>
  <r>
    <s v="Singapore"/>
    <x v="1"/>
    <s v="SG1"/>
    <m/>
    <x v="0"/>
    <x v="4"/>
    <x v="3"/>
    <x v="1"/>
    <x v="0"/>
    <x v="0"/>
    <x v="0"/>
    <m/>
    <x v="0"/>
    <x v="0"/>
    <n v="3.7233810000000003"/>
    <m/>
    <x v="11"/>
    <x v="2"/>
    <x v="0"/>
    <x v="1"/>
    <x v="2"/>
  </r>
  <r>
    <s v="Singapore"/>
    <x v="2"/>
    <s v="SG1"/>
    <m/>
    <x v="0"/>
    <x v="2"/>
    <x v="1"/>
    <x v="0"/>
    <x v="0"/>
    <x v="0"/>
    <x v="0"/>
    <m/>
    <x v="0"/>
    <x v="0"/>
    <n v="-4.424436"/>
    <m/>
    <x v="11"/>
    <x v="3"/>
    <x v="0"/>
    <x v="1"/>
    <x v="1"/>
  </r>
  <r>
    <s v="Singapore"/>
    <x v="2"/>
    <s v="SG1"/>
    <m/>
    <x v="2"/>
    <x v="3"/>
    <x v="2"/>
    <x v="4"/>
    <x v="0"/>
    <x v="0"/>
    <x v="0"/>
    <m/>
    <x v="0"/>
    <x v="0"/>
    <n v="0.12463200000000001"/>
    <m/>
    <x v="0"/>
    <x v="2"/>
    <x v="0"/>
    <x v="4"/>
    <x v="0"/>
  </r>
  <r>
    <s v="Singapore"/>
    <x v="2"/>
    <s v="SG1"/>
    <m/>
    <x v="2"/>
    <x v="2"/>
    <x v="3"/>
    <x v="0"/>
    <x v="0"/>
    <x v="0"/>
    <x v="0"/>
    <m/>
    <x v="0"/>
    <x v="0"/>
    <n v="-0.21810600000000002"/>
    <m/>
    <x v="4"/>
    <x v="2"/>
    <x v="0"/>
    <x v="1"/>
    <x v="2"/>
  </r>
  <r>
    <s v="Singapore"/>
    <x v="1"/>
    <s v="SG2"/>
    <m/>
    <x v="2"/>
    <x v="4"/>
    <x v="3"/>
    <x v="2"/>
    <x v="0"/>
    <x v="0"/>
    <x v="0"/>
    <m/>
    <x v="0"/>
    <x v="0"/>
    <n v="-0.15331293900000001"/>
    <m/>
    <x v="0"/>
    <x v="3"/>
    <x v="0"/>
    <x v="0"/>
    <x v="1"/>
  </r>
  <r>
    <s v="Singapore"/>
    <x v="1"/>
    <s v="SG1"/>
    <m/>
    <x v="2"/>
    <x v="2"/>
    <x v="0"/>
    <x v="3"/>
    <x v="0"/>
    <x v="0"/>
    <x v="0"/>
    <m/>
    <x v="0"/>
    <x v="0"/>
    <n v="-0.77895000000000003"/>
    <m/>
    <x v="4"/>
    <x v="0"/>
    <x v="0"/>
    <x v="2"/>
    <x v="0"/>
  </r>
  <r>
    <s v="Singapore"/>
    <x v="1"/>
    <s v="SG1"/>
    <m/>
    <x v="2"/>
    <x v="2"/>
    <x v="0"/>
    <x v="5"/>
    <x v="0"/>
    <x v="0"/>
    <x v="0"/>
    <m/>
    <x v="0"/>
    <x v="0"/>
    <n v="-0.31158000000000002"/>
    <m/>
    <x v="0"/>
    <x v="2"/>
    <x v="0"/>
    <x v="2"/>
    <x v="0"/>
  </r>
  <r>
    <s v="Singapore"/>
    <x v="1"/>
    <s v="SG4"/>
    <m/>
    <x v="0"/>
    <x v="3"/>
    <x v="1"/>
    <x v="2"/>
    <x v="0"/>
    <x v="0"/>
    <x v="0"/>
    <m/>
    <x v="0"/>
    <x v="0"/>
    <n v="23.984182080000004"/>
    <m/>
    <x v="9"/>
    <x v="3"/>
    <x v="0"/>
    <x v="3"/>
    <x v="2"/>
  </r>
  <r>
    <s v="Singapore"/>
    <x v="0"/>
    <s v="SG1"/>
    <m/>
    <x v="2"/>
    <x v="1"/>
    <x v="4"/>
    <x v="5"/>
    <x v="0"/>
    <x v="0"/>
    <x v="0"/>
    <m/>
    <x v="0"/>
    <x v="0"/>
    <n v="-0.26172719999999999"/>
    <m/>
    <x v="3"/>
    <x v="3"/>
    <x v="0"/>
    <x v="4"/>
    <x v="1"/>
  </r>
  <r>
    <s v="Singapore"/>
    <x v="1"/>
    <s v="SG2"/>
    <m/>
    <x v="0"/>
    <x v="2"/>
    <x v="1"/>
    <x v="0"/>
    <x v="0"/>
    <x v="0"/>
    <x v="0"/>
    <m/>
    <x v="0"/>
    <x v="0"/>
    <n v="1.0801232280000002"/>
    <m/>
    <x v="1"/>
    <x v="0"/>
    <x v="0"/>
    <x v="2"/>
    <x v="0"/>
  </r>
  <r>
    <s v="Singapore"/>
    <x v="4"/>
    <s v="SG1"/>
    <m/>
    <x v="5"/>
    <x v="2"/>
    <x v="1"/>
    <x v="3"/>
    <x v="0"/>
    <x v="0"/>
    <x v="0"/>
    <m/>
    <x v="0"/>
    <x v="0"/>
    <n v="-0.51497942400000007"/>
    <m/>
    <x v="6"/>
    <x v="2"/>
    <x v="0"/>
    <x v="4"/>
    <x v="0"/>
  </r>
  <r>
    <s v="Singapore"/>
    <x v="0"/>
    <s v="SG4"/>
    <m/>
    <x v="5"/>
    <x v="0"/>
    <x v="1"/>
    <x v="4"/>
    <x v="0"/>
    <x v="0"/>
    <x v="0"/>
    <m/>
    <x v="0"/>
    <x v="0"/>
    <n v="-7.7895000000000004E-3"/>
    <m/>
    <x v="0"/>
    <x v="0"/>
    <x v="0"/>
    <x v="1"/>
    <x v="2"/>
  </r>
  <r>
    <s v="Singapore"/>
    <x v="0"/>
    <s v="SG3"/>
    <m/>
    <x v="3"/>
    <x v="3"/>
    <x v="3"/>
    <x v="1"/>
    <x v="0"/>
    <x v="0"/>
    <x v="0"/>
    <m/>
    <x v="0"/>
    <x v="0"/>
    <n v="36.110688732000007"/>
    <m/>
    <x v="1"/>
    <x v="3"/>
    <x v="0"/>
    <x v="3"/>
    <x v="0"/>
  </r>
  <r>
    <s v="Singapore"/>
    <x v="4"/>
    <s v="SG3"/>
    <m/>
    <x v="3"/>
    <x v="2"/>
    <x v="0"/>
    <x v="4"/>
    <x v="0"/>
    <x v="0"/>
    <x v="0"/>
    <m/>
    <x v="0"/>
    <x v="0"/>
    <n v="-0.13631625"/>
    <m/>
    <x v="6"/>
    <x v="0"/>
    <x v="0"/>
    <x v="3"/>
    <x v="0"/>
  </r>
  <r>
    <s v="Singapore"/>
    <x v="5"/>
    <s v="SG4"/>
    <m/>
    <x v="1"/>
    <x v="3"/>
    <x v="1"/>
    <x v="3"/>
    <x v="0"/>
    <x v="0"/>
    <x v="0"/>
    <m/>
    <x v="0"/>
    <x v="0"/>
    <n v="-7.7895000000000004E-3"/>
    <m/>
    <x v="0"/>
    <x v="3"/>
    <x v="0"/>
    <x v="0"/>
    <x v="1"/>
  </r>
  <r>
    <s v="Singapore"/>
    <x v="4"/>
    <s v="SG2"/>
    <m/>
    <x v="3"/>
    <x v="1"/>
    <x v="4"/>
    <x v="0"/>
    <x v="0"/>
    <x v="0"/>
    <x v="0"/>
    <m/>
    <x v="0"/>
    <x v="0"/>
    <n v="4.36212"/>
    <m/>
    <x v="1"/>
    <x v="3"/>
    <x v="0"/>
    <x v="0"/>
    <x v="2"/>
  </r>
  <r>
    <s v="Singapore"/>
    <x v="5"/>
    <s v="SG1"/>
    <m/>
    <x v="0"/>
    <x v="3"/>
    <x v="2"/>
    <x v="0"/>
    <x v="0"/>
    <x v="0"/>
    <x v="0"/>
    <m/>
    <x v="0"/>
    <x v="0"/>
    <n v="-0.11216880000000001"/>
    <m/>
    <x v="6"/>
    <x v="2"/>
    <x v="0"/>
    <x v="3"/>
    <x v="0"/>
  </r>
  <r>
    <s v="Singapore"/>
    <x v="4"/>
    <s v="SG3"/>
    <m/>
    <x v="4"/>
    <x v="4"/>
    <x v="4"/>
    <x v="0"/>
    <x v="0"/>
    <x v="0"/>
    <x v="0"/>
    <m/>
    <x v="0"/>
    <x v="0"/>
    <n v="-4.4709237360000005"/>
    <m/>
    <x v="2"/>
    <x v="0"/>
    <x v="0"/>
    <x v="2"/>
    <x v="1"/>
  </r>
  <r>
    <s v="Singapore"/>
    <x v="3"/>
    <s v="SG4"/>
    <m/>
    <x v="2"/>
    <x v="2"/>
    <x v="4"/>
    <x v="0"/>
    <x v="0"/>
    <x v="0"/>
    <x v="0"/>
    <m/>
    <x v="0"/>
    <x v="0"/>
    <n v="6.2316000000000003E-2"/>
    <m/>
    <x v="8"/>
    <x v="3"/>
    <x v="0"/>
    <x v="2"/>
    <x v="2"/>
  </r>
  <r>
    <s v="Singapore"/>
    <x v="2"/>
    <s v="SG2"/>
    <m/>
    <x v="5"/>
    <x v="4"/>
    <x v="4"/>
    <x v="3"/>
    <x v="0"/>
    <x v="0"/>
    <x v="0"/>
    <m/>
    <x v="0"/>
    <x v="0"/>
    <n v="-0.280422"/>
    <m/>
    <x v="0"/>
    <x v="1"/>
    <x v="0"/>
    <x v="3"/>
    <x v="2"/>
  </r>
  <r>
    <s v="Singapore"/>
    <x v="3"/>
    <s v="SG4"/>
    <m/>
    <x v="5"/>
    <x v="0"/>
    <x v="3"/>
    <x v="0"/>
    <x v="0"/>
    <x v="0"/>
    <x v="0"/>
    <m/>
    <x v="0"/>
    <x v="0"/>
    <n v="0.74779200000000001"/>
    <m/>
    <x v="1"/>
    <x v="0"/>
    <x v="0"/>
    <x v="0"/>
    <x v="1"/>
  </r>
  <r>
    <s v="Singapore"/>
    <x v="4"/>
    <s v="SG2"/>
    <m/>
    <x v="2"/>
    <x v="1"/>
    <x v="2"/>
    <x v="1"/>
    <x v="0"/>
    <x v="0"/>
    <x v="0"/>
    <m/>
    <x v="0"/>
    <x v="0"/>
    <n v="0.1838322"/>
    <m/>
    <x v="4"/>
    <x v="2"/>
    <x v="0"/>
    <x v="1"/>
    <x v="2"/>
  </r>
  <r>
    <s v="Singapore"/>
    <x v="0"/>
    <s v="SG2"/>
    <m/>
    <x v="4"/>
    <x v="0"/>
    <x v="4"/>
    <x v="4"/>
    <x v="0"/>
    <x v="0"/>
    <x v="0"/>
    <m/>
    <x v="0"/>
    <x v="0"/>
    <n v="0.15579000000000001"/>
    <m/>
    <x v="1"/>
    <x v="3"/>
    <x v="0"/>
    <x v="5"/>
    <x v="1"/>
  </r>
  <r>
    <s v="Singapore"/>
    <x v="1"/>
    <s v="SG4"/>
    <m/>
    <x v="4"/>
    <x v="1"/>
    <x v="1"/>
    <x v="0"/>
    <x v="0"/>
    <x v="0"/>
    <x v="0"/>
    <m/>
    <x v="0"/>
    <x v="0"/>
    <n v="1.915173207"/>
    <m/>
    <x v="3"/>
    <x v="2"/>
    <x v="0"/>
    <x v="5"/>
    <x v="1"/>
  </r>
  <r>
    <s v="Singapore"/>
    <x v="4"/>
    <s v="SG4"/>
    <m/>
    <x v="1"/>
    <x v="3"/>
    <x v="3"/>
    <x v="2"/>
    <x v="0"/>
    <x v="0"/>
    <x v="0"/>
    <m/>
    <x v="0"/>
    <x v="0"/>
    <n v="-2.775180744"/>
    <m/>
    <x v="4"/>
    <x v="0"/>
    <x v="0"/>
    <x v="5"/>
    <x v="0"/>
  </r>
  <r>
    <s v="Singapore"/>
    <x v="3"/>
    <s v="SG2"/>
    <m/>
    <x v="3"/>
    <x v="1"/>
    <x v="1"/>
    <x v="0"/>
    <x v="0"/>
    <x v="0"/>
    <x v="0"/>
    <m/>
    <x v="0"/>
    <x v="0"/>
    <n v="0.74467620000000001"/>
    <m/>
    <x v="1"/>
    <x v="0"/>
    <x v="0"/>
    <x v="3"/>
    <x v="1"/>
  </r>
  <r>
    <s v="Singapore"/>
    <x v="2"/>
    <s v="SG4"/>
    <m/>
    <x v="0"/>
    <x v="4"/>
    <x v="3"/>
    <x v="1"/>
    <x v="0"/>
    <x v="0"/>
    <x v="0"/>
    <m/>
    <x v="0"/>
    <x v="0"/>
    <n v="50.013575280000005"/>
    <m/>
    <x v="5"/>
    <x v="0"/>
    <x v="0"/>
    <x v="5"/>
    <x v="0"/>
  </r>
  <r>
    <s v="Singapore"/>
    <x v="5"/>
    <s v="SG1"/>
    <m/>
    <x v="4"/>
    <x v="2"/>
    <x v="4"/>
    <x v="4"/>
    <x v="0"/>
    <x v="0"/>
    <x v="0"/>
    <m/>
    <x v="0"/>
    <x v="0"/>
    <n v="-1.0422351000000001"/>
    <m/>
    <x v="4"/>
    <x v="2"/>
    <x v="0"/>
    <x v="4"/>
    <x v="0"/>
  </r>
  <r>
    <s v="Singapore"/>
    <x v="0"/>
    <s v="SG2"/>
    <m/>
    <x v="0"/>
    <x v="0"/>
    <x v="3"/>
    <x v="1"/>
    <x v="0"/>
    <x v="0"/>
    <x v="0"/>
    <m/>
    <x v="0"/>
    <x v="0"/>
    <n v="-0.280422"/>
    <m/>
    <x v="0"/>
    <x v="2"/>
    <x v="0"/>
    <x v="4"/>
    <x v="2"/>
  </r>
  <r>
    <s v="Singapore"/>
    <x v="3"/>
    <s v="SG1"/>
    <m/>
    <x v="4"/>
    <x v="0"/>
    <x v="0"/>
    <x v="3"/>
    <x v="0"/>
    <x v="0"/>
    <x v="0"/>
    <m/>
    <x v="0"/>
    <x v="0"/>
    <n v="0.15579000000000001"/>
    <m/>
    <x v="1"/>
    <x v="3"/>
    <x v="0"/>
    <x v="1"/>
    <x v="1"/>
  </r>
  <r>
    <s v="Singapore"/>
    <x v="3"/>
    <s v="SG3"/>
    <m/>
    <x v="2"/>
    <x v="1"/>
    <x v="2"/>
    <x v="1"/>
    <x v="0"/>
    <x v="0"/>
    <x v="0"/>
    <m/>
    <x v="0"/>
    <x v="0"/>
    <n v="0.64808640000000006"/>
    <m/>
    <x v="5"/>
    <x v="1"/>
    <x v="0"/>
    <x v="5"/>
    <x v="0"/>
  </r>
  <r>
    <s v="Singapore"/>
    <x v="0"/>
    <s v="SG1"/>
    <m/>
    <x v="0"/>
    <x v="1"/>
    <x v="0"/>
    <x v="2"/>
    <x v="0"/>
    <x v="0"/>
    <x v="0"/>
    <m/>
    <x v="0"/>
    <x v="0"/>
    <n v="-2.8556307000000003"/>
    <m/>
    <x v="1"/>
    <x v="2"/>
    <x v="0"/>
    <x v="1"/>
    <x v="1"/>
  </r>
  <r>
    <s v="Singapore"/>
    <x v="5"/>
    <s v="SG1"/>
    <m/>
    <x v="4"/>
    <x v="0"/>
    <x v="1"/>
    <x v="4"/>
    <x v="0"/>
    <x v="0"/>
    <x v="0"/>
    <m/>
    <x v="0"/>
    <x v="0"/>
    <n v="-0.24926400000000001"/>
    <m/>
    <x v="0"/>
    <x v="3"/>
    <x v="0"/>
    <x v="1"/>
    <x v="1"/>
  </r>
  <r>
    <s v="Singapore"/>
    <x v="2"/>
    <s v="SG3"/>
    <m/>
    <x v="0"/>
    <x v="0"/>
    <x v="3"/>
    <x v="0"/>
    <x v="0"/>
    <x v="0"/>
    <x v="0"/>
    <m/>
    <x v="0"/>
    <x v="0"/>
    <n v="-4.6737000000000001E-2"/>
    <m/>
    <x v="0"/>
    <x v="0"/>
    <x v="0"/>
    <x v="3"/>
    <x v="2"/>
  </r>
  <r>
    <s v="Singapore"/>
    <x v="2"/>
    <s v="SG2"/>
    <m/>
    <x v="2"/>
    <x v="2"/>
    <x v="4"/>
    <x v="5"/>
    <x v="0"/>
    <x v="0"/>
    <x v="0"/>
    <m/>
    <x v="0"/>
    <x v="0"/>
    <n v="0.74467620000000001"/>
    <m/>
    <x v="1"/>
    <x v="1"/>
    <x v="0"/>
    <x v="3"/>
    <x v="1"/>
  </r>
  <r>
    <s v="Singapore"/>
    <x v="2"/>
    <s v="SG1"/>
    <m/>
    <x v="1"/>
    <x v="4"/>
    <x v="0"/>
    <x v="1"/>
    <x v="0"/>
    <x v="0"/>
    <x v="0"/>
    <m/>
    <x v="0"/>
    <x v="0"/>
    <n v="-0.545265"/>
    <m/>
    <x v="0"/>
    <x v="2"/>
    <x v="0"/>
    <x v="5"/>
    <x v="2"/>
  </r>
  <r>
    <s v="Singapore"/>
    <x v="4"/>
    <s v="SG4"/>
    <m/>
    <x v="3"/>
    <x v="4"/>
    <x v="4"/>
    <x v="5"/>
    <x v="0"/>
    <x v="0"/>
    <x v="0"/>
    <m/>
    <x v="0"/>
    <x v="0"/>
    <n v="1.3242150000000001"/>
    <m/>
    <x v="1"/>
    <x v="3"/>
    <x v="0"/>
    <x v="1"/>
    <x v="1"/>
  </r>
  <r>
    <s v="Singapore"/>
    <x v="0"/>
    <s v="SG3"/>
    <m/>
    <x v="3"/>
    <x v="0"/>
    <x v="1"/>
    <x v="5"/>
    <x v="0"/>
    <x v="0"/>
    <x v="0"/>
    <m/>
    <x v="0"/>
    <x v="0"/>
    <n v="-0.1324215"/>
    <m/>
    <x v="4"/>
    <x v="2"/>
    <x v="0"/>
    <x v="3"/>
    <x v="2"/>
  </r>
  <r>
    <s v="Singapore"/>
    <x v="0"/>
    <s v="SG3"/>
    <m/>
    <x v="5"/>
    <x v="0"/>
    <x v="4"/>
    <x v="1"/>
    <x v="0"/>
    <x v="0"/>
    <x v="0"/>
    <m/>
    <x v="0"/>
    <x v="0"/>
    <n v="-0.25643033999999998"/>
    <m/>
    <x v="0"/>
    <x v="0"/>
    <x v="0"/>
    <x v="1"/>
    <x v="0"/>
  </r>
  <r>
    <s v="Singapore"/>
    <x v="5"/>
    <s v="SG1"/>
    <m/>
    <x v="0"/>
    <x v="4"/>
    <x v="2"/>
    <x v="2"/>
    <x v="0"/>
    <x v="0"/>
    <x v="0"/>
    <m/>
    <x v="0"/>
    <x v="0"/>
    <n v="-4.6737000000000001E-2"/>
    <m/>
    <x v="0"/>
    <x v="1"/>
    <x v="0"/>
    <x v="4"/>
    <x v="0"/>
  </r>
  <r>
    <s v="Singapore"/>
    <x v="4"/>
    <s v="SG4"/>
    <m/>
    <x v="2"/>
    <x v="0"/>
    <x v="0"/>
    <x v="3"/>
    <x v="0"/>
    <x v="0"/>
    <x v="0"/>
    <m/>
    <x v="0"/>
    <x v="0"/>
    <n v="-0.545265"/>
    <m/>
    <x v="3"/>
    <x v="0"/>
    <x v="0"/>
    <x v="5"/>
    <x v="1"/>
  </r>
  <r>
    <s v="Singapore"/>
    <x v="2"/>
    <s v="SG1"/>
    <m/>
    <x v="3"/>
    <x v="1"/>
    <x v="2"/>
    <x v="1"/>
    <x v="0"/>
    <x v="0"/>
    <x v="0"/>
    <m/>
    <x v="0"/>
    <x v="0"/>
    <n v="-0.74779200000000001"/>
    <m/>
    <x v="4"/>
    <x v="1"/>
    <x v="0"/>
    <x v="1"/>
    <x v="0"/>
  </r>
  <r>
    <s v="Singapore"/>
    <x v="3"/>
    <s v="SG3"/>
    <m/>
    <x v="1"/>
    <x v="0"/>
    <x v="4"/>
    <x v="1"/>
    <x v="0"/>
    <x v="0"/>
    <x v="0"/>
    <m/>
    <x v="0"/>
    <x v="0"/>
    <n v="0.545265"/>
    <m/>
    <x v="1"/>
    <x v="2"/>
    <x v="0"/>
    <x v="4"/>
    <x v="1"/>
  </r>
  <r>
    <s v="Singapore"/>
    <x v="0"/>
    <s v="SG2"/>
    <m/>
    <x v="3"/>
    <x v="0"/>
    <x v="1"/>
    <x v="1"/>
    <x v="0"/>
    <x v="0"/>
    <x v="0"/>
    <m/>
    <x v="0"/>
    <x v="0"/>
    <n v="1.2437027280000001"/>
    <m/>
    <x v="1"/>
    <x v="2"/>
    <x v="0"/>
    <x v="3"/>
    <x v="2"/>
  </r>
  <r>
    <s v="Singapore"/>
    <x v="1"/>
    <s v="SG4"/>
    <m/>
    <x v="4"/>
    <x v="0"/>
    <x v="3"/>
    <x v="5"/>
    <x v="0"/>
    <x v="0"/>
    <x v="0"/>
    <m/>
    <x v="0"/>
    <x v="0"/>
    <n v="1.0801232280000002"/>
    <m/>
    <x v="1"/>
    <x v="2"/>
    <x v="0"/>
    <x v="3"/>
    <x v="1"/>
  </r>
  <r>
    <s v="Singapore"/>
    <x v="5"/>
    <s v="SG1"/>
    <m/>
    <x v="3"/>
    <x v="3"/>
    <x v="1"/>
    <x v="0"/>
    <x v="0"/>
    <x v="0"/>
    <x v="0"/>
    <m/>
    <x v="0"/>
    <x v="0"/>
    <n v="-35.492077800000004"/>
    <m/>
    <x v="2"/>
    <x v="2"/>
    <x v="0"/>
    <x v="5"/>
    <x v="2"/>
  </r>
  <r>
    <s v="Singapore"/>
    <x v="0"/>
    <s v="SG4"/>
    <m/>
    <x v="3"/>
    <x v="0"/>
    <x v="0"/>
    <x v="2"/>
    <x v="0"/>
    <x v="0"/>
    <x v="0"/>
    <m/>
    <x v="0"/>
    <x v="0"/>
    <n v="0.21031650000000002"/>
    <m/>
    <x v="1"/>
    <x v="0"/>
    <x v="0"/>
    <x v="2"/>
    <x v="1"/>
  </r>
  <r>
    <s v="Singapore"/>
    <x v="0"/>
    <s v="SG2"/>
    <m/>
    <x v="3"/>
    <x v="3"/>
    <x v="4"/>
    <x v="0"/>
    <x v="0"/>
    <x v="0"/>
    <x v="0"/>
    <m/>
    <x v="0"/>
    <x v="0"/>
    <n v="-12.833980200000001"/>
    <m/>
    <x v="2"/>
    <x v="1"/>
    <x v="0"/>
    <x v="4"/>
    <x v="2"/>
  </r>
  <r>
    <s v="Singapore"/>
    <x v="3"/>
    <s v="SG2"/>
    <m/>
    <x v="4"/>
    <x v="1"/>
    <x v="2"/>
    <x v="4"/>
    <x v="0"/>
    <x v="0"/>
    <x v="0"/>
    <m/>
    <x v="0"/>
    <x v="0"/>
    <n v="11.450565000000001"/>
    <m/>
    <x v="5"/>
    <x v="2"/>
    <x v="0"/>
    <x v="0"/>
    <x v="0"/>
  </r>
  <r>
    <s v="Singapore"/>
    <x v="2"/>
    <s v="SG3"/>
    <m/>
    <x v="3"/>
    <x v="0"/>
    <x v="3"/>
    <x v="1"/>
    <x v="0"/>
    <x v="0"/>
    <x v="0"/>
    <m/>
    <x v="0"/>
    <x v="0"/>
    <n v="-0.62316000000000005"/>
    <m/>
    <x v="4"/>
    <x v="0"/>
    <x v="0"/>
    <x v="4"/>
    <x v="1"/>
  </r>
  <r>
    <s v="Singapore"/>
    <x v="4"/>
    <s v="SG3"/>
    <m/>
    <x v="1"/>
    <x v="4"/>
    <x v="2"/>
    <x v="4"/>
    <x v="0"/>
    <x v="0"/>
    <x v="0"/>
    <m/>
    <x v="0"/>
    <x v="0"/>
    <n v="0.21810600000000002"/>
    <m/>
    <x v="1"/>
    <x v="0"/>
    <x v="0"/>
    <x v="1"/>
    <x v="2"/>
  </r>
  <r>
    <s v="Singapore"/>
    <x v="2"/>
    <s v="SG4"/>
    <m/>
    <x v="4"/>
    <x v="3"/>
    <x v="3"/>
    <x v="1"/>
    <x v="0"/>
    <x v="0"/>
    <x v="0"/>
    <m/>
    <x v="0"/>
    <x v="0"/>
    <n v="-35.146224000000004"/>
    <m/>
    <x v="2"/>
    <x v="2"/>
    <x v="0"/>
    <x v="4"/>
    <x v="1"/>
  </r>
  <r>
    <s v="Singapore"/>
    <x v="5"/>
    <s v="SG2"/>
    <m/>
    <x v="0"/>
    <x v="2"/>
    <x v="4"/>
    <x v="3"/>
    <x v="0"/>
    <x v="0"/>
    <x v="0"/>
    <m/>
    <x v="0"/>
    <x v="0"/>
    <n v="-0.126283374"/>
    <m/>
    <x v="4"/>
    <x v="2"/>
    <x v="0"/>
    <x v="5"/>
    <x v="0"/>
  </r>
  <r>
    <s v="Singapore"/>
    <x v="0"/>
    <s v="SG3"/>
    <m/>
    <x v="5"/>
    <x v="2"/>
    <x v="3"/>
    <x v="0"/>
    <x v="0"/>
    <x v="0"/>
    <x v="0"/>
    <m/>
    <x v="0"/>
    <x v="0"/>
    <n v="0.42063300000000003"/>
    <m/>
    <x v="4"/>
    <x v="2"/>
    <x v="0"/>
    <x v="3"/>
    <x v="1"/>
  </r>
  <r>
    <s v="Singapore"/>
    <x v="5"/>
    <s v="SG4"/>
    <m/>
    <x v="0"/>
    <x v="3"/>
    <x v="1"/>
    <x v="2"/>
    <x v="0"/>
    <x v="0"/>
    <x v="0"/>
    <m/>
    <x v="0"/>
    <x v="0"/>
    <n v="-0.77895000000000003"/>
    <m/>
    <x v="4"/>
    <x v="1"/>
    <x v="0"/>
    <x v="3"/>
    <x v="2"/>
  </r>
  <r>
    <s v="Singapore"/>
    <x v="0"/>
    <s v="SG4"/>
    <m/>
    <x v="3"/>
    <x v="4"/>
    <x v="4"/>
    <x v="4"/>
    <x v="0"/>
    <x v="0"/>
    <x v="0"/>
    <m/>
    <x v="0"/>
    <x v="0"/>
    <n v="-4.7489309909999999"/>
    <m/>
    <x v="3"/>
    <x v="3"/>
    <x v="0"/>
    <x v="1"/>
    <x v="1"/>
  </r>
  <r>
    <s v="Singapore"/>
    <x v="2"/>
    <s v="SG2"/>
    <m/>
    <x v="3"/>
    <x v="1"/>
    <x v="1"/>
    <x v="0"/>
    <x v="0"/>
    <x v="0"/>
    <x v="0"/>
    <m/>
    <x v="0"/>
    <x v="0"/>
    <n v="0.12463200000000001"/>
    <m/>
    <x v="1"/>
    <x v="1"/>
    <x v="0"/>
    <x v="5"/>
    <x v="2"/>
  </r>
  <r>
    <s v="Singapore"/>
    <x v="3"/>
    <s v="SG4"/>
    <m/>
    <x v="1"/>
    <x v="3"/>
    <x v="3"/>
    <x v="4"/>
    <x v="0"/>
    <x v="0"/>
    <x v="0"/>
    <m/>
    <x v="0"/>
    <x v="0"/>
    <n v="-4.6737000000000001E-2"/>
    <m/>
    <x v="0"/>
    <x v="1"/>
    <x v="0"/>
    <x v="3"/>
    <x v="1"/>
  </r>
  <r>
    <s v="Singapore"/>
    <x v="4"/>
    <s v="SG2"/>
    <m/>
    <x v="5"/>
    <x v="3"/>
    <x v="2"/>
    <x v="4"/>
    <x v="0"/>
    <x v="0"/>
    <x v="0"/>
    <m/>
    <x v="0"/>
    <x v="0"/>
    <n v="-0.140211"/>
    <m/>
    <x v="4"/>
    <x v="1"/>
    <x v="0"/>
    <x v="2"/>
    <x v="1"/>
  </r>
  <r>
    <s v="Singapore"/>
    <x v="4"/>
    <s v="SG3"/>
    <m/>
    <x v="2"/>
    <x v="2"/>
    <x v="0"/>
    <x v="2"/>
    <x v="0"/>
    <x v="0"/>
    <x v="0"/>
    <m/>
    <x v="0"/>
    <x v="0"/>
    <n v="-0.37640421900000004"/>
    <m/>
    <x v="3"/>
    <x v="1"/>
    <x v="0"/>
    <x v="1"/>
    <x v="2"/>
  </r>
  <r>
    <s v="Singapore"/>
    <x v="3"/>
    <s v="SG3"/>
    <m/>
    <x v="5"/>
    <x v="0"/>
    <x v="1"/>
    <x v="0"/>
    <x v="0"/>
    <x v="0"/>
    <x v="0"/>
    <m/>
    <x v="0"/>
    <x v="0"/>
    <n v="-0.358317"/>
    <m/>
    <x v="1"/>
    <x v="3"/>
    <x v="0"/>
    <x v="2"/>
    <x v="1"/>
  </r>
  <r>
    <s v="Singapore"/>
    <x v="5"/>
    <s v="SG2"/>
    <m/>
    <x v="2"/>
    <x v="4"/>
    <x v="0"/>
    <x v="4"/>
    <x v="0"/>
    <x v="0"/>
    <x v="0"/>
    <m/>
    <x v="0"/>
    <x v="0"/>
    <n v="0.34661717100000006"/>
    <m/>
    <x v="1"/>
    <x v="2"/>
    <x v="0"/>
    <x v="5"/>
    <x v="2"/>
  </r>
  <r>
    <s v="Singapore"/>
    <x v="2"/>
    <s v="SG2"/>
    <m/>
    <x v="4"/>
    <x v="4"/>
    <x v="3"/>
    <x v="3"/>
    <x v="0"/>
    <x v="0"/>
    <x v="0"/>
    <m/>
    <x v="0"/>
    <x v="0"/>
    <n v="-0.17136900000000002"/>
    <m/>
    <x v="0"/>
    <x v="2"/>
    <x v="0"/>
    <x v="5"/>
    <x v="2"/>
  </r>
  <r>
    <s v="Singapore"/>
    <x v="2"/>
    <s v="SG2"/>
    <m/>
    <x v="4"/>
    <x v="3"/>
    <x v="1"/>
    <x v="0"/>
    <x v="0"/>
    <x v="0"/>
    <x v="0"/>
    <m/>
    <x v="0"/>
    <x v="0"/>
    <n v="-1.9956699"/>
    <m/>
    <x v="3"/>
    <x v="0"/>
    <x v="0"/>
    <x v="0"/>
    <x v="1"/>
  </r>
  <r>
    <s v="Singapore"/>
    <x v="1"/>
    <s v="SG2"/>
    <m/>
    <x v="0"/>
    <x v="3"/>
    <x v="2"/>
    <x v="2"/>
    <x v="0"/>
    <x v="0"/>
    <x v="0"/>
    <m/>
    <x v="0"/>
    <x v="0"/>
    <n v="-1.1824461000000002"/>
    <m/>
    <x v="3"/>
    <x v="0"/>
    <x v="0"/>
    <x v="3"/>
    <x v="1"/>
  </r>
  <r>
    <s v="Singapore"/>
    <x v="5"/>
    <s v="SG1"/>
    <m/>
    <x v="5"/>
    <x v="2"/>
    <x v="0"/>
    <x v="5"/>
    <x v="0"/>
    <x v="0"/>
    <x v="0"/>
    <m/>
    <x v="0"/>
    <x v="0"/>
    <n v="-0.15579000000000001"/>
    <m/>
    <x v="0"/>
    <x v="1"/>
    <x v="0"/>
    <x v="4"/>
    <x v="2"/>
  </r>
  <r>
    <s v="Singapore"/>
    <x v="2"/>
    <s v="SG4"/>
    <m/>
    <x v="2"/>
    <x v="0"/>
    <x v="2"/>
    <x v="0"/>
    <x v="0"/>
    <x v="0"/>
    <x v="0"/>
    <m/>
    <x v="0"/>
    <x v="0"/>
    <n v="-0.140211"/>
    <m/>
    <x v="0"/>
    <x v="3"/>
    <x v="0"/>
    <x v="0"/>
    <x v="1"/>
  </r>
  <r>
    <s v="Singapore"/>
    <x v="0"/>
    <s v="SG3"/>
    <m/>
    <x v="3"/>
    <x v="1"/>
    <x v="0"/>
    <x v="4"/>
    <x v="0"/>
    <x v="0"/>
    <x v="0"/>
    <m/>
    <x v="0"/>
    <x v="0"/>
    <n v="-0.83911609800000009"/>
    <m/>
    <x v="6"/>
    <x v="3"/>
    <x v="0"/>
    <x v="4"/>
    <x v="1"/>
  </r>
  <r>
    <s v="Singapore"/>
    <x v="5"/>
    <s v="SG2"/>
    <m/>
    <x v="3"/>
    <x v="0"/>
    <x v="3"/>
    <x v="2"/>
    <x v="0"/>
    <x v="0"/>
    <x v="0"/>
    <m/>
    <x v="0"/>
    <x v="0"/>
    <n v="-4.4587098000000003"/>
    <m/>
    <x v="2"/>
    <x v="0"/>
    <x v="0"/>
    <x v="3"/>
    <x v="1"/>
  </r>
  <r>
    <s v="Singapore"/>
    <x v="4"/>
    <s v="SG2"/>
    <m/>
    <x v="3"/>
    <x v="0"/>
    <x v="1"/>
    <x v="1"/>
    <x v="0"/>
    <x v="0"/>
    <x v="0"/>
    <m/>
    <x v="0"/>
    <x v="0"/>
    <n v="-1.5579000000000001E-2"/>
    <m/>
    <x v="0"/>
    <x v="1"/>
    <x v="0"/>
    <x v="5"/>
    <x v="1"/>
  </r>
  <r>
    <s v="Singapore"/>
    <x v="5"/>
    <s v="SG4"/>
    <m/>
    <x v="1"/>
    <x v="3"/>
    <x v="4"/>
    <x v="0"/>
    <x v="0"/>
    <x v="0"/>
    <x v="0"/>
    <m/>
    <x v="0"/>
    <x v="0"/>
    <n v="0.74467620000000001"/>
    <m/>
    <x v="1"/>
    <x v="3"/>
    <x v="0"/>
    <x v="0"/>
    <x v="1"/>
  </r>
  <r>
    <s v="Singapore"/>
    <x v="5"/>
    <s v="SG4"/>
    <m/>
    <x v="2"/>
    <x v="2"/>
    <x v="0"/>
    <x v="2"/>
    <x v="0"/>
    <x v="0"/>
    <x v="0"/>
    <m/>
    <x v="0"/>
    <x v="0"/>
    <n v="-0.24926400000000001"/>
    <m/>
    <x v="0"/>
    <x v="3"/>
    <x v="0"/>
    <x v="5"/>
    <x v="1"/>
  </r>
  <r>
    <s v="Singapore"/>
    <x v="1"/>
    <s v="SG2"/>
    <m/>
    <x v="2"/>
    <x v="4"/>
    <x v="1"/>
    <x v="4"/>
    <x v="0"/>
    <x v="0"/>
    <x v="0"/>
    <m/>
    <x v="0"/>
    <x v="0"/>
    <n v="-0.12463200000000001"/>
    <m/>
    <x v="0"/>
    <x v="0"/>
    <x v="0"/>
    <x v="0"/>
    <x v="1"/>
  </r>
  <r>
    <s v="Singapore"/>
    <x v="2"/>
    <s v="SG1"/>
    <m/>
    <x v="1"/>
    <x v="0"/>
    <x v="0"/>
    <x v="4"/>
    <x v="0"/>
    <x v="0"/>
    <x v="0"/>
    <m/>
    <x v="0"/>
    <x v="0"/>
    <n v="-2.38872807"/>
    <m/>
    <x v="0"/>
    <x v="2"/>
    <x v="0"/>
    <x v="1"/>
    <x v="1"/>
  </r>
  <r>
    <s v="Singapore"/>
    <x v="0"/>
    <s v="SG1"/>
    <m/>
    <x v="1"/>
    <x v="2"/>
    <x v="4"/>
    <x v="5"/>
    <x v="0"/>
    <x v="0"/>
    <x v="0"/>
    <m/>
    <x v="0"/>
    <x v="0"/>
    <n v="-4.2842250000000002"/>
    <m/>
    <x v="4"/>
    <x v="0"/>
    <x v="0"/>
    <x v="2"/>
    <x v="0"/>
  </r>
  <r>
    <s v="Singapore"/>
    <x v="5"/>
    <s v="SG1"/>
    <m/>
    <x v="3"/>
    <x v="0"/>
    <x v="3"/>
    <x v="5"/>
    <x v="0"/>
    <x v="0"/>
    <x v="0"/>
    <m/>
    <x v="0"/>
    <x v="0"/>
    <n v="4.7141898209999997"/>
    <m/>
    <x v="7"/>
    <x v="0"/>
    <x v="0"/>
    <x v="5"/>
    <x v="0"/>
  </r>
  <r>
    <s v="Singapore"/>
    <x v="3"/>
    <s v="SG3"/>
    <m/>
    <x v="1"/>
    <x v="4"/>
    <x v="2"/>
    <x v="3"/>
    <x v="0"/>
    <x v="0"/>
    <x v="0"/>
    <m/>
    <x v="0"/>
    <x v="0"/>
    <n v="-0.77895000000000003"/>
    <m/>
    <x v="4"/>
    <x v="1"/>
    <x v="0"/>
    <x v="0"/>
    <x v="2"/>
  </r>
  <r>
    <s v="Singapore"/>
    <x v="4"/>
    <s v="SG1"/>
    <m/>
    <x v="3"/>
    <x v="4"/>
    <x v="3"/>
    <x v="3"/>
    <x v="0"/>
    <x v="0"/>
    <x v="0"/>
    <m/>
    <x v="0"/>
    <x v="0"/>
    <n v="18.694800000000001"/>
    <m/>
    <x v="5"/>
    <x v="3"/>
    <x v="0"/>
    <x v="5"/>
    <x v="2"/>
  </r>
  <r>
    <s v="Singapore"/>
    <x v="4"/>
    <s v="SG4"/>
    <m/>
    <x v="5"/>
    <x v="1"/>
    <x v="0"/>
    <x v="5"/>
    <x v="0"/>
    <x v="0"/>
    <x v="0"/>
    <m/>
    <x v="0"/>
    <x v="0"/>
    <n v="2.3218941600000003"/>
    <m/>
    <x v="1"/>
    <x v="2"/>
    <x v="0"/>
    <x v="4"/>
    <x v="2"/>
  </r>
  <r>
    <s v="Singapore"/>
    <x v="2"/>
    <s v="SG3"/>
    <m/>
    <x v="5"/>
    <x v="1"/>
    <x v="3"/>
    <x v="1"/>
    <x v="0"/>
    <x v="0"/>
    <x v="0"/>
    <m/>
    <x v="0"/>
    <x v="0"/>
    <n v="-229.2153849"/>
    <m/>
    <x v="3"/>
    <x v="0"/>
    <x v="0"/>
    <x v="3"/>
    <x v="0"/>
  </r>
  <r>
    <s v="Singapore"/>
    <x v="1"/>
    <s v="SG2"/>
    <m/>
    <x v="3"/>
    <x v="2"/>
    <x v="0"/>
    <x v="5"/>
    <x v="0"/>
    <x v="0"/>
    <x v="0"/>
    <m/>
    <x v="0"/>
    <x v="0"/>
    <n v="-41.428611539999999"/>
    <m/>
    <x v="6"/>
    <x v="3"/>
    <x v="0"/>
    <x v="3"/>
    <x v="0"/>
  </r>
  <r>
    <s v="Singapore"/>
    <x v="0"/>
    <s v="SG1"/>
    <m/>
    <x v="1"/>
    <x v="0"/>
    <x v="1"/>
    <x v="1"/>
    <x v="0"/>
    <x v="0"/>
    <x v="0"/>
    <m/>
    <x v="0"/>
    <x v="0"/>
    <n v="0.21031650000000002"/>
    <m/>
    <x v="1"/>
    <x v="1"/>
    <x v="0"/>
    <x v="5"/>
    <x v="1"/>
  </r>
  <r>
    <s v="Singapore"/>
    <x v="2"/>
    <s v="SG2"/>
    <m/>
    <x v="0"/>
    <x v="0"/>
    <x v="0"/>
    <x v="1"/>
    <x v="0"/>
    <x v="0"/>
    <x v="0"/>
    <m/>
    <x v="0"/>
    <x v="0"/>
    <n v="5.6084399999999999"/>
    <m/>
    <x v="1"/>
    <x v="2"/>
    <x v="0"/>
    <x v="4"/>
    <x v="0"/>
  </r>
  <r>
    <s v="Singapore"/>
    <x v="0"/>
    <s v="SG4"/>
    <m/>
    <x v="0"/>
    <x v="3"/>
    <x v="0"/>
    <x v="1"/>
    <x v="0"/>
    <x v="0"/>
    <x v="0"/>
    <m/>
    <x v="0"/>
    <x v="0"/>
    <n v="-1.2463200000000001E-2"/>
    <m/>
    <x v="6"/>
    <x v="0"/>
    <x v="0"/>
    <x v="1"/>
    <x v="2"/>
  </r>
  <r>
    <s v="Singapore"/>
    <x v="3"/>
    <s v="SG1"/>
    <m/>
    <x v="1"/>
    <x v="2"/>
    <x v="1"/>
    <x v="1"/>
    <x v="0"/>
    <x v="0"/>
    <x v="0"/>
    <m/>
    <x v="0"/>
    <x v="0"/>
    <n v="1.2463200000000001"/>
    <m/>
    <x v="1"/>
    <x v="2"/>
    <x v="0"/>
    <x v="0"/>
    <x v="2"/>
  </r>
  <r>
    <s v="Singapore"/>
    <x v="2"/>
    <s v="SG3"/>
    <m/>
    <x v="3"/>
    <x v="0"/>
    <x v="2"/>
    <x v="1"/>
    <x v="0"/>
    <x v="0"/>
    <x v="0"/>
    <m/>
    <x v="0"/>
    <x v="0"/>
    <n v="-9.3474000000000002E-2"/>
    <m/>
    <x v="0"/>
    <x v="0"/>
    <x v="0"/>
    <x v="4"/>
    <x v="2"/>
  </r>
  <r>
    <s v="Singapore"/>
    <x v="0"/>
    <s v="SG3"/>
    <m/>
    <x v="5"/>
    <x v="2"/>
    <x v="3"/>
    <x v="4"/>
    <x v="0"/>
    <x v="0"/>
    <x v="0"/>
    <m/>
    <x v="0"/>
    <x v="0"/>
    <n v="-0.42063300000000003"/>
    <m/>
    <x v="4"/>
    <x v="3"/>
    <x v="0"/>
    <x v="1"/>
    <x v="2"/>
  </r>
  <r>
    <s v="Singapore"/>
    <x v="0"/>
    <s v="SG3"/>
    <m/>
    <x v="0"/>
    <x v="3"/>
    <x v="0"/>
    <x v="3"/>
    <x v="0"/>
    <x v="0"/>
    <x v="0"/>
    <m/>
    <x v="0"/>
    <x v="0"/>
    <n v="1.2151620000000001"/>
    <m/>
    <x v="1"/>
    <x v="2"/>
    <x v="0"/>
    <x v="0"/>
    <x v="2"/>
  </r>
  <r>
    <s v="Singapore"/>
    <x v="5"/>
    <s v="SG4"/>
    <m/>
    <x v="5"/>
    <x v="1"/>
    <x v="2"/>
    <x v="3"/>
    <x v="0"/>
    <x v="0"/>
    <x v="0"/>
    <m/>
    <x v="0"/>
    <x v="0"/>
    <n v="1.0801232280000002"/>
    <m/>
    <x v="1"/>
    <x v="2"/>
    <x v="0"/>
    <x v="4"/>
    <x v="2"/>
  </r>
  <r>
    <s v="Singapore"/>
    <x v="2"/>
    <s v="SG4"/>
    <m/>
    <x v="5"/>
    <x v="4"/>
    <x v="1"/>
    <x v="4"/>
    <x v="0"/>
    <x v="0"/>
    <x v="0"/>
    <m/>
    <x v="0"/>
    <x v="0"/>
    <n v="-0.1838322"/>
    <m/>
    <x v="4"/>
    <x v="2"/>
    <x v="0"/>
    <x v="0"/>
    <x v="0"/>
  </r>
  <r>
    <s v="Singapore"/>
    <x v="2"/>
    <s v="SG4"/>
    <m/>
    <x v="0"/>
    <x v="3"/>
    <x v="2"/>
    <x v="4"/>
    <x v="0"/>
    <x v="0"/>
    <x v="0"/>
    <m/>
    <x v="0"/>
    <x v="0"/>
    <n v="1.900638"/>
    <m/>
    <x v="1"/>
    <x v="2"/>
    <x v="0"/>
    <x v="2"/>
    <x v="2"/>
  </r>
  <r>
    <s v="Singapore"/>
    <x v="5"/>
    <s v="SG4"/>
    <m/>
    <x v="3"/>
    <x v="2"/>
    <x v="0"/>
    <x v="0"/>
    <x v="0"/>
    <x v="0"/>
    <x v="0"/>
    <m/>
    <x v="0"/>
    <x v="0"/>
    <n v="-0.15579000000000001"/>
    <m/>
    <x v="0"/>
    <x v="1"/>
    <x v="0"/>
    <x v="3"/>
    <x v="1"/>
  </r>
  <r>
    <s v="Singapore"/>
    <x v="3"/>
    <s v="SG3"/>
    <m/>
    <x v="3"/>
    <x v="0"/>
    <x v="0"/>
    <x v="4"/>
    <x v="0"/>
    <x v="0"/>
    <x v="0"/>
    <m/>
    <x v="0"/>
    <x v="0"/>
    <n v="-0.24926400000000001"/>
    <m/>
    <x v="0"/>
    <x v="3"/>
    <x v="0"/>
    <x v="3"/>
    <x v="2"/>
  </r>
  <r>
    <s v="Singapore"/>
    <x v="1"/>
    <s v="SG2"/>
    <m/>
    <x v="1"/>
    <x v="4"/>
    <x v="4"/>
    <x v="5"/>
    <x v="0"/>
    <x v="0"/>
    <x v="0"/>
    <m/>
    <x v="0"/>
    <x v="0"/>
    <n v="0.21031650000000002"/>
    <m/>
    <x v="1"/>
    <x v="0"/>
    <x v="0"/>
    <x v="0"/>
    <x v="1"/>
  </r>
  <r>
    <s v="Singapore"/>
    <x v="2"/>
    <s v="SG3"/>
    <m/>
    <x v="2"/>
    <x v="4"/>
    <x v="0"/>
    <x v="5"/>
    <x v="0"/>
    <x v="0"/>
    <x v="0"/>
    <m/>
    <x v="0"/>
    <x v="0"/>
    <n v="-1.5579000000000001E-2"/>
    <m/>
    <x v="0"/>
    <x v="3"/>
    <x v="0"/>
    <x v="0"/>
    <x v="2"/>
  </r>
  <r>
    <s v="Singapore"/>
    <x v="0"/>
    <s v="SG2"/>
    <m/>
    <x v="4"/>
    <x v="2"/>
    <x v="2"/>
    <x v="2"/>
    <x v="0"/>
    <x v="0"/>
    <x v="0"/>
    <m/>
    <x v="0"/>
    <x v="0"/>
    <n v="-0.12463200000000001"/>
    <m/>
    <x v="0"/>
    <x v="2"/>
    <x v="0"/>
    <x v="2"/>
    <x v="2"/>
  </r>
  <r>
    <s v="Singapore"/>
    <x v="0"/>
    <s v="SG4"/>
    <m/>
    <x v="2"/>
    <x v="2"/>
    <x v="4"/>
    <x v="3"/>
    <x v="0"/>
    <x v="0"/>
    <x v="0"/>
    <m/>
    <x v="0"/>
    <x v="0"/>
    <n v="-0.15579000000000001"/>
    <m/>
    <x v="0"/>
    <x v="0"/>
    <x v="0"/>
    <x v="0"/>
    <x v="2"/>
  </r>
  <r>
    <s v="Singapore"/>
    <x v="1"/>
    <s v="SG3"/>
    <m/>
    <x v="5"/>
    <x v="0"/>
    <x v="0"/>
    <x v="2"/>
    <x v="0"/>
    <x v="0"/>
    <x v="0"/>
    <m/>
    <x v="0"/>
    <x v="0"/>
    <n v="0.21031650000000002"/>
    <m/>
    <x v="1"/>
    <x v="0"/>
    <x v="0"/>
    <x v="4"/>
    <x v="2"/>
  </r>
  <r>
    <s v="Singapore"/>
    <x v="1"/>
    <s v="SG4"/>
    <m/>
    <x v="5"/>
    <x v="3"/>
    <x v="2"/>
    <x v="3"/>
    <x v="0"/>
    <x v="0"/>
    <x v="0"/>
    <m/>
    <x v="0"/>
    <x v="0"/>
    <n v="-0.15579000000000001"/>
    <m/>
    <x v="4"/>
    <x v="3"/>
    <x v="0"/>
    <x v="3"/>
    <x v="1"/>
  </r>
  <r>
    <s v="Singapore"/>
    <x v="4"/>
    <s v="SG4"/>
    <m/>
    <x v="3"/>
    <x v="1"/>
    <x v="0"/>
    <x v="3"/>
    <x v="0"/>
    <x v="0"/>
    <x v="0"/>
    <m/>
    <x v="0"/>
    <x v="0"/>
    <n v="0.27842788800000001"/>
    <m/>
    <x v="8"/>
    <x v="3"/>
    <x v="0"/>
    <x v="4"/>
    <x v="2"/>
  </r>
  <r>
    <s v="Singapore"/>
    <x v="5"/>
    <s v="SG1"/>
    <m/>
    <x v="3"/>
    <x v="4"/>
    <x v="0"/>
    <x v="1"/>
    <x v="0"/>
    <x v="0"/>
    <x v="0"/>
    <m/>
    <x v="0"/>
    <x v="0"/>
    <n v="0.19863225000000001"/>
    <m/>
    <x v="8"/>
    <x v="2"/>
    <x v="0"/>
    <x v="1"/>
    <x v="0"/>
  </r>
  <r>
    <s v="Singapore"/>
    <x v="3"/>
    <s v="SG3"/>
    <m/>
    <x v="0"/>
    <x v="4"/>
    <x v="4"/>
    <x v="5"/>
    <x v="0"/>
    <x v="0"/>
    <x v="0"/>
    <m/>
    <x v="0"/>
    <x v="0"/>
    <n v="-0.77895000000000003"/>
    <m/>
    <x v="4"/>
    <x v="1"/>
    <x v="0"/>
    <x v="1"/>
    <x v="0"/>
  </r>
  <r>
    <s v="Singapore"/>
    <x v="1"/>
    <s v="SG3"/>
    <m/>
    <x v="4"/>
    <x v="0"/>
    <x v="3"/>
    <x v="3"/>
    <x v="0"/>
    <x v="0"/>
    <x v="0"/>
    <m/>
    <x v="0"/>
    <x v="0"/>
    <n v="0.139151628"/>
    <m/>
    <x v="1"/>
    <x v="0"/>
    <x v="0"/>
    <x v="2"/>
    <x v="2"/>
  </r>
  <r>
    <s v="Singapore"/>
    <x v="0"/>
    <s v="SG2"/>
    <m/>
    <x v="1"/>
    <x v="1"/>
    <x v="2"/>
    <x v="3"/>
    <x v="0"/>
    <x v="0"/>
    <x v="0"/>
    <m/>
    <x v="0"/>
    <x v="0"/>
    <n v="11.824461000000001"/>
    <m/>
    <x v="5"/>
    <x v="2"/>
    <x v="0"/>
    <x v="3"/>
    <x v="2"/>
  </r>
  <r>
    <s v="Singapore"/>
    <x v="3"/>
    <s v="SG2"/>
    <m/>
    <x v="3"/>
    <x v="3"/>
    <x v="0"/>
    <x v="5"/>
    <x v="0"/>
    <x v="0"/>
    <x v="0"/>
    <m/>
    <x v="0"/>
    <x v="0"/>
    <n v="-0.15579000000000001"/>
    <m/>
    <x v="4"/>
    <x v="2"/>
    <x v="0"/>
    <x v="4"/>
    <x v="2"/>
  </r>
  <r>
    <s v="Singapore"/>
    <x v="4"/>
    <s v="SG1"/>
    <m/>
    <x v="0"/>
    <x v="0"/>
    <x v="0"/>
    <x v="2"/>
    <x v="0"/>
    <x v="0"/>
    <x v="0"/>
    <m/>
    <x v="0"/>
    <x v="0"/>
    <n v="-1.7837955000000001"/>
    <m/>
    <x v="1"/>
    <x v="2"/>
    <x v="0"/>
    <x v="5"/>
    <x v="0"/>
  </r>
  <r>
    <s v="Singapore"/>
    <x v="2"/>
    <s v="SG3"/>
    <m/>
    <x v="1"/>
    <x v="2"/>
    <x v="2"/>
    <x v="5"/>
    <x v="0"/>
    <x v="0"/>
    <x v="0"/>
    <m/>
    <x v="0"/>
    <x v="0"/>
    <n v="-104.51530467000001"/>
    <m/>
    <x v="1"/>
    <x v="2"/>
    <x v="0"/>
    <x v="3"/>
    <x v="2"/>
  </r>
  <r>
    <s v="Singapore"/>
    <x v="2"/>
    <s v="SG3"/>
    <m/>
    <x v="0"/>
    <x v="0"/>
    <x v="1"/>
    <x v="3"/>
    <x v="0"/>
    <x v="0"/>
    <x v="0"/>
    <m/>
    <x v="0"/>
    <x v="0"/>
    <n v="-1.5326620200000001"/>
    <m/>
    <x v="4"/>
    <x v="3"/>
    <x v="0"/>
    <x v="4"/>
    <x v="0"/>
  </r>
  <r>
    <s v="Singapore"/>
    <x v="3"/>
    <s v="SG1"/>
    <m/>
    <x v="3"/>
    <x v="4"/>
    <x v="4"/>
    <x v="4"/>
    <x v="0"/>
    <x v="0"/>
    <x v="0"/>
    <m/>
    <x v="0"/>
    <x v="0"/>
    <n v="-0.51244004700000001"/>
    <m/>
    <x v="4"/>
    <x v="0"/>
    <x v="0"/>
    <x v="4"/>
    <x v="2"/>
  </r>
  <r>
    <s v="Singapore"/>
    <x v="5"/>
    <s v="SG2"/>
    <m/>
    <x v="3"/>
    <x v="4"/>
    <x v="4"/>
    <x v="1"/>
    <x v="0"/>
    <x v="0"/>
    <x v="0"/>
    <m/>
    <x v="0"/>
    <x v="0"/>
    <n v="-0.12463200000000001"/>
    <m/>
    <x v="0"/>
    <x v="1"/>
    <x v="0"/>
    <x v="1"/>
    <x v="1"/>
  </r>
  <r>
    <s v="Singapore"/>
    <x v="4"/>
    <s v="SG2"/>
    <m/>
    <x v="3"/>
    <x v="0"/>
    <x v="1"/>
    <x v="3"/>
    <x v="0"/>
    <x v="0"/>
    <x v="0"/>
    <m/>
    <x v="0"/>
    <x v="0"/>
    <n v="-2.33685E-2"/>
    <m/>
    <x v="0"/>
    <x v="1"/>
    <x v="0"/>
    <x v="1"/>
    <x v="1"/>
  </r>
  <r>
    <s v="Singapore"/>
    <x v="1"/>
    <s v="SG1"/>
    <m/>
    <x v="3"/>
    <x v="0"/>
    <x v="3"/>
    <x v="2"/>
    <x v="0"/>
    <x v="0"/>
    <x v="0"/>
    <m/>
    <x v="0"/>
    <x v="0"/>
    <n v="-7.6337100000000007"/>
    <m/>
    <x v="7"/>
    <x v="0"/>
    <x v="0"/>
    <x v="4"/>
    <x v="1"/>
  </r>
  <r>
    <s v="Singapore"/>
    <x v="2"/>
    <s v="SG3"/>
    <m/>
    <x v="1"/>
    <x v="3"/>
    <x v="4"/>
    <x v="0"/>
    <x v="0"/>
    <x v="0"/>
    <x v="0"/>
    <m/>
    <x v="0"/>
    <x v="0"/>
    <n v="2.6484300000000003"/>
    <m/>
    <x v="1"/>
    <x v="2"/>
    <x v="0"/>
    <x v="2"/>
    <x v="2"/>
  </r>
  <r>
    <s v="Singapore"/>
    <x v="5"/>
    <s v="SG1"/>
    <m/>
    <x v="1"/>
    <x v="3"/>
    <x v="0"/>
    <x v="2"/>
    <x v="0"/>
    <x v="0"/>
    <x v="0"/>
    <m/>
    <x v="0"/>
    <x v="0"/>
    <n v="-97.680330000000012"/>
    <m/>
    <x v="2"/>
    <x v="3"/>
    <x v="0"/>
    <x v="5"/>
    <x v="1"/>
  </r>
  <r>
    <s v="Singapore"/>
    <x v="2"/>
    <s v="SG4"/>
    <m/>
    <x v="1"/>
    <x v="3"/>
    <x v="0"/>
    <x v="5"/>
    <x v="0"/>
    <x v="0"/>
    <x v="0"/>
    <m/>
    <x v="0"/>
    <x v="0"/>
    <n v="3.4444078469999999"/>
    <m/>
    <x v="5"/>
    <x v="2"/>
    <x v="0"/>
    <x v="3"/>
    <x v="1"/>
  </r>
  <r>
    <s v="Singapore"/>
    <x v="2"/>
    <s v="SG2"/>
    <m/>
    <x v="1"/>
    <x v="2"/>
    <x v="3"/>
    <x v="5"/>
    <x v="0"/>
    <x v="0"/>
    <x v="0"/>
    <m/>
    <x v="0"/>
    <x v="0"/>
    <n v="-34.039195839000001"/>
    <m/>
    <x v="4"/>
    <x v="3"/>
    <x v="0"/>
    <x v="2"/>
    <x v="1"/>
  </r>
  <r>
    <s v="Singapore"/>
    <x v="0"/>
    <s v="SG1"/>
    <m/>
    <x v="4"/>
    <x v="3"/>
    <x v="1"/>
    <x v="3"/>
    <x v="0"/>
    <x v="0"/>
    <x v="0"/>
    <m/>
    <x v="0"/>
    <x v="0"/>
    <n v="1.3008465"/>
    <m/>
    <x v="1"/>
    <x v="2"/>
    <x v="0"/>
    <x v="0"/>
    <x v="1"/>
  </r>
  <r>
    <s v="Singapore"/>
    <x v="0"/>
    <s v="SG2"/>
    <m/>
    <x v="3"/>
    <x v="4"/>
    <x v="4"/>
    <x v="3"/>
    <x v="0"/>
    <x v="0"/>
    <x v="0"/>
    <m/>
    <x v="0"/>
    <x v="0"/>
    <n v="-0.66989700000000008"/>
    <m/>
    <x v="4"/>
    <x v="1"/>
    <x v="0"/>
    <x v="4"/>
    <x v="1"/>
  </r>
  <r>
    <s v="Singapore"/>
    <x v="0"/>
    <s v="SG1"/>
    <m/>
    <x v="2"/>
    <x v="1"/>
    <x v="1"/>
    <x v="2"/>
    <x v="0"/>
    <x v="0"/>
    <x v="0"/>
    <m/>
    <x v="0"/>
    <x v="0"/>
    <n v="-0.77895000000000003"/>
    <m/>
    <x v="4"/>
    <x v="1"/>
    <x v="0"/>
    <x v="5"/>
    <x v="0"/>
  </r>
  <r>
    <s v="Singapore"/>
    <x v="4"/>
    <s v="SG2"/>
    <m/>
    <x v="2"/>
    <x v="1"/>
    <x v="2"/>
    <x v="4"/>
    <x v="0"/>
    <x v="0"/>
    <x v="0"/>
    <m/>
    <x v="0"/>
    <x v="0"/>
    <n v="-0.233685"/>
    <m/>
    <x v="0"/>
    <x v="1"/>
    <x v="0"/>
    <x v="1"/>
    <x v="1"/>
  </r>
  <r>
    <s v="Singapore"/>
    <x v="5"/>
    <s v="SG2"/>
    <m/>
    <x v="5"/>
    <x v="1"/>
    <x v="2"/>
    <x v="2"/>
    <x v="0"/>
    <x v="0"/>
    <x v="0"/>
    <m/>
    <x v="0"/>
    <x v="0"/>
    <n v="0.280141578"/>
    <m/>
    <x v="0"/>
    <x v="3"/>
    <x v="0"/>
    <x v="3"/>
    <x v="2"/>
  </r>
  <r>
    <s v="Singapore"/>
    <x v="4"/>
    <s v="SG1"/>
    <m/>
    <x v="5"/>
    <x v="4"/>
    <x v="0"/>
    <x v="3"/>
    <x v="0"/>
    <x v="0"/>
    <x v="0"/>
    <m/>
    <x v="0"/>
    <x v="0"/>
    <n v="-0.233685"/>
    <m/>
    <x v="0"/>
    <x v="1"/>
    <x v="0"/>
    <x v="3"/>
    <x v="1"/>
  </r>
  <r>
    <s v="Singapore"/>
    <x v="0"/>
    <s v="SG2"/>
    <m/>
    <x v="1"/>
    <x v="0"/>
    <x v="3"/>
    <x v="2"/>
    <x v="0"/>
    <x v="0"/>
    <x v="0"/>
    <m/>
    <x v="0"/>
    <x v="0"/>
    <n v="-5.2282345049999996"/>
    <m/>
    <x v="7"/>
    <x v="1"/>
    <x v="0"/>
    <x v="3"/>
    <x v="2"/>
  </r>
  <r>
    <s v="Singapore"/>
    <x v="1"/>
    <s v="SG1"/>
    <m/>
    <x v="2"/>
    <x v="1"/>
    <x v="1"/>
    <x v="2"/>
    <x v="0"/>
    <x v="0"/>
    <x v="0"/>
    <m/>
    <x v="0"/>
    <x v="0"/>
    <n v="-0.186948"/>
    <m/>
    <x v="0"/>
    <x v="1"/>
    <x v="0"/>
    <x v="5"/>
    <x v="0"/>
  </r>
  <r>
    <s v="Singapore"/>
    <x v="1"/>
    <s v="SG3"/>
    <m/>
    <x v="3"/>
    <x v="1"/>
    <x v="0"/>
    <x v="2"/>
    <x v="0"/>
    <x v="0"/>
    <x v="0"/>
    <m/>
    <x v="0"/>
    <x v="0"/>
    <n v="-0.15579000000000001"/>
    <m/>
    <x v="4"/>
    <x v="3"/>
    <x v="0"/>
    <x v="0"/>
    <x v="1"/>
  </r>
  <r>
    <s v="Singapore"/>
    <x v="4"/>
    <s v="SG1"/>
    <m/>
    <x v="0"/>
    <x v="3"/>
    <x v="3"/>
    <x v="0"/>
    <x v="0"/>
    <x v="0"/>
    <x v="0"/>
    <m/>
    <x v="0"/>
    <x v="0"/>
    <n v="-0.186948"/>
    <m/>
    <x v="0"/>
    <x v="1"/>
    <x v="0"/>
    <x v="5"/>
    <x v="2"/>
  </r>
  <r>
    <s v="Singapore"/>
    <x v="2"/>
    <s v="SG4"/>
    <m/>
    <x v="5"/>
    <x v="3"/>
    <x v="3"/>
    <x v="5"/>
    <x v="0"/>
    <x v="0"/>
    <x v="0"/>
    <m/>
    <x v="0"/>
    <x v="0"/>
    <n v="-6.6989700000000001"/>
    <m/>
    <x v="8"/>
    <x v="1"/>
    <x v="0"/>
    <x v="2"/>
    <x v="1"/>
  </r>
  <r>
    <s v="Singapore"/>
    <x v="1"/>
    <s v="SG1"/>
    <m/>
    <x v="3"/>
    <x v="2"/>
    <x v="1"/>
    <x v="1"/>
    <x v="0"/>
    <x v="0"/>
    <x v="0"/>
    <m/>
    <x v="0"/>
    <x v="0"/>
    <n v="-4.1827745520000006"/>
    <m/>
    <x v="6"/>
    <x v="2"/>
    <x v="0"/>
    <x v="1"/>
    <x v="2"/>
  </r>
  <r>
    <s v="Singapore"/>
    <x v="5"/>
    <s v="SG3"/>
    <m/>
    <x v="0"/>
    <x v="2"/>
    <x v="4"/>
    <x v="2"/>
    <x v="0"/>
    <x v="0"/>
    <x v="0"/>
    <m/>
    <x v="0"/>
    <x v="0"/>
    <n v="2.3602185000000002"/>
    <m/>
    <x v="1"/>
    <x v="1"/>
    <x v="0"/>
    <x v="1"/>
    <x v="1"/>
  </r>
  <r>
    <s v="Singapore"/>
    <x v="4"/>
    <s v="SG3"/>
    <m/>
    <x v="0"/>
    <x v="2"/>
    <x v="1"/>
    <x v="1"/>
    <x v="0"/>
    <x v="0"/>
    <x v="0"/>
    <m/>
    <x v="0"/>
    <x v="0"/>
    <n v="-0.46737000000000001"/>
    <m/>
    <x v="0"/>
    <x v="1"/>
    <x v="0"/>
    <x v="5"/>
    <x v="2"/>
  </r>
  <r>
    <s v="Singapore"/>
    <x v="4"/>
    <s v="SG3"/>
    <m/>
    <x v="1"/>
    <x v="0"/>
    <x v="0"/>
    <x v="2"/>
    <x v="0"/>
    <x v="0"/>
    <x v="0"/>
    <m/>
    <x v="0"/>
    <x v="0"/>
    <n v="-0.545265"/>
    <m/>
    <x v="4"/>
    <x v="2"/>
    <x v="0"/>
    <x v="5"/>
    <x v="0"/>
  </r>
  <r>
    <s v="Singapore"/>
    <x v="0"/>
    <s v="SG1"/>
    <m/>
    <x v="5"/>
    <x v="4"/>
    <x v="0"/>
    <x v="1"/>
    <x v="0"/>
    <x v="0"/>
    <x v="0"/>
    <m/>
    <x v="0"/>
    <x v="0"/>
    <n v="-246.1482"/>
    <m/>
    <x v="3"/>
    <x v="0"/>
    <x v="0"/>
    <x v="4"/>
    <x v="0"/>
  </r>
  <r>
    <s v="Singapore"/>
    <x v="5"/>
    <s v="SG4"/>
    <m/>
    <x v="3"/>
    <x v="4"/>
    <x v="1"/>
    <x v="4"/>
    <x v="0"/>
    <x v="0"/>
    <x v="0"/>
    <m/>
    <x v="0"/>
    <x v="0"/>
    <n v="-0.1324215"/>
    <m/>
    <x v="4"/>
    <x v="3"/>
    <x v="0"/>
    <x v="2"/>
    <x v="1"/>
  </r>
  <r>
    <s v="Singapore"/>
    <x v="3"/>
    <s v="SG3"/>
    <m/>
    <x v="0"/>
    <x v="1"/>
    <x v="2"/>
    <x v="1"/>
    <x v="0"/>
    <x v="0"/>
    <x v="0"/>
    <m/>
    <x v="0"/>
    <x v="0"/>
    <n v="-0.77895000000000003"/>
    <m/>
    <x v="4"/>
    <x v="3"/>
    <x v="0"/>
    <x v="3"/>
    <x v="1"/>
  </r>
  <r>
    <s v="Singapore"/>
    <x v="2"/>
    <s v="SG2"/>
    <m/>
    <x v="1"/>
    <x v="4"/>
    <x v="2"/>
    <x v="3"/>
    <x v="0"/>
    <x v="0"/>
    <x v="0"/>
    <m/>
    <x v="0"/>
    <x v="0"/>
    <n v="-107.588013156"/>
    <m/>
    <x v="3"/>
    <x v="2"/>
    <x v="0"/>
    <x v="2"/>
    <x v="1"/>
  </r>
  <r>
    <s v="Singapore"/>
    <x v="0"/>
    <s v="SG4"/>
    <m/>
    <x v="2"/>
    <x v="0"/>
    <x v="1"/>
    <x v="0"/>
    <x v="0"/>
    <x v="0"/>
    <x v="0"/>
    <m/>
    <x v="0"/>
    <x v="0"/>
    <n v="2.6484300000000003"/>
    <m/>
    <x v="1"/>
    <x v="2"/>
    <x v="0"/>
    <x v="5"/>
    <x v="0"/>
  </r>
  <r>
    <s v="Singapore"/>
    <x v="2"/>
    <s v="SG1"/>
    <m/>
    <x v="3"/>
    <x v="0"/>
    <x v="2"/>
    <x v="0"/>
    <x v="0"/>
    <x v="0"/>
    <x v="0"/>
    <m/>
    <x v="0"/>
    <x v="0"/>
    <n v="-0.18373872600000002"/>
    <m/>
    <x v="0"/>
    <x v="2"/>
    <x v="0"/>
    <x v="1"/>
    <x v="1"/>
  </r>
  <r>
    <s v="Singapore"/>
    <x v="5"/>
    <s v="SG2"/>
    <m/>
    <x v="3"/>
    <x v="2"/>
    <x v="3"/>
    <x v="3"/>
    <x v="0"/>
    <x v="0"/>
    <x v="0"/>
    <m/>
    <x v="0"/>
    <x v="0"/>
    <n v="-0.46737000000000001"/>
    <m/>
    <x v="4"/>
    <x v="3"/>
    <x v="0"/>
    <x v="5"/>
    <x v="1"/>
  </r>
  <r>
    <s v="Singapore"/>
    <x v="2"/>
    <s v="SG4"/>
    <m/>
    <x v="5"/>
    <x v="1"/>
    <x v="1"/>
    <x v="3"/>
    <x v="0"/>
    <x v="0"/>
    <x v="0"/>
    <m/>
    <x v="0"/>
    <x v="0"/>
    <n v="-7.7895000000000006E-2"/>
    <m/>
    <x v="0"/>
    <x v="1"/>
    <x v="0"/>
    <x v="0"/>
    <x v="1"/>
  </r>
  <r>
    <s v="Singapore"/>
    <x v="4"/>
    <s v="SG4"/>
    <m/>
    <x v="3"/>
    <x v="1"/>
    <x v="3"/>
    <x v="5"/>
    <x v="0"/>
    <x v="0"/>
    <x v="0"/>
    <m/>
    <x v="0"/>
    <x v="0"/>
    <n v="-1.1404139580000001"/>
    <m/>
    <x v="0"/>
    <x v="0"/>
    <x v="0"/>
    <x v="2"/>
    <x v="0"/>
  </r>
  <r>
    <s v="Singapore"/>
    <x v="0"/>
    <s v="SG3"/>
    <m/>
    <x v="5"/>
    <x v="2"/>
    <x v="1"/>
    <x v="3"/>
    <x v="0"/>
    <x v="0"/>
    <x v="0"/>
    <m/>
    <x v="0"/>
    <x v="0"/>
    <n v="-7.6648680000000011E-2"/>
    <m/>
    <x v="0"/>
    <x v="3"/>
    <x v="0"/>
    <x v="3"/>
    <x v="0"/>
  </r>
  <r>
    <s v="Singapore"/>
    <x v="1"/>
    <s v="SG1"/>
    <m/>
    <x v="1"/>
    <x v="1"/>
    <x v="4"/>
    <x v="3"/>
    <x v="0"/>
    <x v="0"/>
    <x v="0"/>
    <m/>
    <x v="0"/>
    <x v="0"/>
    <n v="0.49852800000000003"/>
    <m/>
    <x v="3"/>
    <x v="3"/>
    <x v="0"/>
    <x v="0"/>
    <x v="0"/>
  </r>
  <r>
    <s v="Singapore"/>
    <x v="2"/>
    <s v="SG3"/>
    <m/>
    <x v="5"/>
    <x v="3"/>
    <x v="1"/>
    <x v="5"/>
    <x v="0"/>
    <x v="0"/>
    <x v="0"/>
    <m/>
    <x v="0"/>
    <x v="0"/>
    <n v="1.3008465"/>
    <m/>
    <x v="1"/>
    <x v="2"/>
    <x v="0"/>
    <x v="0"/>
    <x v="1"/>
  </r>
  <r>
    <s v="Singapore"/>
    <x v="2"/>
    <s v="SG2"/>
    <m/>
    <x v="1"/>
    <x v="0"/>
    <x v="2"/>
    <x v="3"/>
    <x v="0"/>
    <x v="0"/>
    <x v="0"/>
    <m/>
    <x v="0"/>
    <x v="0"/>
    <n v="0.1838322"/>
    <m/>
    <x v="4"/>
    <x v="1"/>
    <x v="0"/>
    <x v="5"/>
    <x v="2"/>
  </r>
  <r>
    <s v="Singapore"/>
    <x v="0"/>
    <s v="SG3"/>
    <m/>
    <x v="0"/>
    <x v="0"/>
    <x v="3"/>
    <x v="2"/>
    <x v="0"/>
    <x v="0"/>
    <x v="0"/>
    <m/>
    <x v="0"/>
    <x v="0"/>
    <n v="-0.12463200000000001"/>
    <m/>
    <x v="0"/>
    <x v="0"/>
    <x v="0"/>
    <x v="3"/>
    <x v="2"/>
  </r>
  <r>
    <s v="Singapore"/>
    <x v="4"/>
    <s v="SG3"/>
    <m/>
    <x v="0"/>
    <x v="1"/>
    <x v="2"/>
    <x v="1"/>
    <x v="0"/>
    <x v="0"/>
    <x v="0"/>
    <m/>
    <x v="0"/>
    <x v="0"/>
    <n v="-4.2343722E-2"/>
    <m/>
    <x v="8"/>
    <x v="3"/>
    <x v="0"/>
    <x v="3"/>
    <x v="1"/>
  </r>
  <r>
    <s v="Singapore"/>
    <x v="4"/>
    <s v="SG1"/>
    <m/>
    <x v="1"/>
    <x v="2"/>
    <x v="1"/>
    <x v="0"/>
    <x v="0"/>
    <x v="0"/>
    <x v="0"/>
    <m/>
    <x v="0"/>
    <x v="0"/>
    <n v="1.5423210000000001"/>
    <m/>
    <x v="1"/>
    <x v="3"/>
    <x v="0"/>
    <x v="1"/>
    <x v="2"/>
  </r>
  <r>
    <s v="Singapore"/>
    <x v="5"/>
    <s v="SG4"/>
    <m/>
    <x v="1"/>
    <x v="3"/>
    <x v="1"/>
    <x v="5"/>
    <x v="0"/>
    <x v="0"/>
    <x v="0"/>
    <m/>
    <x v="0"/>
    <x v="0"/>
    <n v="-1.40211"/>
    <m/>
    <x v="4"/>
    <x v="2"/>
    <x v="0"/>
    <x v="2"/>
    <x v="1"/>
  </r>
  <r>
    <s v="Singapore"/>
    <x v="1"/>
    <s v="SG1"/>
    <m/>
    <x v="2"/>
    <x v="2"/>
    <x v="2"/>
    <x v="0"/>
    <x v="0"/>
    <x v="0"/>
    <x v="0"/>
    <m/>
    <x v="0"/>
    <x v="0"/>
    <n v="-0.24926400000000001"/>
    <m/>
    <x v="0"/>
    <x v="3"/>
    <x v="0"/>
    <x v="2"/>
    <x v="0"/>
  </r>
  <r>
    <s v="Singapore"/>
    <x v="5"/>
    <s v="SG3"/>
    <m/>
    <x v="2"/>
    <x v="3"/>
    <x v="1"/>
    <x v="5"/>
    <x v="0"/>
    <x v="0"/>
    <x v="0"/>
    <m/>
    <x v="0"/>
    <x v="0"/>
    <n v="0.64964430000000006"/>
    <m/>
    <x v="3"/>
    <x v="0"/>
    <x v="0"/>
    <x v="0"/>
    <x v="2"/>
  </r>
  <r>
    <s v="Singapore"/>
    <x v="3"/>
    <s v="SG1"/>
    <m/>
    <x v="3"/>
    <x v="0"/>
    <x v="0"/>
    <x v="1"/>
    <x v="0"/>
    <x v="0"/>
    <x v="0"/>
    <m/>
    <x v="0"/>
    <x v="0"/>
    <n v="-3.5831700000000004"/>
    <m/>
    <x v="1"/>
    <x v="0"/>
    <x v="0"/>
    <x v="0"/>
    <x v="1"/>
  </r>
  <r>
    <s v="Singapore"/>
    <x v="4"/>
    <s v="SG4"/>
    <m/>
    <x v="4"/>
    <x v="3"/>
    <x v="2"/>
    <x v="1"/>
    <x v="0"/>
    <x v="0"/>
    <x v="0"/>
    <m/>
    <x v="0"/>
    <x v="0"/>
    <n v="-0.10905300000000001"/>
    <m/>
    <x v="4"/>
    <x v="1"/>
    <x v="0"/>
    <x v="0"/>
    <x v="2"/>
  </r>
  <r>
    <s v="Singapore"/>
    <x v="0"/>
    <s v="SG4"/>
    <m/>
    <x v="4"/>
    <x v="0"/>
    <x v="3"/>
    <x v="5"/>
    <x v="0"/>
    <x v="0"/>
    <x v="0"/>
    <m/>
    <x v="0"/>
    <x v="0"/>
    <n v="0.15579000000000001"/>
    <m/>
    <x v="1"/>
    <x v="3"/>
    <x v="0"/>
    <x v="1"/>
    <x v="0"/>
  </r>
  <r>
    <s v="Singapore"/>
    <x v="3"/>
    <s v="SG4"/>
    <m/>
    <x v="1"/>
    <x v="2"/>
    <x v="2"/>
    <x v="3"/>
    <x v="0"/>
    <x v="0"/>
    <x v="0"/>
    <m/>
    <x v="0"/>
    <x v="0"/>
    <n v="-9.3474000000000002E-2"/>
    <m/>
    <x v="4"/>
    <x v="1"/>
    <x v="0"/>
    <x v="1"/>
    <x v="2"/>
  </r>
  <r>
    <s v="Singapore"/>
    <x v="0"/>
    <s v="SG4"/>
    <m/>
    <x v="5"/>
    <x v="3"/>
    <x v="3"/>
    <x v="4"/>
    <x v="0"/>
    <x v="0"/>
    <x v="0"/>
    <m/>
    <x v="0"/>
    <x v="0"/>
    <n v="-63.944223606000001"/>
    <m/>
    <x v="1"/>
    <x v="1"/>
    <x v="0"/>
    <x v="4"/>
    <x v="2"/>
  </r>
  <r>
    <s v="Singapore"/>
    <x v="5"/>
    <s v="SG2"/>
    <m/>
    <x v="1"/>
    <x v="1"/>
    <x v="0"/>
    <x v="5"/>
    <x v="0"/>
    <x v="0"/>
    <x v="0"/>
    <m/>
    <x v="0"/>
    <x v="0"/>
    <n v="-1.822743"/>
    <m/>
    <x v="4"/>
    <x v="0"/>
    <x v="0"/>
    <x v="2"/>
    <x v="0"/>
  </r>
  <r>
    <s v="Singapore"/>
    <x v="4"/>
    <s v="SG2"/>
    <m/>
    <x v="5"/>
    <x v="2"/>
    <x v="1"/>
    <x v="1"/>
    <x v="0"/>
    <x v="0"/>
    <x v="0"/>
    <m/>
    <x v="0"/>
    <x v="0"/>
    <n v="1.0801232280000002"/>
    <m/>
    <x v="1"/>
    <x v="3"/>
    <x v="0"/>
    <x v="3"/>
    <x v="1"/>
  </r>
  <r>
    <s v="Singapore"/>
    <x v="2"/>
    <s v="SG2"/>
    <m/>
    <x v="0"/>
    <x v="2"/>
    <x v="3"/>
    <x v="3"/>
    <x v="0"/>
    <x v="0"/>
    <x v="0"/>
    <m/>
    <x v="0"/>
    <x v="0"/>
    <n v="-9.3474000000000002E-2"/>
    <m/>
    <x v="0"/>
    <x v="0"/>
    <x v="0"/>
    <x v="1"/>
    <x v="1"/>
  </r>
  <r>
    <s v="Singapore"/>
    <x v="5"/>
    <s v="SG3"/>
    <m/>
    <x v="0"/>
    <x v="2"/>
    <x v="4"/>
    <x v="4"/>
    <x v="0"/>
    <x v="0"/>
    <x v="0"/>
    <m/>
    <x v="0"/>
    <x v="0"/>
    <n v="-1.5579000000000001E-2"/>
    <m/>
    <x v="0"/>
    <x v="2"/>
    <x v="0"/>
    <x v="0"/>
    <x v="0"/>
  </r>
  <r>
    <s v="Singapore"/>
    <x v="3"/>
    <s v="SG4"/>
    <m/>
    <x v="1"/>
    <x v="4"/>
    <x v="4"/>
    <x v="4"/>
    <x v="0"/>
    <x v="0"/>
    <x v="0"/>
    <m/>
    <x v="0"/>
    <x v="0"/>
    <n v="-0.35138434500000004"/>
    <m/>
    <x v="6"/>
    <x v="3"/>
    <x v="0"/>
    <x v="0"/>
    <x v="2"/>
  </r>
  <r>
    <s v="Singapore"/>
    <x v="4"/>
    <s v="SG4"/>
    <m/>
    <x v="3"/>
    <x v="0"/>
    <x v="0"/>
    <x v="5"/>
    <x v="0"/>
    <x v="0"/>
    <x v="0"/>
    <m/>
    <x v="0"/>
    <x v="0"/>
    <n v="0.77895000000000003"/>
    <m/>
    <x v="4"/>
    <x v="2"/>
    <x v="0"/>
    <x v="5"/>
    <x v="2"/>
  </r>
  <r>
    <s v="Singapore"/>
    <x v="3"/>
    <s v="SG2"/>
    <m/>
    <x v="1"/>
    <x v="3"/>
    <x v="4"/>
    <x v="2"/>
    <x v="0"/>
    <x v="0"/>
    <x v="0"/>
    <m/>
    <x v="0"/>
    <x v="0"/>
    <n v="-4.6737000000000001E-2"/>
    <m/>
    <x v="0"/>
    <x v="1"/>
    <x v="0"/>
    <x v="0"/>
    <x v="1"/>
  </r>
  <r>
    <s v="Singapore"/>
    <x v="2"/>
    <s v="SG1"/>
    <m/>
    <x v="3"/>
    <x v="1"/>
    <x v="1"/>
    <x v="0"/>
    <x v="0"/>
    <x v="0"/>
    <x v="0"/>
    <m/>
    <x v="0"/>
    <x v="0"/>
    <n v="-0.10905300000000001"/>
    <m/>
    <x v="4"/>
    <x v="1"/>
    <x v="0"/>
    <x v="4"/>
    <x v="2"/>
  </r>
  <r>
    <s v="Singapore"/>
    <x v="5"/>
    <s v="SG2"/>
    <m/>
    <x v="2"/>
    <x v="3"/>
    <x v="2"/>
    <x v="3"/>
    <x v="0"/>
    <x v="0"/>
    <x v="0"/>
    <m/>
    <x v="0"/>
    <x v="0"/>
    <n v="1.0022282280000001"/>
    <m/>
    <x v="1"/>
    <x v="0"/>
    <x v="0"/>
    <x v="0"/>
    <x v="1"/>
  </r>
  <r>
    <s v="Singapore"/>
    <x v="1"/>
    <s v="SG1"/>
    <m/>
    <x v="5"/>
    <x v="2"/>
    <x v="3"/>
    <x v="1"/>
    <x v="0"/>
    <x v="0"/>
    <x v="0"/>
    <m/>
    <x v="0"/>
    <x v="0"/>
    <n v="-1.9629540000000001"/>
    <m/>
    <x v="3"/>
    <x v="0"/>
    <x v="0"/>
    <x v="1"/>
    <x v="0"/>
  </r>
  <r>
    <s v="Singapore"/>
    <x v="3"/>
    <s v="SG1"/>
    <m/>
    <x v="5"/>
    <x v="0"/>
    <x v="1"/>
    <x v="3"/>
    <x v="0"/>
    <x v="0"/>
    <x v="0"/>
    <m/>
    <x v="0"/>
    <x v="0"/>
    <n v="1.074951"/>
    <m/>
    <x v="1"/>
    <x v="2"/>
    <x v="0"/>
    <x v="2"/>
    <x v="1"/>
  </r>
  <r>
    <s v="Singapore"/>
    <x v="3"/>
    <s v="SG4"/>
    <m/>
    <x v="5"/>
    <x v="3"/>
    <x v="1"/>
    <x v="0"/>
    <x v="0"/>
    <x v="0"/>
    <x v="0"/>
    <m/>
    <x v="0"/>
    <x v="0"/>
    <n v="-7.7895000000000006E-2"/>
    <m/>
    <x v="0"/>
    <x v="0"/>
    <x v="0"/>
    <x v="0"/>
    <x v="1"/>
  </r>
  <r>
    <s v="Singapore"/>
    <x v="0"/>
    <s v="SG4"/>
    <m/>
    <x v="4"/>
    <x v="3"/>
    <x v="3"/>
    <x v="0"/>
    <x v="0"/>
    <x v="0"/>
    <x v="0"/>
    <m/>
    <x v="0"/>
    <x v="0"/>
    <n v="0.58284154799999999"/>
    <m/>
    <x v="8"/>
    <x v="0"/>
    <x v="0"/>
    <x v="2"/>
    <x v="1"/>
  </r>
  <r>
    <s v="Singapore"/>
    <x v="2"/>
    <s v="SG3"/>
    <m/>
    <x v="4"/>
    <x v="2"/>
    <x v="1"/>
    <x v="0"/>
    <x v="0"/>
    <x v="0"/>
    <x v="0"/>
    <m/>
    <x v="0"/>
    <x v="0"/>
    <n v="-4.6737000000000001E-2"/>
    <m/>
    <x v="0"/>
    <x v="3"/>
    <x v="0"/>
    <x v="5"/>
    <x v="0"/>
  </r>
  <r>
    <s v="Singapore"/>
    <x v="4"/>
    <s v="SG1"/>
    <m/>
    <x v="4"/>
    <x v="0"/>
    <x v="3"/>
    <x v="5"/>
    <x v="0"/>
    <x v="0"/>
    <x v="0"/>
    <m/>
    <x v="0"/>
    <x v="0"/>
    <n v="7.716278700000001E-2"/>
    <m/>
    <x v="0"/>
    <x v="1"/>
    <x v="0"/>
    <x v="4"/>
    <x v="1"/>
  </r>
  <r>
    <s v="Singapore"/>
    <x v="5"/>
    <s v="SG2"/>
    <m/>
    <x v="0"/>
    <x v="3"/>
    <x v="0"/>
    <x v="3"/>
    <x v="0"/>
    <x v="0"/>
    <x v="0"/>
    <m/>
    <x v="0"/>
    <x v="0"/>
    <n v="-0.95810850000000003"/>
    <m/>
    <x v="4"/>
    <x v="3"/>
    <x v="0"/>
    <x v="4"/>
    <x v="0"/>
  </r>
  <r>
    <s v="Singapore"/>
    <x v="3"/>
    <s v="SG1"/>
    <m/>
    <x v="1"/>
    <x v="0"/>
    <x v="3"/>
    <x v="1"/>
    <x v="0"/>
    <x v="0"/>
    <x v="0"/>
    <m/>
    <x v="0"/>
    <x v="0"/>
    <n v="0.12463200000000001"/>
    <m/>
    <x v="0"/>
    <x v="2"/>
    <x v="0"/>
    <x v="2"/>
    <x v="1"/>
  </r>
  <r>
    <s v="Singapore"/>
    <x v="4"/>
    <s v="SG4"/>
    <m/>
    <x v="3"/>
    <x v="3"/>
    <x v="1"/>
    <x v="4"/>
    <x v="0"/>
    <x v="0"/>
    <x v="0"/>
    <m/>
    <x v="0"/>
    <x v="0"/>
    <n v="0.37389600000000001"/>
    <m/>
    <x v="1"/>
    <x v="1"/>
    <x v="0"/>
    <x v="1"/>
    <x v="0"/>
  </r>
  <r>
    <s v="Singapore"/>
    <x v="3"/>
    <s v="SG3"/>
    <m/>
    <x v="2"/>
    <x v="0"/>
    <x v="1"/>
    <x v="1"/>
    <x v="0"/>
    <x v="0"/>
    <x v="0"/>
    <m/>
    <x v="0"/>
    <x v="0"/>
    <n v="1.3818573000000001"/>
    <m/>
    <x v="1"/>
    <x v="2"/>
    <x v="0"/>
    <x v="5"/>
    <x v="0"/>
  </r>
  <r>
    <s v="Singapore"/>
    <x v="3"/>
    <s v="SG4"/>
    <m/>
    <x v="0"/>
    <x v="4"/>
    <x v="3"/>
    <x v="0"/>
    <x v="0"/>
    <x v="0"/>
    <x v="0"/>
    <m/>
    <x v="0"/>
    <x v="0"/>
    <n v="0.140211"/>
    <m/>
    <x v="8"/>
    <x v="1"/>
    <x v="0"/>
    <x v="0"/>
    <x v="2"/>
  </r>
  <r>
    <s v="Singapore"/>
    <x v="1"/>
    <s v="SG4"/>
    <m/>
    <x v="0"/>
    <x v="0"/>
    <x v="2"/>
    <x v="4"/>
    <x v="0"/>
    <x v="0"/>
    <x v="0"/>
    <m/>
    <x v="0"/>
    <x v="0"/>
    <n v="0.82880280000000006"/>
    <m/>
    <x v="3"/>
    <x v="0"/>
    <x v="0"/>
    <x v="1"/>
    <x v="0"/>
  </r>
  <r>
    <s v="Singapore"/>
    <x v="0"/>
    <s v="SG3"/>
    <m/>
    <x v="2"/>
    <x v="2"/>
    <x v="1"/>
    <x v="1"/>
    <x v="0"/>
    <x v="0"/>
    <x v="0"/>
    <m/>
    <x v="0"/>
    <x v="0"/>
    <n v="-0.1838322"/>
    <m/>
    <x v="4"/>
    <x v="3"/>
    <x v="0"/>
    <x v="1"/>
    <x v="1"/>
  </r>
  <r>
    <s v="Singapore"/>
    <x v="0"/>
    <s v="SG3"/>
    <m/>
    <x v="1"/>
    <x v="4"/>
    <x v="3"/>
    <x v="2"/>
    <x v="0"/>
    <x v="0"/>
    <x v="0"/>
    <m/>
    <x v="0"/>
    <x v="0"/>
    <n v="0.264843"/>
    <m/>
    <x v="1"/>
    <x v="2"/>
    <x v="0"/>
    <x v="4"/>
    <x v="0"/>
  </r>
  <r>
    <s v="Singapore"/>
    <x v="0"/>
    <s v="SG4"/>
    <m/>
    <x v="3"/>
    <x v="1"/>
    <x v="3"/>
    <x v="5"/>
    <x v="0"/>
    <x v="0"/>
    <x v="0"/>
    <m/>
    <x v="0"/>
    <x v="0"/>
    <n v="0.70105499999999998"/>
    <m/>
    <x v="0"/>
    <x v="1"/>
    <x v="0"/>
    <x v="1"/>
    <x v="2"/>
  </r>
  <r>
    <s v="Singapore"/>
    <x v="5"/>
    <s v="SG3"/>
    <m/>
    <x v="2"/>
    <x v="2"/>
    <x v="2"/>
    <x v="5"/>
    <x v="0"/>
    <x v="0"/>
    <x v="0"/>
    <m/>
    <x v="0"/>
    <x v="0"/>
    <n v="3.1158000000000001"/>
    <m/>
    <x v="11"/>
    <x v="0"/>
    <x v="0"/>
    <x v="3"/>
    <x v="1"/>
  </r>
  <r>
    <s v="Singapore"/>
    <x v="5"/>
    <s v="SG3"/>
    <m/>
    <x v="0"/>
    <x v="0"/>
    <x v="3"/>
    <x v="4"/>
    <x v="0"/>
    <x v="0"/>
    <x v="0"/>
    <m/>
    <x v="0"/>
    <x v="0"/>
    <n v="-0.140211"/>
    <m/>
    <x v="0"/>
    <x v="2"/>
    <x v="0"/>
    <x v="1"/>
    <x v="1"/>
  </r>
  <r>
    <s v="Singapore"/>
    <x v="2"/>
    <s v="SG1"/>
    <m/>
    <x v="2"/>
    <x v="0"/>
    <x v="3"/>
    <x v="4"/>
    <x v="0"/>
    <x v="0"/>
    <x v="0"/>
    <m/>
    <x v="0"/>
    <x v="0"/>
    <n v="4.424436"/>
    <m/>
    <x v="11"/>
    <x v="1"/>
    <x v="0"/>
    <x v="1"/>
    <x v="0"/>
  </r>
  <r>
    <s v="Singapore"/>
    <x v="5"/>
    <s v="SG3"/>
    <m/>
    <x v="0"/>
    <x v="0"/>
    <x v="1"/>
    <x v="4"/>
    <x v="0"/>
    <x v="0"/>
    <x v="0"/>
    <m/>
    <x v="0"/>
    <x v="0"/>
    <n v="-10.593720000000001"/>
    <m/>
    <x v="4"/>
    <x v="3"/>
    <x v="0"/>
    <x v="1"/>
    <x v="1"/>
  </r>
  <r>
    <s v="Singapore"/>
    <x v="4"/>
    <s v="SG2"/>
    <m/>
    <x v="1"/>
    <x v="1"/>
    <x v="4"/>
    <x v="4"/>
    <x v="0"/>
    <x v="0"/>
    <x v="0"/>
    <m/>
    <x v="0"/>
    <x v="0"/>
    <n v="0.20252700000000001"/>
    <m/>
    <x v="1"/>
    <x v="3"/>
    <x v="0"/>
    <x v="4"/>
    <x v="2"/>
  </r>
  <r>
    <s v="Singapore"/>
    <x v="1"/>
    <s v="SG4"/>
    <m/>
    <x v="1"/>
    <x v="1"/>
    <x v="0"/>
    <x v="5"/>
    <x v="0"/>
    <x v="0"/>
    <x v="0"/>
    <m/>
    <x v="0"/>
    <x v="0"/>
    <n v="1.2774780000000001"/>
    <m/>
    <x v="1"/>
    <x v="3"/>
    <x v="0"/>
    <x v="3"/>
    <x v="0"/>
  </r>
  <r>
    <s v="Singapore"/>
    <x v="5"/>
    <s v="SG2"/>
    <m/>
    <x v="2"/>
    <x v="2"/>
    <x v="1"/>
    <x v="3"/>
    <x v="0"/>
    <x v="0"/>
    <x v="0"/>
    <m/>
    <x v="0"/>
    <x v="0"/>
    <n v="-0.38927247300000001"/>
    <m/>
    <x v="4"/>
    <x v="2"/>
    <x v="0"/>
    <x v="2"/>
    <x v="2"/>
  </r>
  <r>
    <s v="Singapore"/>
    <x v="3"/>
    <s v="SG3"/>
    <m/>
    <x v="5"/>
    <x v="2"/>
    <x v="1"/>
    <x v="4"/>
    <x v="0"/>
    <x v="0"/>
    <x v="0"/>
    <m/>
    <x v="0"/>
    <x v="0"/>
    <n v="2.8556307000000003"/>
    <m/>
    <x v="1"/>
    <x v="1"/>
    <x v="0"/>
    <x v="4"/>
    <x v="2"/>
  </r>
  <r>
    <s v="Singapore"/>
    <x v="3"/>
    <s v="SG1"/>
    <m/>
    <x v="4"/>
    <x v="1"/>
    <x v="0"/>
    <x v="3"/>
    <x v="0"/>
    <x v="0"/>
    <x v="0"/>
    <m/>
    <x v="0"/>
    <x v="0"/>
    <n v="0.1838322"/>
    <m/>
    <x v="4"/>
    <x v="1"/>
    <x v="0"/>
    <x v="0"/>
    <x v="1"/>
  </r>
  <r>
    <s v="Singapore"/>
    <x v="3"/>
    <s v="SG3"/>
    <m/>
    <x v="2"/>
    <x v="2"/>
    <x v="0"/>
    <x v="0"/>
    <x v="0"/>
    <x v="0"/>
    <x v="0"/>
    <m/>
    <x v="0"/>
    <x v="0"/>
    <n v="-2.33685E-2"/>
    <m/>
    <x v="0"/>
    <x v="1"/>
    <x v="0"/>
    <x v="4"/>
    <x v="0"/>
  </r>
  <r>
    <s v="Singapore"/>
    <x v="3"/>
    <s v="SG4"/>
    <m/>
    <x v="0"/>
    <x v="1"/>
    <x v="2"/>
    <x v="4"/>
    <x v="0"/>
    <x v="0"/>
    <x v="0"/>
    <m/>
    <x v="0"/>
    <x v="0"/>
    <n v="0.84126600000000007"/>
    <m/>
    <x v="0"/>
    <x v="1"/>
    <x v="0"/>
    <x v="3"/>
    <x v="0"/>
  </r>
  <r>
    <s v="Singapore"/>
    <x v="1"/>
    <s v="SG2"/>
    <m/>
    <x v="5"/>
    <x v="1"/>
    <x v="4"/>
    <x v="5"/>
    <x v="0"/>
    <x v="0"/>
    <x v="0"/>
    <m/>
    <x v="0"/>
    <x v="0"/>
    <n v="-9.3474000000000002E-2"/>
    <m/>
    <x v="0"/>
    <x v="0"/>
    <x v="0"/>
    <x v="3"/>
    <x v="1"/>
  </r>
  <r>
    <s v="Singapore"/>
    <x v="0"/>
    <s v="SG1"/>
    <m/>
    <x v="5"/>
    <x v="2"/>
    <x v="0"/>
    <x v="2"/>
    <x v="0"/>
    <x v="0"/>
    <x v="0"/>
    <m/>
    <x v="0"/>
    <x v="0"/>
    <n v="40.375315350000001"/>
    <m/>
    <x v="1"/>
    <x v="2"/>
    <x v="0"/>
    <x v="3"/>
    <x v="0"/>
  </r>
  <r>
    <s v="Singapore"/>
    <x v="5"/>
    <s v="SG2"/>
    <m/>
    <x v="2"/>
    <x v="2"/>
    <x v="4"/>
    <x v="4"/>
    <x v="0"/>
    <x v="0"/>
    <x v="0"/>
    <m/>
    <x v="0"/>
    <x v="0"/>
    <n v="2.7263250000000001"/>
    <m/>
    <x v="1"/>
    <x v="3"/>
    <x v="0"/>
    <x v="5"/>
    <x v="1"/>
  </r>
  <r>
    <s v="Singapore"/>
    <x v="3"/>
    <s v="SG3"/>
    <m/>
    <x v="0"/>
    <x v="1"/>
    <x v="4"/>
    <x v="2"/>
    <x v="0"/>
    <x v="0"/>
    <x v="0"/>
    <m/>
    <x v="0"/>
    <x v="0"/>
    <n v="0.44063643599999996"/>
    <m/>
    <x v="1"/>
    <x v="3"/>
    <x v="0"/>
    <x v="3"/>
    <x v="0"/>
  </r>
  <r>
    <s v="Singapore"/>
    <x v="5"/>
    <s v="SG2"/>
    <m/>
    <x v="3"/>
    <x v="2"/>
    <x v="4"/>
    <x v="3"/>
    <x v="0"/>
    <x v="0"/>
    <x v="0"/>
    <m/>
    <x v="0"/>
    <x v="0"/>
    <n v="-1.5579000000000001E-2"/>
    <m/>
    <x v="0"/>
    <x v="1"/>
    <x v="0"/>
    <x v="2"/>
    <x v="1"/>
  </r>
  <r>
    <s v="Singapore"/>
    <x v="4"/>
    <s v="SG1"/>
    <m/>
    <x v="0"/>
    <x v="1"/>
    <x v="3"/>
    <x v="4"/>
    <x v="0"/>
    <x v="0"/>
    <x v="0"/>
    <m/>
    <x v="0"/>
    <x v="0"/>
    <n v="-0.70105499999999998"/>
    <m/>
    <x v="4"/>
    <x v="0"/>
    <x v="0"/>
    <x v="2"/>
    <x v="2"/>
  </r>
  <r>
    <s v="Singapore"/>
    <x v="3"/>
    <s v="SG2"/>
    <m/>
    <x v="1"/>
    <x v="3"/>
    <x v="0"/>
    <x v="0"/>
    <x v="0"/>
    <x v="0"/>
    <x v="0"/>
    <m/>
    <x v="0"/>
    <x v="0"/>
    <n v="-0.21810600000000002"/>
    <m/>
    <x v="4"/>
    <x v="1"/>
    <x v="0"/>
    <x v="1"/>
    <x v="2"/>
  </r>
  <r>
    <s v="Singapore"/>
    <x v="0"/>
    <s v="SG1"/>
    <m/>
    <x v="5"/>
    <x v="3"/>
    <x v="2"/>
    <x v="5"/>
    <x v="0"/>
    <x v="0"/>
    <x v="0"/>
    <m/>
    <x v="0"/>
    <x v="0"/>
    <n v="-1.0508035500000001"/>
    <m/>
    <x v="3"/>
    <x v="0"/>
    <x v="0"/>
    <x v="5"/>
    <x v="2"/>
  </r>
  <r>
    <s v="Singapore"/>
    <x v="3"/>
    <s v="SG1"/>
    <m/>
    <x v="2"/>
    <x v="2"/>
    <x v="2"/>
    <x v="3"/>
    <x v="0"/>
    <x v="0"/>
    <x v="0"/>
    <m/>
    <x v="0"/>
    <x v="0"/>
    <n v="0.30861999000000001"/>
    <m/>
    <x v="4"/>
    <x v="2"/>
    <x v="0"/>
    <x v="2"/>
    <x v="2"/>
  </r>
  <r>
    <s v="Singapore"/>
    <x v="3"/>
    <s v="SG4"/>
    <m/>
    <x v="3"/>
    <x v="0"/>
    <x v="1"/>
    <x v="3"/>
    <x v="0"/>
    <x v="0"/>
    <x v="0"/>
    <m/>
    <x v="0"/>
    <x v="0"/>
    <n v="-0.74779200000000001"/>
    <m/>
    <x v="0"/>
    <x v="0"/>
    <x v="0"/>
    <x v="0"/>
    <x v="0"/>
  </r>
  <r>
    <s v="Singapore"/>
    <x v="3"/>
    <s v="SG1"/>
    <m/>
    <x v="1"/>
    <x v="3"/>
    <x v="3"/>
    <x v="3"/>
    <x v="0"/>
    <x v="0"/>
    <x v="0"/>
    <m/>
    <x v="0"/>
    <x v="0"/>
    <n v="-2.33685E-2"/>
    <m/>
    <x v="0"/>
    <x v="1"/>
    <x v="0"/>
    <x v="3"/>
    <x v="1"/>
  </r>
  <r>
    <s v="Singapore"/>
    <x v="3"/>
    <s v="SG2"/>
    <m/>
    <x v="3"/>
    <x v="4"/>
    <x v="1"/>
    <x v="4"/>
    <x v="0"/>
    <x v="0"/>
    <x v="0"/>
    <m/>
    <x v="0"/>
    <x v="0"/>
    <n v="1.1450565000000001"/>
    <m/>
    <x v="1"/>
    <x v="1"/>
    <x v="0"/>
    <x v="4"/>
    <x v="1"/>
  </r>
  <r>
    <s v="Singapore"/>
    <x v="5"/>
    <s v="SG2"/>
    <m/>
    <x v="0"/>
    <x v="4"/>
    <x v="4"/>
    <x v="0"/>
    <x v="0"/>
    <x v="0"/>
    <x v="0"/>
    <m/>
    <x v="0"/>
    <x v="0"/>
    <n v="-0.70105499999999998"/>
    <m/>
    <x v="4"/>
    <x v="0"/>
    <x v="0"/>
    <x v="2"/>
    <x v="2"/>
  </r>
  <r>
    <s v="Singapore"/>
    <x v="2"/>
    <s v="SG3"/>
    <m/>
    <x v="3"/>
    <x v="1"/>
    <x v="0"/>
    <x v="0"/>
    <x v="0"/>
    <x v="0"/>
    <x v="0"/>
    <m/>
    <x v="0"/>
    <x v="0"/>
    <n v="-0.70105499999999998"/>
    <m/>
    <x v="1"/>
    <x v="0"/>
    <x v="0"/>
    <x v="5"/>
    <x v="1"/>
  </r>
  <r>
    <s v="Singapore"/>
    <x v="3"/>
    <s v="SG4"/>
    <m/>
    <x v="2"/>
    <x v="2"/>
    <x v="3"/>
    <x v="0"/>
    <x v="0"/>
    <x v="0"/>
    <x v="0"/>
    <m/>
    <x v="0"/>
    <x v="0"/>
    <n v="-1.5579000000000001E-2"/>
    <m/>
    <x v="0"/>
    <x v="2"/>
    <x v="0"/>
    <x v="3"/>
    <x v="0"/>
  </r>
  <r>
    <s v="Singapore"/>
    <x v="3"/>
    <s v="SG1"/>
    <m/>
    <x v="5"/>
    <x v="0"/>
    <x v="1"/>
    <x v="5"/>
    <x v="0"/>
    <x v="0"/>
    <x v="0"/>
    <m/>
    <x v="0"/>
    <x v="0"/>
    <n v="-0.1838322"/>
    <m/>
    <x v="4"/>
    <x v="3"/>
    <x v="0"/>
    <x v="2"/>
    <x v="2"/>
  </r>
  <r>
    <s v="Singapore"/>
    <x v="2"/>
    <s v="SG1"/>
    <m/>
    <x v="5"/>
    <x v="4"/>
    <x v="0"/>
    <x v="2"/>
    <x v="0"/>
    <x v="0"/>
    <x v="0"/>
    <m/>
    <x v="0"/>
    <x v="0"/>
    <n v="-2.8556307000000003"/>
    <m/>
    <x v="1"/>
    <x v="3"/>
    <x v="0"/>
    <x v="5"/>
    <x v="1"/>
  </r>
  <r>
    <s v="Singapore"/>
    <x v="5"/>
    <s v="SG2"/>
    <m/>
    <x v="4"/>
    <x v="2"/>
    <x v="1"/>
    <x v="1"/>
    <x v="0"/>
    <x v="0"/>
    <x v="0"/>
    <m/>
    <x v="0"/>
    <x v="0"/>
    <n v="-0.12463200000000001"/>
    <m/>
    <x v="8"/>
    <x v="1"/>
    <x v="0"/>
    <x v="3"/>
    <x v="1"/>
  </r>
  <r>
    <s v="Singapore"/>
    <x v="2"/>
    <s v="SG3"/>
    <m/>
    <x v="1"/>
    <x v="1"/>
    <x v="1"/>
    <x v="0"/>
    <x v="0"/>
    <x v="0"/>
    <x v="0"/>
    <m/>
    <x v="0"/>
    <x v="0"/>
    <n v="1.2208483350000001"/>
    <m/>
    <x v="1"/>
    <x v="0"/>
    <x v="0"/>
    <x v="0"/>
    <x v="2"/>
  </r>
  <r>
    <s v="Singapore"/>
    <x v="5"/>
    <s v="SG2"/>
    <m/>
    <x v="1"/>
    <x v="1"/>
    <x v="2"/>
    <x v="5"/>
    <x v="0"/>
    <x v="0"/>
    <x v="0"/>
    <m/>
    <x v="0"/>
    <x v="0"/>
    <n v="0.20252700000000001"/>
    <m/>
    <x v="2"/>
    <x v="2"/>
    <x v="0"/>
    <x v="0"/>
    <x v="2"/>
  </r>
  <r>
    <s v="Singapore"/>
    <x v="5"/>
    <s v="SG3"/>
    <m/>
    <x v="2"/>
    <x v="1"/>
    <x v="3"/>
    <x v="4"/>
    <x v="0"/>
    <x v="0"/>
    <x v="0"/>
    <m/>
    <x v="0"/>
    <x v="0"/>
    <n v="-0.15579000000000001"/>
    <m/>
    <x v="0"/>
    <x v="3"/>
    <x v="0"/>
    <x v="4"/>
    <x v="0"/>
  </r>
  <r>
    <s v="Singapore"/>
    <x v="1"/>
    <s v="SG3"/>
    <m/>
    <x v="2"/>
    <x v="4"/>
    <x v="4"/>
    <x v="1"/>
    <x v="0"/>
    <x v="0"/>
    <x v="0"/>
    <m/>
    <x v="0"/>
    <x v="0"/>
    <n v="0.37233810000000001"/>
    <m/>
    <x v="4"/>
    <x v="1"/>
    <x v="0"/>
    <x v="4"/>
    <x v="0"/>
  </r>
  <r>
    <s v="Singapore"/>
    <x v="4"/>
    <s v="SG4"/>
    <m/>
    <x v="2"/>
    <x v="3"/>
    <x v="1"/>
    <x v="2"/>
    <x v="0"/>
    <x v="0"/>
    <x v="0"/>
    <m/>
    <x v="0"/>
    <x v="0"/>
    <n v="-7.7895000000000006E-2"/>
    <m/>
    <x v="4"/>
    <x v="2"/>
    <x v="0"/>
    <x v="5"/>
    <x v="0"/>
  </r>
  <r>
    <s v="Singapore"/>
    <x v="0"/>
    <s v="SG1"/>
    <m/>
    <x v="1"/>
    <x v="3"/>
    <x v="0"/>
    <x v="2"/>
    <x v="0"/>
    <x v="0"/>
    <x v="0"/>
    <m/>
    <x v="0"/>
    <x v="0"/>
    <n v="-5.5878757200000004"/>
    <m/>
    <x v="0"/>
    <x v="0"/>
    <x v="0"/>
    <x v="4"/>
    <x v="0"/>
  </r>
  <r>
    <s v="Singapore"/>
    <x v="0"/>
    <s v="SG2"/>
    <m/>
    <x v="5"/>
    <x v="1"/>
    <x v="4"/>
    <x v="4"/>
    <x v="0"/>
    <x v="0"/>
    <x v="0"/>
    <m/>
    <x v="0"/>
    <x v="0"/>
    <n v="-1.0360035000000001"/>
    <m/>
    <x v="4"/>
    <x v="2"/>
    <x v="0"/>
    <x v="2"/>
    <x v="2"/>
  </r>
  <r>
    <s v="Singapore"/>
    <x v="0"/>
    <s v="SG1"/>
    <m/>
    <x v="3"/>
    <x v="0"/>
    <x v="0"/>
    <x v="3"/>
    <x v="0"/>
    <x v="0"/>
    <x v="0"/>
    <m/>
    <x v="0"/>
    <x v="0"/>
    <n v="-1.2058146000000001"/>
    <m/>
    <x v="2"/>
    <x v="0"/>
    <x v="0"/>
    <x v="1"/>
    <x v="0"/>
  </r>
  <r>
    <s v="Singapore"/>
    <x v="3"/>
    <s v="SG2"/>
    <m/>
    <x v="5"/>
    <x v="3"/>
    <x v="1"/>
    <x v="4"/>
    <x v="0"/>
    <x v="0"/>
    <x v="0"/>
    <m/>
    <x v="0"/>
    <x v="0"/>
    <n v="-0.140211"/>
    <m/>
    <x v="4"/>
    <x v="3"/>
    <x v="0"/>
    <x v="5"/>
    <x v="0"/>
  </r>
  <r>
    <s v="Singapore"/>
    <x v="4"/>
    <s v="SG4"/>
    <m/>
    <x v="5"/>
    <x v="2"/>
    <x v="4"/>
    <x v="3"/>
    <x v="0"/>
    <x v="0"/>
    <x v="0"/>
    <m/>
    <x v="0"/>
    <x v="0"/>
    <n v="1.2463200000000001"/>
    <m/>
    <x v="1"/>
    <x v="1"/>
    <x v="0"/>
    <x v="0"/>
    <x v="1"/>
  </r>
  <r>
    <s v="Singapore"/>
    <x v="0"/>
    <s v="SG3"/>
    <m/>
    <x v="1"/>
    <x v="2"/>
    <x v="4"/>
    <x v="0"/>
    <x v="0"/>
    <x v="0"/>
    <x v="0"/>
    <m/>
    <x v="0"/>
    <x v="0"/>
    <n v="1.0671615000000001"/>
    <m/>
    <x v="1"/>
    <x v="1"/>
    <x v="0"/>
    <x v="2"/>
    <x v="1"/>
  </r>
  <r>
    <s v="Singapore"/>
    <x v="2"/>
    <s v="SG1"/>
    <m/>
    <x v="2"/>
    <x v="2"/>
    <x v="1"/>
    <x v="4"/>
    <x v="0"/>
    <x v="0"/>
    <x v="0"/>
    <m/>
    <x v="0"/>
    <x v="0"/>
    <n v="-0.62316000000000005"/>
    <m/>
    <x v="4"/>
    <x v="2"/>
    <x v="0"/>
    <x v="4"/>
    <x v="1"/>
  </r>
  <r>
    <s v="Singapore"/>
    <x v="2"/>
    <s v="SG3"/>
    <m/>
    <x v="2"/>
    <x v="0"/>
    <x v="1"/>
    <x v="1"/>
    <x v="0"/>
    <x v="0"/>
    <x v="0"/>
    <m/>
    <x v="0"/>
    <x v="0"/>
    <n v="-2.775180744"/>
    <m/>
    <x v="4"/>
    <x v="3"/>
    <x v="0"/>
    <x v="0"/>
    <x v="2"/>
  </r>
  <r>
    <s v="Singapore"/>
    <x v="4"/>
    <s v="SG1"/>
    <m/>
    <x v="3"/>
    <x v="3"/>
    <x v="0"/>
    <x v="4"/>
    <x v="0"/>
    <x v="0"/>
    <x v="0"/>
    <m/>
    <x v="0"/>
    <x v="0"/>
    <n v="-4.2530670000000006"/>
    <m/>
    <x v="2"/>
    <x v="2"/>
    <x v="0"/>
    <x v="0"/>
    <x v="1"/>
  </r>
  <r>
    <s v="Singapore"/>
    <x v="3"/>
    <s v="SG2"/>
    <m/>
    <x v="3"/>
    <x v="3"/>
    <x v="3"/>
    <x v="1"/>
    <x v="0"/>
    <x v="0"/>
    <x v="0"/>
    <m/>
    <x v="0"/>
    <x v="0"/>
    <n v="-2.33685E-2"/>
    <m/>
    <x v="0"/>
    <x v="0"/>
    <x v="0"/>
    <x v="3"/>
    <x v="0"/>
  </r>
  <r>
    <s v="Singapore"/>
    <x v="2"/>
    <s v="SG3"/>
    <m/>
    <x v="0"/>
    <x v="3"/>
    <x v="0"/>
    <x v="5"/>
    <x v="0"/>
    <x v="0"/>
    <x v="0"/>
    <m/>
    <x v="0"/>
    <x v="0"/>
    <n v="0.37389600000000001"/>
    <m/>
    <x v="1"/>
    <x v="1"/>
    <x v="0"/>
    <x v="4"/>
    <x v="1"/>
  </r>
  <r>
    <s v="Singapore"/>
    <x v="4"/>
    <s v="SG4"/>
    <m/>
    <x v="5"/>
    <x v="4"/>
    <x v="3"/>
    <x v="0"/>
    <x v="0"/>
    <x v="0"/>
    <x v="0"/>
    <m/>
    <x v="0"/>
    <x v="0"/>
    <n v="-0.12826190700000001"/>
    <m/>
    <x v="4"/>
    <x v="1"/>
    <x v="0"/>
    <x v="2"/>
    <x v="1"/>
  </r>
  <r>
    <s v="Singapore"/>
    <x v="0"/>
    <s v="SG4"/>
    <m/>
    <x v="0"/>
    <x v="1"/>
    <x v="4"/>
    <x v="0"/>
    <x v="0"/>
    <x v="0"/>
    <x v="0"/>
    <m/>
    <x v="0"/>
    <x v="0"/>
    <n v="-26.483225049000005"/>
    <m/>
    <x v="2"/>
    <x v="0"/>
    <x v="0"/>
    <x v="3"/>
    <x v="1"/>
  </r>
  <r>
    <s v="Singapore"/>
    <x v="1"/>
    <s v="SG1"/>
    <m/>
    <x v="5"/>
    <x v="3"/>
    <x v="0"/>
    <x v="4"/>
    <x v="0"/>
    <x v="0"/>
    <x v="0"/>
    <m/>
    <x v="0"/>
    <x v="0"/>
    <n v="-8.1789749999999998E-3"/>
    <m/>
    <x v="6"/>
    <x v="3"/>
    <x v="0"/>
    <x v="3"/>
    <x v="2"/>
  </r>
  <r>
    <s v="Singapore"/>
    <x v="3"/>
    <s v="SG4"/>
    <m/>
    <x v="1"/>
    <x v="0"/>
    <x v="1"/>
    <x v="3"/>
    <x v="0"/>
    <x v="0"/>
    <x v="0"/>
    <m/>
    <x v="0"/>
    <x v="0"/>
    <n v="9.3474000000000002E-2"/>
    <m/>
    <x v="0"/>
    <x v="3"/>
    <x v="0"/>
    <x v="4"/>
    <x v="1"/>
  </r>
  <r>
    <s v="Singapore"/>
    <x v="5"/>
    <s v="SG3"/>
    <m/>
    <x v="1"/>
    <x v="1"/>
    <x v="4"/>
    <x v="0"/>
    <x v="0"/>
    <x v="0"/>
    <x v="0"/>
    <m/>
    <x v="0"/>
    <x v="0"/>
    <n v="-2.775180744"/>
    <m/>
    <x v="4"/>
    <x v="3"/>
    <x v="0"/>
    <x v="2"/>
    <x v="0"/>
  </r>
  <r>
    <s v="Singapore"/>
    <x v="3"/>
    <s v="SG4"/>
    <m/>
    <x v="5"/>
    <x v="4"/>
    <x v="0"/>
    <x v="4"/>
    <x v="0"/>
    <x v="0"/>
    <x v="0"/>
    <m/>
    <x v="0"/>
    <x v="0"/>
    <n v="2.7263250000000001"/>
    <m/>
    <x v="1"/>
    <x v="0"/>
    <x v="0"/>
    <x v="4"/>
    <x v="1"/>
  </r>
  <r>
    <s v="Singapore"/>
    <x v="4"/>
    <s v="SG3"/>
    <m/>
    <x v="1"/>
    <x v="4"/>
    <x v="4"/>
    <x v="2"/>
    <x v="0"/>
    <x v="0"/>
    <x v="0"/>
    <m/>
    <x v="0"/>
    <x v="0"/>
    <n v="-0.358317"/>
    <m/>
    <x v="1"/>
    <x v="2"/>
    <x v="0"/>
    <x v="1"/>
    <x v="2"/>
  </r>
  <r>
    <s v="Singapore"/>
    <x v="4"/>
    <s v="SG2"/>
    <m/>
    <x v="0"/>
    <x v="3"/>
    <x v="1"/>
    <x v="1"/>
    <x v="0"/>
    <x v="0"/>
    <x v="0"/>
    <m/>
    <x v="0"/>
    <x v="0"/>
    <n v="4.2063300000000005E-2"/>
    <m/>
    <x v="3"/>
    <x v="0"/>
    <x v="0"/>
    <x v="3"/>
    <x v="0"/>
  </r>
  <r>
    <s v="Singapore"/>
    <x v="1"/>
    <s v="SG2"/>
    <m/>
    <x v="3"/>
    <x v="0"/>
    <x v="3"/>
    <x v="0"/>
    <x v="0"/>
    <x v="0"/>
    <x v="0"/>
    <m/>
    <x v="0"/>
    <x v="0"/>
    <n v="15.579000000000001"/>
    <m/>
    <x v="5"/>
    <x v="0"/>
    <x v="0"/>
    <x v="4"/>
    <x v="2"/>
  </r>
  <r>
    <s v="Singapore"/>
    <x v="2"/>
    <s v="SG1"/>
    <m/>
    <x v="4"/>
    <x v="0"/>
    <x v="0"/>
    <x v="2"/>
    <x v="0"/>
    <x v="0"/>
    <x v="0"/>
    <m/>
    <x v="0"/>
    <x v="0"/>
    <n v="7.7895000000000004E-4"/>
    <m/>
    <x v="6"/>
    <x v="2"/>
    <x v="0"/>
    <x v="2"/>
    <x v="1"/>
  </r>
  <r>
    <s v="Singapore"/>
    <x v="0"/>
    <s v="SG3"/>
    <m/>
    <x v="1"/>
    <x v="3"/>
    <x v="3"/>
    <x v="0"/>
    <x v="0"/>
    <x v="0"/>
    <x v="0"/>
    <m/>
    <x v="0"/>
    <x v="0"/>
    <n v="-75.940302870000011"/>
    <m/>
    <x v="7"/>
    <x v="0"/>
    <x v="0"/>
    <x v="0"/>
    <x v="2"/>
  </r>
  <r>
    <s v="Singapore"/>
    <x v="0"/>
    <s v="SG1"/>
    <m/>
    <x v="3"/>
    <x v="1"/>
    <x v="2"/>
    <x v="1"/>
    <x v="0"/>
    <x v="0"/>
    <x v="0"/>
    <m/>
    <x v="0"/>
    <x v="0"/>
    <n v="-0.38947500000000002"/>
    <m/>
    <x v="1"/>
    <x v="3"/>
    <x v="0"/>
    <x v="2"/>
    <x v="2"/>
  </r>
  <r>
    <s v="Singapore"/>
    <x v="5"/>
    <s v="SG1"/>
    <m/>
    <x v="1"/>
    <x v="4"/>
    <x v="3"/>
    <x v="1"/>
    <x v="0"/>
    <x v="0"/>
    <x v="0"/>
    <m/>
    <x v="0"/>
    <x v="0"/>
    <n v="1.1450565000000001"/>
    <m/>
    <x v="1"/>
    <x v="2"/>
    <x v="0"/>
    <x v="3"/>
    <x v="1"/>
  </r>
  <r>
    <s v="Singapore"/>
    <x v="5"/>
    <s v="SG1"/>
    <m/>
    <x v="5"/>
    <x v="0"/>
    <x v="4"/>
    <x v="0"/>
    <x v="0"/>
    <x v="0"/>
    <x v="0"/>
    <m/>
    <x v="0"/>
    <x v="0"/>
    <n v="-0.15579000000000001"/>
    <m/>
    <x v="0"/>
    <x v="2"/>
    <x v="0"/>
    <x v="2"/>
    <x v="1"/>
  </r>
  <r>
    <s v="Singapore"/>
    <x v="3"/>
    <s v="SG3"/>
    <m/>
    <x v="3"/>
    <x v="3"/>
    <x v="2"/>
    <x v="3"/>
    <x v="0"/>
    <x v="0"/>
    <x v="0"/>
    <m/>
    <x v="0"/>
    <x v="0"/>
    <n v="-0.15579000000000001"/>
    <m/>
    <x v="4"/>
    <x v="0"/>
    <x v="0"/>
    <x v="2"/>
    <x v="1"/>
  </r>
  <r>
    <s v="Singapore"/>
    <x v="0"/>
    <s v="SG2"/>
    <m/>
    <x v="5"/>
    <x v="3"/>
    <x v="2"/>
    <x v="5"/>
    <x v="0"/>
    <x v="0"/>
    <x v="0"/>
    <m/>
    <x v="0"/>
    <x v="0"/>
    <n v="-4.6737000000000001E-2"/>
    <m/>
    <x v="0"/>
    <x v="0"/>
    <x v="0"/>
    <x v="2"/>
    <x v="2"/>
  </r>
  <r>
    <s v="Singapore"/>
    <x v="1"/>
    <s v="SG2"/>
    <m/>
    <x v="1"/>
    <x v="4"/>
    <x v="0"/>
    <x v="4"/>
    <x v="0"/>
    <x v="0"/>
    <x v="0"/>
    <m/>
    <x v="0"/>
    <x v="0"/>
    <n v="0.15579000000000001"/>
    <m/>
    <x v="1"/>
    <x v="0"/>
    <x v="0"/>
    <x v="3"/>
    <x v="0"/>
  </r>
  <r>
    <s v="Singapore"/>
    <x v="5"/>
    <s v="SG2"/>
    <m/>
    <x v="1"/>
    <x v="3"/>
    <x v="3"/>
    <x v="0"/>
    <x v="0"/>
    <x v="0"/>
    <x v="0"/>
    <m/>
    <x v="0"/>
    <x v="0"/>
    <n v="-2.1031650000000002"/>
    <m/>
    <x v="4"/>
    <x v="1"/>
    <x v="0"/>
    <x v="2"/>
    <x v="2"/>
  </r>
  <r>
    <s v="Singapore"/>
    <x v="0"/>
    <s v="SG2"/>
    <m/>
    <x v="5"/>
    <x v="2"/>
    <x v="4"/>
    <x v="0"/>
    <x v="0"/>
    <x v="0"/>
    <x v="0"/>
    <m/>
    <x v="0"/>
    <x v="0"/>
    <n v="-7.7895000000000006E-2"/>
    <m/>
    <x v="4"/>
    <x v="1"/>
    <x v="0"/>
    <x v="4"/>
    <x v="0"/>
  </r>
  <r>
    <s v="Singapore"/>
    <x v="0"/>
    <s v="SG3"/>
    <m/>
    <x v="2"/>
    <x v="2"/>
    <x v="4"/>
    <x v="4"/>
    <x v="0"/>
    <x v="0"/>
    <x v="0"/>
    <m/>
    <x v="0"/>
    <x v="0"/>
    <n v="-1.5579000000000001E-2"/>
    <m/>
    <x v="0"/>
    <x v="2"/>
    <x v="0"/>
    <x v="4"/>
    <x v="0"/>
  </r>
  <r>
    <s v="Singapore"/>
    <x v="5"/>
    <s v="SG4"/>
    <m/>
    <x v="2"/>
    <x v="2"/>
    <x v="1"/>
    <x v="1"/>
    <x v="0"/>
    <x v="0"/>
    <x v="0"/>
    <m/>
    <x v="0"/>
    <x v="0"/>
    <n v="-0.56084400000000001"/>
    <m/>
    <x v="4"/>
    <x v="1"/>
    <x v="0"/>
    <x v="0"/>
    <x v="0"/>
  </r>
  <r>
    <s v="Singapore"/>
    <x v="0"/>
    <s v="SG2"/>
    <m/>
    <x v="4"/>
    <x v="0"/>
    <x v="4"/>
    <x v="5"/>
    <x v="0"/>
    <x v="0"/>
    <x v="0"/>
    <m/>
    <x v="0"/>
    <x v="0"/>
    <n v="0.28012599900000001"/>
    <m/>
    <x v="0"/>
    <x v="0"/>
    <x v="0"/>
    <x v="4"/>
    <x v="1"/>
  </r>
  <r>
    <s v="Singapore"/>
    <x v="3"/>
    <s v="SG1"/>
    <m/>
    <x v="4"/>
    <x v="2"/>
    <x v="4"/>
    <x v="5"/>
    <x v="0"/>
    <x v="0"/>
    <x v="0"/>
    <m/>
    <x v="0"/>
    <x v="0"/>
    <n v="7.9452900000000007E-2"/>
    <m/>
    <x v="3"/>
    <x v="3"/>
    <x v="0"/>
    <x v="5"/>
    <x v="0"/>
  </r>
  <r>
    <s v="Singapore"/>
    <x v="3"/>
    <s v="SG4"/>
    <m/>
    <x v="4"/>
    <x v="4"/>
    <x v="0"/>
    <x v="4"/>
    <x v="0"/>
    <x v="0"/>
    <x v="0"/>
    <m/>
    <x v="0"/>
    <x v="0"/>
    <n v="-1.137267"/>
    <m/>
    <x v="4"/>
    <x v="1"/>
    <x v="0"/>
    <x v="4"/>
    <x v="2"/>
  </r>
  <r>
    <s v="Singapore"/>
    <x v="0"/>
    <s v="SG1"/>
    <m/>
    <x v="2"/>
    <x v="0"/>
    <x v="3"/>
    <x v="0"/>
    <x v="0"/>
    <x v="0"/>
    <x v="0"/>
    <m/>
    <x v="0"/>
    <x v="0"/>
    <n v="0.77895000000000003"/>
    <m/>
    <x v="0"/>
    <x v="2"/>
    <x v="0"/>
    <x v="1"/>
    <x v="0"/>
  </r>
  <r>
    <s v="Singapore"/>
    <x v="5"/>
    <s v="SG2"/>
    <m/>
    <x v="1"/>
    <x v="0"/>
    <x v="3"/>
    <x v="4"/>
    <x v="0"/>
    <x v="0"/>
    <x v="0"/>
    <m/>
    <x v="0"/>
    <x v="0"/>
    <n v="0.37389600000000001"/>
    <m/>
    <x v="1"/>
    <x v="0"/>
    <x v="0"/>
    <x v="2"/>
    <x v="0"/>
  </r>
  <r>
    <s v="Singapore"/>
    <x v="2"/>
    <s v="SG3"/>
    <m/>
    <x v="2"/>
    <x v="0"/>
    <x v="3"/>
    <x v="1"/>
    <x v="0"/>
    <x v="0"/>
    <x v="0"/>
    <m/>
    <x v="0"/>
    <x v="0"/>
    <n v="-0.55710504000000005"/>
    <m/>
    <x v="0"/>
    <x v="0"/>
    <x v="0"/>
    <x v="2"/>
    <x v="0"/>
  </r>
  <r>
    <s v="Singapore"/>
    <x v="3"/>
    <s v="SG3"/>
    <m/>
    <x v="4"/>
    <x v="2"/>
    <x v="4"/>
    <x v="5"/>
    <x v="0"/>
    <x v="0"/>
    <x v="0"/>
    <m/>
    <x v="0"/>
    <x v="0"/>
    <n v="-0.140211"/>
    <m/>
    <x v="4"/>
    <x v="1"/>
    <x v="0"/>
    <x v="2"/>
    <x v="0"/>
  </r>
  <r>
    <s v="Singapore"/>
    <x v="2"/>
    <s v="SG4"/>
    <m/>
    <x v="4"/>
    <x v="2"/>
    <x v="0"/>
    <x v="3"/>
    <x v="0"/>
    <x v="0"/>
    <x v="0"/>
    <m/>
    <x v="0"/>
    <x v="0"/>
    <n v="0.77895000000000003"/>
    <m/>
    <x v="4"/>
    <x v="0"/>
    <x v="0"/>
    <x v="2"/>
    <x v="2"/>
  </r>
  <r>
    <s v="Singapore"/>
    <x v="5"/>
    <s v="SG4"/>
    <m/>
    <x v="2"/>
    <x v="1"/>
    <x v="0"/>
    <x v="0"/>
    <x v="0"/>
    <x v="0"/>
    <x v="0"/>
    <m/>
    <x v="0"/>
    <x v="0"/>
    <n v="-0.140211"/>
    <m/>
    <x v="0"/>
    <x v="2"/>
    <x v="0"/>
    <x v="0"/>
    <x v="0"/>
  </r>
  <r>
    <s v="Singapore"/>
    <x v="3"/>
    <s v="SG1"/>
    <m/>
    <x v="3"/>
    <x v="0"/>
    <x v="0"/>
    <x v="5"/>
    <x v="0"/>
    <x v="0"/>
    <x v="0"/>
    <m/>
    <x v="0"/>
    <x v="0"/>
    <n v="-0.12463200000000001"/>
    <m/>
    <x v="0"/>
    <x v="3"/>
    <x v="0"/>
    <x v="0"/>
    <x v="2"/>
  </r>
  <r>
    <s v="Singapore"/>
    <x v="2"/>
    <s v="SG4"/>
    <m/>
    <x v="3"/>
    <x v="2"/>
    <x v="3"/>
    <x v="4"/>
    <x v="0"/>
    <x v="0"/>
    <x v="0"/>
    <m/>
    <x v="0"/>
    <x v="0"/>
    <n v="0.15579000000000001"/>
    <m/>
    <x v="1"/>
    <x v="2"/>
    <x v="0"/>
    <x v="5"/>
    <x v="2"/>
  </r>
  <r>
    <s v="Singapore"/>
    <x v="5"/>
    <s v="SG2"/>
    <m/>
    <x v="0"/>
    <x v="1"/>
    <x v="1"/>
    <x v="0"/>
    <x v="0"/>
    <x v="0"/>
    <x v="0"/>
    <m/>
    <x v="0"/>
    <x v="0"/>
    <n v="5.059825515"/>
    <m/>
    <x v="7"/>
    <x v="1"/>
    <x v="0"/>
    <x v="2"/>
    <x v="0"/>
  </r>
  <r>
    <s v="Singapore"/>
    <x v="4"/>
    <s v="SG1"/>
    <m/>
    <x v="2"/>
    <x v="2"/>
    <x v="1"/>
    <x v="1"/>
    <x v="0"/>
    <x v="0"/>
    <x v="0"/>
    <m/>
    <x v="0"/>
    <x v="0"/>
    <n v="-4.6737000000000001E-2"/>
    <m/>
    <x v="0"/>
    <x v="3"/>
    <x v="0"/>
    <x v="4"/>
    <x v="0"/>
  </r>
  <r>
    <s v="Singapore"/>
    <x v="5"/>
    <s v="SG4"/>
    <m/>
    <x v="0"/>
    <x v="2"/>
    <x v="1"/>
    <x v="3"/>
    <x v="0"/>
    <x v="0"/>
    <x v="0"/>
    <m/>
    <x v="0"/>
    <x v="0"/>
    <n v="-0.31158000000000002"/>
    <m/>
    <x v="4"/>
    <x v="1"/>
    <x v="0"/>
    <x v="5"/>
    <x v="2"/>
  </r>
  <r>
    <s v="Singapore"/>
    <x v="1"/>
    <s v="SG4"/>
    <m/>
    <x v="5"/>
    <x v="3"/>
    <x v="4"/>
    <x v="5"/>
    <x v="0"/>
    <x v="0"/>
    <x v="0"/>
    <m/>
    <x v="0"/>
    <x v="0"/>
    <n v="-2.7000899640000005"/>
    <m/>
    <x v="3"/>
    <x v="3"/>
    <x v="0"/>
    <x v="0"/>
    <x v="2"/>
  </r>
  <r>
    <s v="Singapore"/>
    <x v="3"/>
    <s v="SG2"/>
    <m/>
    <x v="0"/>
    <x v="4"/>
    <x v="1"/>
    <x v="3"/>
    <x v="0"/>
    <x v="0"/>
    <x v="0"/>
    <m/>
    <x v="0"/>
    <x v="0"/>
    <n v="-4.6737000000000001E-2"/>
    <m/>
    <x v="0"/>
    <x v="3"/>
    <x v="0"/>
    <x v="0"/>
    <x v="1"/>
  </r>
  <r>
    <s v="Singapore"/>
    <x v="3"/>
    <s v="SG1"/>
    <m/>
    <x v="1"/>
    <x v="4"/>
    <x v="3"/>
    <x v="2"/>
    <x v="0"/>
    <x v="0"/>
    <x v="0"/>
    <m/>
    <x v="0"/>
    <x v="0"/>
    <n v="0.59200200000000003"/>
    <m/>
    <x v="1"/>
    <x v="1"/>
    <x v="0"/>
    <x v="1"/>
    <x v="2"/>
  </r>
  <r>
    <s v="Singapore"/>
    <x v="2"/>
    <s v="SG1"/>
    <m/>
    <x v="0"/>
    <x v="0"/>
    <x v="0"/>
    <x v="5"/>
    <x v="0"/>
    <x v="0"/>
    <x v="0"/>
    <m/>
    <x v="0"/>
    <x v="0"/>
    <n v="2.4069555"/>
    <m/>
    <x v="3"/>
    <x v="3"/>
    <x v="0"/>
    <x v="1"/>
    <x v="0"/>
  </r>
  <r>
    <s v="Singapore"/>
    <x v="5"/>
    <s v="SG3"/>
    <m/>
    <x v="3"/>
    <x v="3"/>
    <x v="1"/>
    <x v="3"/>
    <x v="0"/>
    <x v="0"/>
    <x v="0"/>
    <m/>
    <x v="0"/>
    <x v="0"/>
    <n v="-0.12463200000000001"/>
    <m/>
    <x v="4"/>
    <x v="2"/>
    <x v="0"/>
    <x v="3"/>
    <x v="1"/>
  </r>
  <r>
    <s v="Singapore"/>
    <x v="5"/>
    <s v="SG1"/>
    <m/>
    <x v="0"/>
    <x v="2"/>
    <x v="4"/>
    <x v="1"/>
    <x v="0"/>
    <x v="0"/>
    <x v="0"/>
    <m/>
    <x v="0"/>
    <x v="0"/>
    <n v="-0.33262722900000002"/>
    <m/>
    <x v="0"/>
    <x v="1"/>
    <x v="0"/>
    <x v="4"/>
    <x v="1"/>
  </r>
  <r>
    <s v="Singapore"/>
    <x v="3"/>
    <s v="SG3"/>
    <m/>
    <x v="2"/>
    <x v="2"/>
    <x v="3"/>
    <x v="5"/>
    <x v="0"/>
    <x v="0"/>
    <x v="0"/>
    <m/>
    <x v="0"/>
    <x v="0"/>
    <n v="0.66989700000000008"/>
    <m/>
    <x v="1"/>
    <x v="1"/>
    <x v="0"/>
    <x v="0"/>
    <x v="2"/>
  </r>
  <r>
    <s v="Singapore"/>
    <x v="1"/>
    <s v="SG4"/>
    <m/>
    <x v="3"/>
    <x v="4"/>
    <x v="1"/>
    <x v="5"/>
    <x v="0"/>
    <x v="0"/>
    <x v="0"/>
    <m/>
    <x v="0"/>
    <x v="0"/>
    <n v="-0.42842250000000004"/>
    <m/>
    <x v="7"/>
    <x v="1"/>
    <x v="0"/>
    <x v="3"/>
    <x v="0"/>
  </r>
  <r>
    <s v="Singapore"/>
    <x v="3"/>
    <s v="SG4"/>
    <m/>
    <x v="4"/>
    <x v="3"/>
    <x v="3"/>
    <x v="5"/>
    <x v="0"/>
    <x v="0"/>
    <x v="0"/>
    <m/>
    <x v="0"/>
    <x v="0"/>
    <n v="-4.6737000000000001E-2"/>
    <m/>
    <x v="0"/>
    <x v="0"/>
    <x v="0"/>
    <x v="5"/>
    <x v="1"/>
  </r>
  <r>
    <s v="Singapore"/>
    <x v="1"/>
    <s v="SG3"/>
    <m/>
    <x v="1"/>
    <x v="0"/>
    <x v="3"/>
    <x v="5"/>
    <x v="0"/>
    <x v="0"/>
    <x v="0"/>
    <m/>
    <x v="0"/>
    <x v="0"/>
    <n v="-9.5095929689999998"/>
    <m/>
    <x v="1"/>
    <x v="2"/>
    <x v="0"/>
    <x v="0"/>
    <x v="1"/>
  </r>
  <r>
    <s v="Singapore"/>
    <x v="1"/>
    <s v="SG4"/>
    <m/>
    <x v="1"/>
    <x v="0"/>
    <x v="4"/>
    <x v="0"/>
    <x v="0"/>
    <x v="0"/>
    <x v="0"/>
    <m/>
    <x v="0"/>
    <x v="0"/>
    <n v="-0.24926400000000001"/>
    <m/>
    <x v="0"/>
    <x v="1"/>
    <x v="0"/>
    <x v="5"/>
    <x v="0"/>
  </r>
  <r>
    <s v="Singapore"/>
    <x v="5"/>
    <s v="SG1"/>
    <m/>
    <x v="4"/>
    <x v="2"/>
    <x v="1"/>
    <x v="4"/>
    <x v="0"/>
    <x v="0"/>
    <x v="0"/>
    <m/>
    <x v="0"/>
    <x v="0"/>
    <n v="-0.15579000000000001"/>
    <m/>
    <x v="4"/>
    <x v="3"/>
    <x v="0"/>
    <x v="0"/>
    <x v="2"/>
  </r>
  <r>
    <s v="Singapore"/>
    <x v="1"/>
    <s v="SG4"/>
    <m/>
    <x v="1"/>
    <x v="1"/>
    <x v="3"/>
    <x v="2"/>
    <x v="0"/>
    <x v="0"/>
    <x v="0"/>
    <m/>
    <x v="0"/>
    <x v="0"/>
    <n v="9.3474000000000005E-3"/>
    <m/>
    <x v="3"/>
    <x v="0"/>
    <x v="0"/>
    <x v="5"/>
    <x v="1"/>
  </r>
  <r>
    <s v="Singapore"/>
    <x v="0"/>
    <s v="SG3"/>
    <m/>
    <x v="4"/>
    <x v="0"/>
    <x v="3"/>
    <x v="2"/>
    <x v="0"/>
    <x v="0"/>
    <x v="0"/>
    <m/>
    <x v="0"/>
    <x v="0"/>
    <n v="-9.3474000000000002E-2"/>
    <m/>
    <x v="4"/>
    <x v="3"/>
    <x v="0"/>
    <x v="5"/>
    <x v="0"/>
  </r>
  <r>
    <s v="Singapore"/>
    <x v="2"/>
    <s v="SG4"/>
    <m/>
    <x v="2"/>
    <x v="3"/>
    <x v="0"/>
    <x v="5"/>
    <x v="0"/>
    <x v="0"/>
    <x v="0"/>
    <m/>
    <x v="0"/>
    <x v="0"/>
    <n v="0.21810600000000002"/>
    <m/>
    <x v="1"/>
    <x v="1"/>
    <x v="0"/>
    <x v="2"/>
    <x v="1"/>
  </r>
  <r>
    <s v="Singapore"/>
    <x v="5"/>
    <s v="SG3"/>
    <m/>
    <x v="0"/>
    <x v="1"/>
    <x v="3"/>
    <x v="5"/>
    <x v="0"/>
    <x v="0"/>
    <x v="0"/>
    <m/>
    <x v="0"/>
    <x v="0"/>
    <n v="-0.545265"/>
    <m/>
    <x v="4"/>
    <x v="1"/>
    <x v="0"/>
    <x v="1"/>
    <x v="2"/>
  </r>
  <r>
    <s v="Singapore"/>
    <x v="3"/>
    <s v="SG4"/>
    <m/>
    <x v="5"/>
    <x v="0"/>
    <x v="4"/>
    <x v="5"/>
    <x v="0"/>
    <x v="0"/>
    <x v="0"/>
    <m/>
    <x v="0"/>
    <x v="0"/>
    <n v="-1037.8832932980001"/>
    <m/>
    <x v="5"/>
    <x v="0"/>
    <x v="0"/>
    <x v="1"/>
    <x v="0"/>
  </r>
  <r>
    <s v="Singapore"/>
    <x v="3"/>
    <s v="SG3"/>
    <m/>
    <x v="0"/>
    <x v="0"/>
    <x v="2"/>
    <x v="4"/>
    <x v="0"/>
    <x v="0"/>
    <x v="0"/>
    <m/>
    <x v="0"/>
    <x v="0"/>
    <n v="-0.31158000000000002"/>
    <m/>
    <x v="4"/>
    <x v="2"/>
    <x v="0"/>
    <x v="1"/>
    <x v="2"/>
  </r>
  <r>
    <s v="Singapore"/>
    <x v="5"/>
    <s v="SG2"/>
    <m/>
    <x v="2"/>
    <x v="3"/>
    <x v="3"/>
    <x v="1"/>
    <x v="0"/>
    <x v="0"/>
    <x v="0"/>
    <m/>
    <x v="0"/>
    <x v="0"/>
    <n v="0.85684500000000008"/>
    <m/>
    <x v="8"/>
    <x v="2"/>
    <x v="0"/>
    <x v="3"/>
    <x v="1"/>
  </r>
  <r>
    <s v="Singapore"/>
    <x v="2"/>
    <s v="SG1"/>
    <m/>
    <x v="0"/>
    <x v="2"/>
    <x v="2"/>
    <x v="4"/>
    <x v="0"/>
    <x v="0"/>
    <x v="0"/>
    <m/>
    <x v="0"/>
    <x v="0"/>
    <n v="4.7639491469999999"/>
    <m/>
    <x v="1"/>
    <x v="0"/>
    <x v="0"/>
    <x v="2"/>
    <x v="1"/>
  </r>
  <r>
    <s v="Singapore"/>
    <x v="3"/>
    <s v="SG4"/>
    <m/>
    <x v="1"/>
    <x v="2"/>
    <x v="1"/>
    <x v="0"/>
    <x v="0"/>
    <x v="0"/>
    <x v="0"/>
    <m/>
    <x v="0"/>
    <x v="0"/>
    <n v="0.1838322"/>
    <m/>
    <x v="4"/>
    <x v="0"/>
    <x v="0"/>
    <x v="4"/>
    <x v="2"/>
  </r>
  <r>
    <s v="Singapore"/>
    <x v="3"/>
    <s v="SG4"/>
    <m/>
    <x v="2"/>
    <x v="1"/>
    <x v="4"/>
    <x v="5"/>
    <x v="0"/>
    <x v="0"/>
    <x v="0"/>
    <m/>
    <x v="0"/>
    <x v="0"/>
    <n v="-0.17136900000000002"/>
    <m/>
    <x v="8"/>
    <x v="1"/>
    <x v="0"/>
    <x v="0"/>
    <x v="1"/>
  </r>
  <r>
    <s v="Singapore"/>
    <x v="5"/>
    <s v="SG3"/>
    <m/>
    <x v="3"/>
    <x v="2"/>
    <x v="1"/>
    <x v="2"/>
    <x v="0"/>
    <x v="0"/>
    <x v="0"/>
    <m/>
    <x v="0"/>
    <x v="0"/>
    <n v="0.280141578"/>
    <m/>
    <x v="0"/>
    <x v="0"/>
    <x v="0"/>
    <x v="5"/>
    <x v="1"/>
  </r>
  <r>
    <s v="Singapore"/>
    <x v="2"/>
    <s v="SG2"/>
    <m/>
    <x v="1"/>
    <x v="1"/>
    <x v="3"/>
    <x v="0"/>
    <x v="0"/>
    <x v="0"/>
    <x v="0"/>
    <m/>
    <x v="0"/>
    <x v="0"/>
    <n v="2.0252700000000002E-2"/>
    <m/>
    <x v="3"/>
    <x v="3"/>
    <x v="0"/>
    <x v="4"/>
    <x v="1"/>
  </r>
  <r>
    <s v="Singapore"/>
    <x v="5"/>
    <s v="SG4"/>
    <m/>
    <x v="1"/>
    <x v="4"/>
    <x v="4"/>
    <x v="3"/>
    <x v="0"/>
    <x v="0"/>
    <x v="0"/>
    <m/>
    <x v="0"/>
    <x v="0"/>
    <n v="-0.77895000000000003"/>
    <m/>
    <x v="4"/>
    <x v="1"/>
    <x v="0"/>
    <x v="0"/>
    <x v="2"/>
  </r>
  <r>
    <s v="Singapore"/>
    <x v="3"/>
    <s v="SG3"/>
    <m/>
    <x v="0"/>
    <x v="3"/>
    <x v="1"/>
    <x v="0"/>
    <x v="0"/>
    <x v="0"/>
    <x v="0"/>
    <m/>
    <x v="0"/>
    <x v="0"/>
    <n v="-0.17136900000000002"/>
    <m/>
    <x v="8"/>
    <x v="3"/>
    <x v="0"/>
    <x v="4"/>
    <x v="0"/>
  </r>
  <r>
    <s v="Singapore"/>
    <x v="3"/>
    <s v="SG2"/>
    <m/>
    <x v="4"/>
    <x v="0"/>
    <x v="2"/>
    <x v="4"/>
    <x v="0"/>
    <x v="0"/>
    <x v="0"/>
    <m/>
    <x v="0"/>
    <x v="0"/>
    <n v="-0.82568700000000006"/>
    <m/>
    <x v="1"/>
    <x v="3"/>
    <x v="0"/>
    <x v="2"/>
    <x v="1"/>
  </r>
  <r>
    <s v="Singapore"/>
    <x v="2"/>
    <s v="SG2"/>
    <m/>
    <x v="2"/>
    <x v="2"/>
    <x v="1"/>
    <x v="1"/>
    <x v="0"/>
    <x v="0"/>
    <x v="0"/>
    <m/>
    <x v="0"/>
    <x v="0"/>
    <n v="7.0105500000000001E-2"/>
    <m/>
    <x v="1"/>
    <x v="3"/>
    <x v="0"/>
    <x v="0"/>
    <x v="2"/>
  </r>
  <r>
    <s v="Singapore"/>
    <x v="4"/>
    <s v="SG4"/>
    <m/>
    <x v="0"/>
    <x v="3"/>
    <x v="1"/>
    <x v="4"/>
    <x v="0"/>
    <x v="0"/>
    <x v="0"/>
    <m/>
    <x v="0"/>
    <x v="0"/>
    <n v="-4.6737000000000001E-2"/>
    <m/>
    <x v="0"/>
    <x v="1"/>
    <x v="0"/>
    <x v="3"/>
    <x v="1"/>
  </r>
  <r>
    <s v="Singapore"/>
    <x v="0"/>
    <s v="SG2"/>
    <m/>
    <x v="4"/>
    <x v="0"/>
    <x v="2"/>
    <x v="2"/>
    <x v="0"/>
    <x v="0"/>
    <x v="0"/>
    <m/>
    <x v="0"/>
    <x v="0"/>
    <n v="-0.15579000000000001"/>
    <m/>
    <x v="1"/>
    <x v="1"/>
    <x v="0"/>
    <x v="3"/>
    <x v="2"/>
  </r>
  <r>
    <s v="Singapore"/>
    <x v="0"/>
    <s v="SG4"/>
    <m/>
    <x v="0"/>
    <x v="3"/>
    <x v="4"/>
    <x v="2"/>
    <x v="0"/>
    <x v="0"/>
    <x v="0"/>
    <m/>
    <x v="0"/>
    <x v="0"/>
    <n v="-0.1838322"/>
    <m/>
    <x v="4"/>
    <x v="2"/>
    <x v="0"/>
    <x v="3"/>
    <x v="0"/>
  </r>
  <r>
    <s v="Singapore"/>
    <x v="3"/>
    <s v="SG4"/>
    <m/>
    <x v="2"/>
    <x v="3"/>
    <x v="3"/>
    <x v="3"/>
    <x v="0"/>
    <x v="0"/>
    <x v="0"/>
    <m/>
    <x v="0"/>
    <x v="0"/>
    <n v="-1.168425"/>
    <m/>
    <x v="0"/>
    <x v="0"/>
    <x v="0"/>
    <x v="4"/>
    <x v="1"/>
  </r>
  <r>
    <s v="Singapore"/>
    <x v="5"/>
    <s v="SG1"/>
    <m/>
    <x v="5"/>
    <x v="2"/>
    <x v="4"/>
    <x v="4"/>
    <x v="0"/>
    <x v="0"/>
    <x v="0"/>
    <m/>
    <x v="0"/>
    <x v="0"/>
    <n v="3.627990783"/>
    <m/>
    <x v="4"/>
    <x v="1"/>
    <x v="0"/>
    <x v="4"/>
    <x v="2"/>
  </r>
  <r>
    <s v="Singapore"/>
    <x v="4"/>
    <s v="SG2"/>
    <m/>
    <x v="0"/>
    <x v="3"/>
    <x v="4"/>
    <x v="5"/>
    <x v="0"/>
    <x v="0"/>
    <x v="0"/>
    <m/>
    <x v="0"/>
    <x v="0"/>
    <n v="-0.12463200000000001"/>
    <m/>
    <x v="0"/>
    <x v="0"/>
    <x v="0"/>
    <x v="0"/>
    <x v="1"/>
  </r>
  <r>
    <s v="Singapore"/>
    <x v="5"/>
    <s v="SG1"/>
    <m/>
    <x v="0"/>
    <x v="1"/>
    <x v="0"/>
    <x v="2"/>
    <x v="0"/>
    <x v="0"/>
    <x v="0"/>
    <m/>
    <x v="0"/>
    <x v="0"/>
    <n v="0.280422"/>
    <m/>
    <x v="4"/>
    <x v="1"/>
    <x v="0"/>
    <x v="1"/>
    <x v="1"/>
  </r>
  <r>
    <s v="Singapore"/>
    <x v="5"/>
    <s v="SG2"/>
    <m/>
    <x v="5"/>
    <x v="3"/>
    <x v="1"/>
    <x v="4"/>
    <x v="0"/>
    <x v="0"/>
    <x v="0"/>
    <m/>
    <x v="0"/>
    <x v="0"/>
    <n v="-7.7895000000000006E-2"/>
    <m/>
    <x v="0"/>
    <x v="1"/>
    <x v="0"/>
    <x v="4"/>
    <x v="2"/>
  </r>
  <r>
    <s v="Singapore"/>
    <x v="0"/>
    <s v="SG2"/>
    <m/>
    <x v="0"/>
    <x v="0"/>
    <x v="0"/>
    <x v="1"/>
    <x v="0"/>
    <x v="0"/>
    <x v="0"/>
    <m/>
    <x v="0"/>
    <x v="0"/>
    <n v="0.1838322"/>
    <m/>
    <x v="4"/>
    <x v="2"/>
    <x v="0"/>
    <x v="3"/>
    <x v="1"/>
  </r>
  <r>
    <s v="Singapore"/>
    <x v="5"/>
    <s v="SG1"/>
    <m/>
    <x v="4"/>
    <x v="2"/>
    <x v="3"/>
    <x v="0"/>
    <x v="0"/>
    <x v="0"/>
    <x v="0"/>
    <m/>
    <x v="0"/>
    <x v="0"/>
    <n v="-4.6737000000000001E-2"/>
    <m/>
    <x v="0"/>
    <x v="0"/>
    <x v="0"/>
    <x v="1"/>
    <x v="2"/>
  </r>
  <r>
    <s v="Singapore"/>
    <x v="2"/>
    <s v="SG3"/>
    <m/>
    <x v="1"/>
    <x v="2"/>
    <x v="2"/>
    <x v="3"/>
    <x v="0"/>
    <x v="0"/>
    <x v="0"/>
    <m/>
    <x v="0"/>
    <x v="0"/>
    <n v="-4.6737000000000001E-2"/>
    <m/>
    <x v="0"/>
    <x v="1"/>
    <x v="0"/>
    <x v="1"/>
    <x v="2"/>
  </r>
  <r>
    <s v="Singapore"/>
    <x v="3"/>
    <s v="SG3"/>
    <m/>
    <x v="5"/>
    <x v="0"/>
    <x v="1"/>
    <x v="5"/>
    <x v="0"/>
    <x v="0"/>
    <x v="0"/>
    <m/>
    <x v="0"/>
    <x v="0"/>
    <n v="-4.6737000000000002"/>
    <m/>
    <x v="4"/>
    <x v="2"/>
    <x v="0"/>
    <x v="4"/>
    <x v="2"/>
  </r>
  <r>
    <s v="Singapore"/>
    <x v="2"/>
    <s v="SG2"/>
    <m/>
    <x v="5"/>
    <x v="2"/>
    <x v="1"/>
    <x v="4"/>
    <x v="0"/>
    <x v="0"/>
    <x v="0"/>
    <m/>
    <x v="0"/>
    <x v="0"/>
    <n v="-0.545265"/>
    <m/>
    <x v="4"/>
    <x v="2"/>
    <x v="0"/>
    <x v="5"/>
    <x v="0"/>
  </r>
  <r>
    <s v="Singapore"/>
    <x v="2"/>
    <s v="SG1"/>
    <m/>
    <x v="3"/>
    <x v="1"/>
    <x v="3"/>
    <x v="3"/>
    <x v="0"/>
    <x v="0"/>
    <x v="0"/>
    <m/>
    <x v="0"/>
    <x v="0"/>
    <n v="15.579000000000001"/>
    <m/>
    <x v="7"/>
    <x v="2"/>
    <x v="0"/>
    <x v="4"/>
    <x v="0"/>
  </r>
  <r>
    <s v="Singapore"/>
    <x v="3"/>
    <s v="SG1"/>
    <m/>
    <x v="5"/>
    <x v="1"/>
    <x v="2"/>
    <x v="2"/>
    <x v="0"/>
    <x v="0"/>
    <x v="0"/>
    <m/>
    <x v="0"/>
    <x v="0"/>
    <n v="-1.0469088"/>
    <m/>
    <x v="3"/>
    <x v="2"/>
    <x v="0"/>
    <x v="0"/>
    <x v="1"/>
  </r>
  <r>
    <s v="Singapore"/>
    <x v="5"/>
    <s v="SG2"/>
    <m/>
    <x v="5"/>
    <x v="2"/>
    <x v="3"/>
    <x v="4"/>
    <x v="0"/>
    <x v="0"/>
    <x v="0"/>
    <m/>
    <x v="0"/>
    <x v="0"/>
    <n v="4.6737000000000002"/>
    <m/>
    <x v="7"/>
    <x v="1"/>
    <x v="0"/>
    <x v="3"/>
    <x v="1"/>
  </r>
  <r>
    <s v="Singapore"/>
    <x v="2"/>
    <s v="SG1"/>
    <m/>
    <x v="5"/>
    <x v="3"/>
    <x v="2"/>
    <x v="2"/>
    <x v="0"/>
    <x v="0"/>
    <x v="0"/>
    <m/>
    <x v="0"/>
    <x v="0"/>
    <n v="2.8120873950000003"/>
    <m/>
    <x v="8"/>
    <x v="2"/>
    <x v="0"/>
    <x v="4"/>
    <x v="1"/>
  </r>
  <r>
    <s v="Singapore"/>
    <x v="2"/>
    <s v="SG1"/>
    <m/>
    <x v="3"/>
    <x v="0"/>
    <x v="1"/>
    <x v="5"/>
    <x v="0"/>
    <x v="0"/>
    <x v="0"/>
    <m/>
    <x v="0"/>
    <x v="0"/>
    <n v="0.12463200000000001"/>
    <m/>
    <x v="0"/>
    <x v="3"/>
    <x v="0"/>
    <x v="4"/>
    <x v="2"/>
  </r>
  <r>
    <s v="Singapore"/>
    <x v="3"/>
    <s v="SG4"/>
    <m/>
    <x v="5"/>
    <x v="1"/>
    <x v="3"/>
    <x v="3"/>
    <x v="0"/>
    <x v="0"/>
    <x v="0"/>
    <m/>
    <x v="0"/>
    <x v="0"/>
    <n v="-4.6737000000000001E-2"/>
    <m/>
    <x v="0"/>
    <x v="1"/>
    <x v="0"/>
    <x v="0"/>
    <x v="1"/>
  </r>
  <r>
    <s v="Singapore"/>
    <x v="1"/>
    <s v="SG2"/>
    <m/>
    <x v="5"/>
    <x v="1"/>
    <x v="2"/>
    <x v="4"/>
    <x v="0"/>
    <x v="0"/>
    <x v="0"/>
    <m/>
    <x v="0"/>
    <x v="0"/>
    <n v="-1.1964672000000001"/>
    <m/>
    <x v="6"/>
    <x v="1"/>
    <x v="0"/>
    <x v="4"/>
    <x v="2"/>
  </r>
  <r>
    <s v="Singapore"/>
    <x v="0"/>
    <s v="SG2"/>
    <m/>
    <x v="4"/>
    <x v="1"/>
    <x v="4"/>
    <x v="0"/>
    <x v="0"/>
    <x v="0"/>
    <x v="0"/>
    <m/>
    <x v="0"/>
    <x v="0"/>
    <n v="-0.14800050000000001"/>
    <m/>
    <x v="4"/>
    <x v="3"/>
    <x v="0"/>
    <x v="4"/>
    <x v="0"/>
  </r>
  <r>
    <s v="Singapore"/>
    <x v="2"/>
    <s v="SG2"/>
    <m/>
    <x v="5"/>
    <x v="3"/>
    <x v="1"/>
    <x v="4"/>
    <x v="0"/>
    <x v="0"/>
    <x v="0"/>
    <m/>
    <x v="0"/>
    <x v="0"/>
    <n v="-0.51410699999999998"/>
    <m/>
    <x v="0"/>
    <x v="0"/>
    <x v="0"/>
    <x v="2"/>
    <x v="1"/>
  </r>
  <r>
    <s v="Singapore"/>
    <x v="1"/>
    <s v="SG2"/>
    <m/>
    <x v="3"/>
    <x v="4"/>
    <x v="2"/>
    <x v="2"/>
    <x v="0"/>
    <x v="0"/>
    <x v="0"/>
    <m/>
    <x v="0"/>
    <x v="0"/>
    <n v="0.15968475000000001"/>
    <m/>
    <x v="7"/>
    <x v="0"/>
    <x v="0"/>
    <x v="2"/>
    <x v="0"/>
  </r>
  <r>
    <s v="Singapore"/>
    <x v="1"/>
    <s v="SG3"/>
    <m/>
    <x v="4"/>
    <x v="0"/>
    <x v="1"/>
    <x v="3"/>
    <x v="0"/>
    <x v="0"/>
    <x v="0"/>
    <m/>
    <x v="0"/>
    <x v="0"/>
    <n v="-3.1158000000000002E-2"/>
    <m/>
    <x v="4"/>
    <x v="3"/>
    <x v="0"/>
    <x v="0"/>
    <x v="2"/>
  </r>
  <r>
    <s v="Singapore"/>
    <x v="1"/>
    <s v="SG3"/>
    <m/>
    <x v="5"/>
    <x v="4"/>
    <x v="2"/>
    <x v="5"/>
    <x v="0"/>
    <x v="0"/>
    <x v="0"/>
    <m/>
    <x v="0"/>
    <x v="0"/>
    <n v="30.628314000000003"/>
    <m/>
    <x v="2"/>
    <x v="0"/>
    <x v="0"/>
    <x v="2"/>
    <x v="2"/>
  </r>
  <r>
    <s v="Singapore"/>
    <x v="0"/>
    <s v="SG4"/>
    <m/>
    <x v="3"/>
    <x v="1"/>
    <x v="2"/>
    <x v="3"/>
    <x v="0"/>
    <x v="0"/>
    <x v="0"/>
    <m/>
    <x v="0"/>
    <x v="0"/>
    <n v="4.5271795050000003"/>
    <m/>
    <x v="7"/>
    <x v="2"/>
    <x v="0"/>
    <x v="0"/>
    <x v="1"/>
  </r>
  <r>
    <s v="Singapore"/>
    <x v="0"/>
    <s v="SG2"/>
    <m/>
    <x v="0"/>
    <x v="1"/>
    <x v="0"/>
    <x v="0"/>
    <x v="0"/>
    <x v="0"/>
    <x v="0"/>
    <m/>
    <x v="0"/>
    <x v="0"/>
    <n v="-0.38947500000000002"/>
    <m/>
    <x v="0"/>
    <x v="0"/>
    <x v="0"/>
    <x v="5"/>
    <x v="2"/>
  </r>
  <r>
    <s v="Singapore"/>
    <x v="5"/>
    <s v="SG2"/>
    <m/>
    <x v="0"/>
    <x v="4"/>
    <x v="1"/>
    <x v="2"/>
    <x v="0"/>
    <x v="0"/>
    <x v="0"/>
    <m/>
    <x v="0"/>
    <x v="0"/>
    <n v="-2.33685E-2"/>
    <m/>
    <x v="3"/>
    <x v="1"/>
    <x v="0"/>
    <x v="5"/>
    <x v="1"/>
  </r>
  <r>
    <s v="Singapore"/>
    <x v="2"/>
    <s v="SG3"/>
    <m/>
    <x v="3"/>
    <x v="1"/>
    <x v="1"/>
    <x v="2"/>
    <x v="0"/>
    <x v="0"/>
    <x v="0"/>
    <m/>
    <x v="0"/>
    <x v="0"/>
    <n v="-3.7389600000000001"/>
    <m/>
    <x v="1"/>
    <x v="1"/>
    <x v="0"/>
    <x v="3"/>
    <x v="1"/>
  </r>
  <r>
    <s v="Singapore"/>
    <x v="0"/>
    <s v="SG1"/>
    <m/>
    <x v="0"/>
    <x v="2"/>
    <x v="4"/>
    <x v="0"/>
    <x v="0"/>
    <x v="0"/>
    <x v="0"/>
    <m/>
    <x v="0"/>
    <x v="0"/>
    <n v="-0.77895000000000003"/>
    <m/>
    <x v="4"/>
    <x v="2"/>
    <x v="0"/>
    <x v="3"/>
    <x v="1"/>
  </r>
  <r>
    <s v="Singapore"/>
    <x v="5"/>
    <s v="SG2"/>
    <m/>
    <x v="3"/>
    <x v="4"/>
    <x v="4"/>
    <x v="0"/>
    <x v="0"/>
    <x v="0"/>
    <x v="0"/>
    <m/>
    <x v="0"/>
    <x v="0"/>
    <n v="1.86948"/>
    <m/>
    <x v="4"/>
    <x v="1"/>
    <x v="0"/>
    <x v="5"/>
    <x v="1"/>
  </r>
  <r>
    <s v="Singapore"/>
    <x v="2"/>
    <s v="SG2"/>
    <m/>
    <x v="3"/>
    <x v="0"/>
    <x v="3"/>
    <x v="5"/>
    <x v="0"/>
    <x v="0"/>
    <x v="0"/>
    <m/>
    <x v="0"/>
    <x v="0"/>
    <n v="-1.5579000000000001E-2"/>
    <m/>
    <x v="0"/>
    <x v="3"/>
    <x v="0"/>
    <x v="2"/>
    <x v="1"/>
  </r>
  <r>
    <s v="Singapore"/>
    <x v="2"/>
    <s v="SG2"/>
    <m/>
    <x v="4"/>
    <x v="1"/>
    <x v="0"/>
    <x v="4"/>
    <x v="0"/>
    <x v="0"/>
    <x v="0"/>
    <m/>
    <x v="0"/>
    <x v="0"/>
    <n v="1093.6458"/>
    <m/>
    <x v="5"/>
    <x v="3"/>
    <x v="0"/>
    <x v="1"/>
    <x v="1"/>
  </r>
  <r>
    <s v="Singapore"/>
    <x v="5"/>
    <s v="SG3"/>
    <m/>
    <x v="3"/>
    <x v="2"/>
    <x v="2"/>
    <x v="3"/>
    <x v="0"/>
    <x v="0"/>
    <x v="0"/>
    <m/>
    <x v="0"/>
    <x v="0"/>
    <n v="93.852569700000004"/>
    <m/>
    <x v="1"/>
    <x v="3"/>
    <x v="0"/>
    <x v="4"/>
    <x v="2"/>
  </r>
  <r>
    <s v="Singapore"/>
    <x v="0"/>
    <s v="SG1"/>
    <m/>
    <x v="3"/>
    <x v="0"/>
    <x v="0"/>
    <x v="1"/>
    <x v="0"/>
    <x v="0"/>
    <x v="0"/>
    <m/>
    <x v="0"/>
    <x v="0"/>
    <n v="0.41070917700000004"/>
    <m/>
    <x v="8"/>
    <x v="1"/>
    <x v="0"/>
    <x v="3"/>
    <x v="2"/>
  </r>
  <r>
    <s v="Singapore"/>
    <x v="2"/>
    <s v="SG2"/>
    <m/>
    <x v="1"/>
    <x v="2"/>
    <x v="3"/>
    <x v="0"/>
    <x v="0"/>
    <x v="0"/>
    <x v="0"/>
    <m/>
    <x v="0"/>
    <x v="0"/>
    <n v="-0.77895000000000003"/>
    <m/>
    <x v="4"/>
    <x v="0"/>
    <x v="0"/>
    <x v="3"/>
    <x v="2"/>
  </r>
  <r>
    <s v="Singapore"/>
    <x v="4"/>
    <s v="SG3"/>
    <m/>
    <x v="3"/>
    <x v="2"/>
    <x v="1"/>
    <x v="0"/>
    <x v="0"/>
    <x v="0"/>
    <x v="0"/>
    <m/>
    <x v="0"/>
    <x v="0"/>
    <n v="3.2254138440000002"/>
    <m/>
    <x v="1"/>
    <x v="3"/>
    <x v="0"/>
    <x v="4"/>
    <x v="2"/>
  </r>
  <r>
    <s v="Singapore"/>
    <x v="2"/>
    <s v="SG3"/>
    <m/>
    <x v="0"/>
    <x v="1"/>
    <x v="2"/>
    <x v="0"/>
    <x v="0"/>
    <x v="0"/>
    <x v="0"/>
    <m/>
    <x v="0"/>
    <x v="0"/>
    <n v="-0.15579000000000001"/>
    <m/>
    <x v="0"/>
    <x v="2"/>
    <x v="0"/>
    <x v="4"/>
    <x v="2"/>
  </r>
  <r>
    <s v="Singapore"/>
    <x v="4"/>
    <s v="SG2"/>
    <m/>
    <x v="0"/>
    <x v="2"/>
    <x v="4"/>
    <x v="5"/>
    <x v="0"/>
    <x v="0"/>
    <x v="0"/>
    <m/>
    <x v="0"/>
    <x v="0"/>
    <n v="0.21810600000000002"/>
    <m/>
    <x v="4"/>
    <x v="3"/>
    <x v="0"/>
    <x v="1"/>
    <x v="2"/>
  </r>
  <r>
    <s v="Singapore"/>
    <x v="3"/>
    <s v="SG2"/>
    <m/>
    <x v="1"/>
    <x v="1"/>
    <x v="2"/>
    <x v="0"/>
    <x v="0"/>
    <x v="0"/>
    <x v="0"/>
    <m/>
    <x v="0"/>
    <x v="0"/>
    <n v="-0.1838322"/>
    <m/>
    <x v="4"/>
    <x v="0"/>
    <x v="0"/>
    <x v="2"/>
    <x v="1"/>
  </r>
  <r>
    <s v="Singapore"/>
    <x v="0"/>
    <s v="SG4"/>
    <m/>
    <x v="4"/>
    <x v="0"/>
    <x v="3"/>
    <x v="5"/>
    <x v="0"/>
    <x v="0"/>
    <x v="0"/>
    <m/>
    <x v="0"/>
    <x v="0"/>
    <n v="-4.6737000000000001E-2"/>
    <m/>
    <x v="0"/>
    <x v="0"/>
    <x v="0"/>
    <x v="2"/>
    <x v="1"/>
  </r>
  <r>
    <s v="Singapore"/>
    <x v="1"/>
    <s v="SG2"/>
    <m/>
    <x v="4"/>
    <x v="1"/>
    <x v="3"/>
    <x v="0"/>
    <x v="0"/>
    <x v="0"/>
    <x v="0"/>
    <m/>
    <x v="0"/>
    <x v="0"/>
    <n v="-65.987970300000001"/>
    <m/>
    <x v="2"/>
    <x v="2"/>
    <x v="0"/>
    <x v="5"/>
    <x v="1"/>
  </r>
  <r>
    <s v="Singapore"/>
    <x v="4"/>
    <s v="SG1"/>
    <m/>
    <x v="5"/>
    <x v="0"/>
    <x v="3"/>
    <x v="2"/>
    <x v="0"/>
    <x v="0"/>
    <x v="0"/>
    <m/>
    <x v="0"/>
    <x v="0"/>
    <n v="0.545265"/>
    <m/>
    <x v="3"/>
    <x v="0"/>
    <x v="0"/>
    <x v="3"/>
    <x v="0"/>
  </r>
  <r>
    <s v="Singapore"/>
    <x v="0"/>
    <s v="SG3"/>
    <m/>
    <x v="2"/>
    <x v="1"/>
    <x v="0"/>
    <x v="3"/>
    <x v="0"/>
    <x v="0"/>
    <x v="0"/>
    <m/>
    <x v="0"/>
    <x v="0"/>
    <n v="-0.24926400000000001"/>
    <m/>
    <x v="0"/>
    <x v="2"/>
    <x v="0"/>
    <x v="2"/>
    <x v="2"/>
  </r>
  <r>
    <s v="Singapore"/>
    <x v="2"/>
    <s v="SG4"/>
    <m/>
    <x v="1"/>
    <x v="1"/>
    <x v="3"/>
    <x v="4"/>
    <x v="0"/>
    <x v="0"/>
    <x v="0"/>
    <m/>
    <x v="0"/>
    <x v="0"/>
    <n v="-3.1158000000000002E-2"/>
    <m/>
    <x v="0"/>
    <x v="1"/>
    <x v="0"/>
    <x v="0"/>
    <x v="2"/>
  </r>
  <r>
    <s v="Singapore"/>
    <x v="1"/>
    <s v="SG4"/>
    <m/>
    <x v="0"/>
    <x v="0"/>
    <x v="2"/>
    <x v="2"/>
    <x v="0"/>
    <x v="0"/>
    <x v="0"/>
    <m/>
    <x v="0"/>
    <x v="0"/>
    <n v="-0.46737000000000001"/>
    <m/>
    <x v="0"/>
    <x v="1"/>
    <x v="0"/>
    <x v="2"/>
    <x v="0"/>
  </r>
  <r>
    <s v="Singapore"/>
    <x v="0"/>
    <s v="SG4"/>
    <m/>
    <x v="1"/>
    <x v="4"/>
    <x v="0"/>
    <x v="1"/>
    <x v="0"/>
    <x v="0"/>
    <x v="0"/>
    <m/>
    <x v="0"/>
    <x v="0"/>
    <n v="-3.1158000000000002E-2"/>
    <m/>
    <x v="0"/>
    <x v="1"/>
    <x v="0"/>
    <x v="4"/>
    <x v="0"/>
  </r>
  <r>
    <s v="Singapore"/>
    <x v="4"/>
    <s v="SG4"/>
    <m/>
    <x v="1"/>
    <x v="1"/>
    <x v="3"/>
    <x v="2"/>
    <x v="0"/>
    <x v="0"/>
    <x v="0"/>
    <m/>
    <x v="0"/>
    <x v="0"/>
    <n v="-0.66989700000000008"/>
    <m/>
    <x v="4"/>
    <x v="1"/>
    <x v="0"/>
    <x v="5"/>
    <x v="1"/>
  </r>
  <r>
    <s v="Singapore"/>
    <x v="1"/>
    <s v="SG4"/>
    <m/>
    <x v="4"/>
    <x v="0"/>
    <x v="4"/>
    <x v="3"/>
    <x v="0"/>
    <x v="0"/>
    <x v="0"/>
    <m/>
    <x v="0"/>
    <x v="0"/>
    <n v="-26.285854698000001"/>
    <m/>
    <x v="3"/>
    <x v="2"/>
    <x v="0"/>
    <x v="4"/>
    <x v="0"/>
  </r>
  <r>
    <s v="Singapore"/>
    <x v="5"/>
    <s v="SG2"/>
    <m/>
    <x v="3"/>
    <x v="3"/>
    <x v="4"/>
    <x v="2"/>
    <x v="0"/>
    <x v="0"/>
    <x v="0"/>
    <m/>
    <x v="0"/>
    <x v="0"/>
    <n v="-0.186948"/>
    <m/>
    <x v="0"/>
    <x v="0"/>
    <x v="0"/>
    <x v="1"/>
    <x v="1"/>
  </r>
  <r>
    <s v="Singapore"/>
    <x v="0"/>
    <s v="SG4"/>
    <m/>
    <x v="5"/>
    <x v="2"/>
    <x v="1"/>
    <x v="2"/>
    <x v="0"/>
    <x v="0"/>
    <x v="0"/>
    <m/>
    <x v="0"/>
    <x v="0"/>
    <n v="0.1324215"/>
    <m/>
    <x v="1"/>
    <x v="3"/>
    <x v="0"/>
    <x v="0"/>
    <x v="2"/>
  </r>
  <r>
    <s v="Singapore"/>
    <x v="2"/>
    <s v="SG3"/>
    <m/>
    <x v="4"/>
    <x v="0"/>
    <x v="0"/>
    <x v="2"/>
    <x v="0"/>
    <x v="0"/>
    <x v="0"/>
    <m/>
    <x v="0"/>
    <x v="0"/>
    <n v="0.33688029600000002"/>
    <m/>
    <x v="8"/>
    <x v="3"/>
    <x v="0"/>
    <x v="2"/>
    <x v="0"/>
  </r>
  <r>
    <s v="Singapore"/>
    <x v="0"/>
    <s v="SG2"/>
    <m/>
    <x v="0"/>
    <x v="3"/>
    <x v="3"/>
    <x v="2"/>
    <x v="0"/>
    <x v="0"/>
    <x v="0"/>
    <m/>
    <x v="0"/>
    <x v="0"/>
    <n v="61.537050000000001"/>
    <m/>
    <x v="7"/>
    <x v="1"/>
    <x v="0"/>
    <x v="5"/>
    <x v="0"/>
  </r>
  <r>
    <s v="Singapore"/>
    <x v="1"/>
    <s v="SG2"/>
    <m/>
    <x v="5"/>
    <x v="2"/>
    <x v="3"/>
    <x v="1"/>
    <x v="0"/>
    <x v="0"/>
    <x v="0"/>
    <m/>
    <x v="0"/>
    <x v="0"/>
    <n v="-0.10905300000000001"/>
    <m/>
    <x v="4"/>
    <x v="2"/>
    <x v="0"/>
    <x v="5"/>
    <x v="0"/>
  </r>
  <r>
    <s v="Singapore"/>
    <x v="0"/>
    <s v="SG3"/>
    <m/>
    <x v="1"/>
    <x v="3"/>
    <x v="3"/>
    <x v="2"/>
    <x v="0"/>
    <x v="0"/>
    <x v="0"/>
    <m/>
    <x v="0"/>
    <x v="0"/>
    <n v="0.21810600000000002"/>
    <m/>
    <x v="4"/>
    <x v="3"/>
    <x v="0"/>
    <x v="1"/>
    <x v="2"/>
  </r>
  <r>
    <s v="Singapore"/>
    <x v="3"/>
    <s v="SG4"/>
    <m/>
    <x v="3"/>
    <x v="3"/>
    <x v="1"/>
    <x v="5"/>
    <x v="0"/>
    <x v="0"/>
    <x v="0"/>
    <m/>
    <x v="0"/>
    <x v="0"/>
    <n v="-1.0801232280000002"/>
    <m/>
    <x v="1"/>
    <x v="3"/>
    <x v="0"/>
    <x v="3"/>
    <x v="2"/>
  </r>
  <r>
    <s v="Singapore"/>
    <x v="2"/>
    <s v="SG3"/>
    <m/>
    <x v="5"/>
    <x v="2"/>
    <x v="4"/>
    <x v="3"/>
    <x v="0"/>
    <x v="0"/>
    <x v="0"/>
    <m/>
    <x v="0"/>
    <x v="0"/>
    <n v="-0.233685"/>
    <m/>
    <x v="0"/>
    <x v="2"/>
    <x v="0"/>
    <x v="5"/>
    <x v="2"/>
  </r>
  <r>
    <s v="Singapore"/>
    <x v="5"/>
    <s v="SG3"/>
    <m/>
    <x v="5"/>
    <x v="1"/>
    <x v="2"/>
    <x v="0"/>
    <x v="0"/>
    <x v="0"/>
    <x v="0"/>
    <m/>
    <x v="0"/>
    <x v="0"/>
    <n v="1.1429533350000001"/>
    <m/>
    <x v="1"/>
    <x v="2"/>
    <x v="0"/>
    <x v="1"/>
    <x v="2"/>
  </r>
  <r>
    <s v="Singapore"/>
    <x v="5"/>
    <s v="SG4"/>
    <m/>
    <x v="2"/>
    <x v="0"/>
    <x v="0"/>
    <x v="3"/>
    <x v="0"/>
    <x v="0"/>
    <x v="0"/>
    <m/>
    <x v="0"/>
    <x v="0"/>
    <n v="2.8462833000000001"/>
    <m/>
    <x v="3"/>
    <x v="1"/>
    <x v="0"/>
    <x v="3"/>
    <x v="1"/>
  </r>
  <r>
    <s v="Singapore"/>
    <x v="4"/>
    <s v="SG3"/>
    <m/>
    <x v="3"/>
    <x v="1"/>
    <x v="2"/>
    <x v="0"/>
    <x v="0"/>
    <x v="0"/>
    <x v="0"/>
    <m/>
    <x v="0"/>
    <x v="0"/>
    <n v="-0.15579000000000001"/>
    <m/>
    <x v="0"/>
    <x v="2"/>
    <x v="0"/>
    <x v="2"/>
    <x v="2"/>
  </r>
  <r>
    <s v="Singapore"/>
    <x v="1"/>
    <s v="SG4"/>
    <m/>
    <x v="5"/>
    <x v="4"/>
    <x v="3"/>
    <x v="5"/>
    <x v="0"/>
    <x v="0"/>
    <x v="0"/>
    <m/>
    <x v="0"/>
    <x v="0"/>
    <n v="-2.775180744"/>
    <m/>
    <x v="4"/>
    <x v="3"/>
    <x v="0"/>
    <x v="1"/>
    <x v="2"/>
  </r>
  <r>
    <s v="Singapore"/>
    <x v="0"/>
    <s v="SG4"/>
    <m/>
    <x v="0"/>
    <x v="2"/>
    <x v="2"/>
    <x v="0"/>
    <x v="0"/>
    <x v="0"/>
    <x v="0"/>
    <m/>
    <x v="0"/>
    <x v="0"/>
    <n v="-0.46737000000000001"/>
    <m/>
    <x v="0"/>
    <x v="0"/>
    <x v="0"/>
    <x v="4"/>
    <x v="0"/>
  </r>
  <r>
    <s v="Singapore"/>
    <x v="0"/>
    <s v="SG1"/>
    <m/>
    <x v="3"/>
    <x v="2"/>
    <x v="2"/>
    <x v="5"/>
    <x v="0"/>
    <x v="0"/>
    <x v="0"/>
    <m/>
    <x v="0"/>
    <x v="0"/>
    <n v="0.35138434500000004"/>
    <m/>
    <x v="3"/>
    <x v="0"/>
    <x v="0"/>
    <x v="3"/>
    <x v="0"/>
  </r>
  <r>
    <s v="Singapore"/>
    <x v="0"/>
    <s v="SG2"/>
    <m/>
    <x v="4"/>
    <x v="1"/>
    <x v="2"/>
    <x v="2"/>
    <x v="0"/>
    <x v="0"/>
    <x v="0"/>
    <m/>
    <x v="0"/>
    <x v="0"/>
    <n v="-3.1158000000000002E-2"/>
    <m/>
    <x v="0"/>
    <x v="2"/>
    <x v="0"/>
    <x v="4"/>
    <x v="0"/>
  </r>
  <r>
    <s v="Singapore"/>
    <x v="1"/>
    <s v="SG1"/>
    <m/>
    <x v="1"/>
    <x v="0"/>
    <x v="2"/>
    <x v="1"/>
    <x v="0"/>
    <x v="0"/>
    <x v="0"/>
    <m/>
    <x v="0"/>
    <x v="0"/>
    <n v="1.5579000000000001E-3"/>
    <m/>
    <x v="7"/>
    <x v="2"/>
    <x v="0"/>
    <x v="2"/>
    <x v="1"/>
  </r>
  <r>
    <s v="Singapore"/>
    <x v="1"/>
    <s v="SG1"/>
    <m/>
    <x v="0"/>
    <x v="2"/>
    <x v="0"/>
    <x v="5"/>
    <x v="0"/>
    <x v="0"/>
    <x v="0"/>
    <m/>
    <x v="0"/>
    <x v="0"/>
    <n v="-0.280422"/>
    <m/>
    <x v="0"/>
    <x v="3"/>
    <x v="0"/>
    <x v="4"/>
    <x v="0"/>
  </r>
  <r>
    <s v="Singapore"/>
    <x v="4"/>
    <s v="SG1"/>
    <m/>
    <x v="2"/>
    <x v="3"/>
    <x v="1"/>
    <x v="0"/>
    <x v="0"/>
    <x v="0"/>
    <x v="0"/>
    <m/>
    <x v="0"/>
    <x v="0"/>
    <n v="-0.77895000000000003"/>
    <m/>
    <x v="4"/>
    <x v="0"/>
    <x v="0"/>
    <x v="3"/>
    <x v="0"/>
  </r>
  <r>
    <s v="Singapore"/>
    <x v="4"/>
    <s v="SG3"/>
    <m/>
    <x v="4"/>
    <x v="3"/>
    <x v="4"/>
    <x v="2"/>
    <x v="0"/>
    <x v="0"/>
    <x v="0"/>
    <m/>
    <x v="0"/>
    <x v="0"/>
    <n v="-0.280141578"/>
    <m/>
    <x v="0"/>
    <x v="1"/>
    <x v="0"/>
    <x v="5"/>
    <x v="2"/>
  </r>
  <r>
    <s v="Singapore"/>
    <x v="4"/>
    <s v="SG4"/>
    <m/>
    <x v="1"/>
    <x v="4"/>
    <x v="1"/>
    <x v="5"/>
    <x v="0"/>
    <x v="0"/>
    <x v="0"/>
    <m/>
    <x v="0"/>
    <x v="0"/>
    <n v="0.15579000000000001"/>
    <m/>
    <x v="1"/>
    <x v="2"/>
    <x v="0"/>
    <x v="1"/>
    <x v="1"/>
  </r>
  <r>
    <s v="Singapore"/>
    <x v="5"/>
    <s v="SG4"/>
    <m/>
    <x v="3"/>
    <x v="2"/>
    <x v="1"/>
    <x v="2"/>
    <x v="0"/>
    <x v="0"/>
    <x v="0"/>
    <m/>
    <x v="0"/>
    <x v="0"/>
    <n v="0.62316000000000005"/>
    <m/>
    <x v="7"/>
    <x v="2"/>
    <x v="0"/>
    <x v="5"/>
    <x v="1"/>
  </r>
  <r>
    <s v="Singapore"/>
    <x v="0"/>
    <s v="SG1"/>
    <m/>
    <x v="3"/>
    <x v="4"/>
    <x v="0"/>
    <x v="5"/>
    <x v="0"/>
    <x v="0"/>
    <x v="0"/>
    <m/>
    <x v="0"/>
    <x v="0"/>
    <n v="1.137267"/>
    <m/>
    <x v="1"/>
    <x v="2"/>
    <x v="0"/>
    <x v="5"/>
    <x v="2"/>
  </r>
  <r>
    <s v="Singapore"/>
    <x v="3"/>
    <s v="SG4"/>
    <m/>
    <x v="0"/>
    <x v="3"/>
    <x v="3"/>
    <x v="0"/>
    <x v="0"/>
    <x v="0"/>
    <x v="0"/>
    <m/>
    <x v="0"/>
    <x v="0"/>
    <n v="-3.8947500000000003E-2"/>
    <m/>
    <x v="0"/>
    <x v="0"/>
    <x v="0"/>
    <x v="1"/>
    <x v="1"/>
  </r>
  <r>
    <s v="Singapore"/>
    <x v="2"/>
    <s v="SG4"/>
    <m/>
    <x v="1"/>
    <x v="0"/>
    <x v="4"/>
    <x v="3"/>
    <x v="0"/>
    <x v="0"/>
    <x v="0"/>
    <m/>
    <x v="0"/>
    <x v="0"/>
    <n v="52.08604965"/>
    <m/>
    <x v="1"/>
    <x v="1"/>
    <x v="0"/>
    <x v="3"/>
    <x v="0"/>
  </r>
  <r>
    <s v="Singapore"/>
    <x v="3"/>
    <s v="SG4"/>
    <m/>
    <x v="2"/>
    <x v="3"/>
    <x v="1"/>
    <x v="2"/>
    <x v="0"/>
    <x v="0"/>
    <x v="0"/>
    <m/>
    <x v="0"/>
    <x v="0"/>
    <n v="-2.5569033750000001"/>
    <m/>
    <x v="3"/>
    <x v="0"/>
    <x v="0"/>
    <x v="0"/>
    <x v="0"/>
  </r>
  <r>
    <s v="Singapore"/>
    <x v="5"/>
    <s v="SG3"/>
    <m/>
    <x v="3"/>
    <x v="4"/>
    <x v="0"/>
    <x v="1"/>
    <x v="0"/>
    <x v="0"/>
    <x v="0"/>
    <m/>
    <x v="0"/>
    <x v="0"/>
    <n v="-0.15579000000000001"/>
    <m/>
    <x v="0"/>
    <x v="3"/>
    <x v="0"/>
    <x v="4"/>
    <x v="0"/>
  </r>
  <r>
    <s v="Singapore"/>
    <x v="1"/>
    <s v="SG2"/>
    <m/>
    <x v="2"/>
    <x v="4"/>
    <x v="3"/>
    <x v="2"/>
    <x v="0"/>
    <x v="0"/>
    <x v="0"/>
    <m/>
    <x v="0"/>
    <x v="0"/>
    <n v="-0.17136900000000002"/>
    <m/>
    <x v="4"/>
    <x v="1"/>
    <x v="0"/>
    <x v="0"/>
    <x v="1"/>
  </r>
  <r>
    <s v="Singapore"/>
    <x v="3"/>
    <s v="SG1"/>
    <m/>
    <x v="2"/>
    <x v="0"/>
    <x v="0"/>
    <x v="3"/>
    <x v="0"/>
    <x v="0"/>
    <x v="0"/>
    <m/>
    <x v="0"/>
    <x v="0"/>
    <n v="9.1250565120000005"/>
    <m/>
    <x v="7"/>
    <x v="0"/>
    <x v="0"/>
    <x v="2"/>
    <x v="0"/>
  </r>
  <r>
    <s v="Singapore"/>
    <x v="1"/>
    <s v="SG1"/>
    <m/>
    <x v="1"/>
    <x v="2"/>
    <x v="1"/>
    <x v="2"/>
    <x v="0"/>
    <x v="0"/>
    <x v="0"/>
    <m/>
    <x v="0"/>
    <x v="0"/>
    <n v="-0.81010800000000005"/>
    <m/>
    <x v="4"/>
    <x v="1"/>
    <x v="0"/>
    <x v="1"/>
    <x v="0"/>
  </r>
  <r>
    <s v="Singapore"/>
    <x v="0"/>
    <s v="SG2"/>
    <m/>
    <x v="0"/>
    <x v="3"/>
    <x v="0"/>
    <x v="3"/>
    <x v="0"/>
    <x v="0"/>
    <x v="0"/>
    <m/>
    <x v="0"/>
    <x v="0"/>
    <n v="-1.2083072400000001"/>
    <m/>
    <x v="3"/>
    <x v="2"/>
    <x v="0"/>
    <x v="5"/>
    <x v="1"/>
  </r>
  <r>
    <s v="Singapore"/>
    <x v="0"/>
    <s v="SG2"/>
    <m/>
    <x v="2"/>
    <x v="4"/>
    <x v="2"/>
    <x v="2"/>
    <x v="0"/>
    <x v="0"/>
    <x v="0"/>
    <m/>
    <x v="0"/>
    <x v="0"/>
    <n v="0.1838322"/>
    <m/>
    <x v="4"/>
    <x v="0"/>
    <x v="0"/>
    <x v="4"/>
    <x v="0"/>
  </r>
  <r>
    <s v="Singapore"/>
    <x v="4"/>
    <s v="SG2"/>
    <m/>
    <x v="5"/>
    <x v="2"/>
    <x v="4"/>
    <x v="0"/>
    <x v="0"/>
    <x v="0"/>
    <x v="0"/>
    <m/>
    <x v="0"/>
    <x v="0"/>
    <n v="-3.8947500000000003E-2"/>
    <m/>
    <x v="0"/>
    <x v="0"/>
    <x v="0"/>
    <x v="1"/>
    <x v="2"/>
  </r>
  <r>
    <s v="Singapore"/>
    <x v="2"/>
    <s v="SG1"/>
    <m/>
    <x v="3"/>
    <x v="1"/>
    <x v="1"/>
    <x v="0"/>
    <x v="0"/>
    <x v="0"/>
    <x v="0"/>
    <m/>
    <x v="0"/>
    <x v="0"/>
    <n v="-4.6737000000000001E-2"/>
    <m/>
    <x v="0"/>
    <x v="3"/>
    <x v="0"/>
    <x v="2"/>
    <x v="2"/>
  </r>
  <r>
    <s v="Singapore"/>
    <x v="4"/>
    <s v="SG1"/>
    <m/>
    <x v="1"/>
    <x v="4"/>
    <x v="3"/>
    <x v="1"/>
    <x v="0"/>
    <x v="0"/>
    <x v="0"/>
    <m/>
    <x v="0"/>
    <x v="0"/>
    <n v="-0.1838322"/>
    <m/>
    <x v="4"/>
    <x v="3"/>
    <x v="0"/>
    <x v="1"/>
    <x v="0"/>
  </r>
  <r>
    <s v="Singapore"/>
    <x v="4"/>
    <s v="SG3"/>
    <m/>
    <x v="3"/>
    <x v="1"/>
    <x v="2"/>
    <x v="4"/>
    <x v="0"/>
    <x v="0"/>
    <x v="0"/>
    <m/>
    <x v="0"/>
    <x v="0"/>
    <n v="1.40211"/>
    <m/>
    <x v="1"/>
    <x v="0"/>
    <x v="0"/>
    <x v="4"/>
    <x v="0"/>
  </r>
  <r>
    <s v="Singapore"/>
    <x v="3"/>
    <s v="SG1"/>
    <m/>
    <x v="5"/>
    <x v="2"/>
    <x v="2"/>
    <x v="1"/>
    <x v="0"/>
    <x v="0"/>
    <x v="0"/>
    <m/>
    <x v="0"/>
    <x v="0"/>
    <n v="0.233685"/>
    <m/>
    <x v="1"/>
    <x v="3"/>
    <x v="0"/>
    <x v="4"/>
    <x v="2"/>
  </r>
  <r>
    <s v="Singapore"/>
    <x v="2"/>
    <s v="SG1"/>
    <m/>
    <x v="5"/>
    <x v="3"/>
    <x v="4"/>
    <x v="3"/>
    <x v="0"/>
    <x v="0"/>
    <x v="0"/>
    <m/>
    <x v="0"/>
    <x v="0"/>
    <n v="-0.15579000000000001"/>
    <m/>
    <x v="0"/>
    <x v="2"/>
    <x v="0"/>
    <x v="1"/>
    <x v="0"/>
  </r>
  <r>
    <s v="Singapore"/>
    <x v="1"/>
    <s v="SG4"/>
    <m/>
    <x v="4"/>
    <x v="2"/>
    <x v="3"/>
    <x v="5"/>
    <x v="0"/>
    <x v="0"/>
    <x v="0"/>
    <m/>
    <x v="0"/>
    <x v="0"/>
    <n v="3.1158000000000002E-3"/>
    <m/>
    <x v="3"/>
    <x v="3"/>
    <x v="0"/>
    <x v="3"/>
    <x v="1"/>
  </r>
  <r>
    <s v="Singapore"/>
    <x v="2"/>
    <s v="SG4"/>
    <m/>
    <x v="3"/>
    <x v="2"/>
    <x v="2"/>
    <x v="0"/>
    <x v="0"/>
    <x v="0"/>
    <x v="0"/>
    <m/>
    <x v="0"/>
    <x v="0"/>
    <n v="4.2063300000000005E-2"/>
    <m/>
    <x v="3"/>
    <x v="2"/>
    <x v="0"/>
    <x v="3"/>
    <x v="1"/>
  </r>
  <r>
    <s v="Singapore"/>
    <x v="1"/>
    <s v="SG2"/>
    <m/>
    <x v="1"/>
    <x v="1"/>
    <x v="3"/>
    <x v="4"/>
    <x v="0"/>
    <x v="0"/>
    <x v="0"/>
    <m/>
    <x v="0"/>
    <x v="0"/>
    <n v="-4.6737000000000001E-2"/>
    <m/>
    <x v="0"/>
    <x v="0"/>
    <x v="0"/>
    <x v="0"/>
    <x v="2"/>
  </r>
  <r>
    <s v="Singapore"/>
    <x v="4"/>
    <s v="SG1"/>
    <m/>
    <x v="4"/>
    <x v="4"/>
    <x v="1"/>
    <x v="4"/>
    <x v="0"/>
    <x v="0"/>
    <x v="0"/>
    <m/>
    <x v="0"/>
    <x v="0"/>
    <n v="0.15579000000000001"/>
    <m/>
    <x v="1"/>
    <x v="1"/>
    <x v="0"/>
    <x v="3"/>
    <x v="2"/>
  </r>
  <r>
    <s v="Singapore"/>
    <x v="3"/>
    <s v="SG1"/>
    <m/>
    <x v="0"/>
    <x v="1"/>
    <x v="2"/>
    <x v="4"/>
    <x v="0"/>
    <x v="0"/>
    <x v="0"/>
    <m/>
    <x v="0"/>
    <x v="0"/>
    <n v="-0.15579000000000001"/>
    <m/>
    <x v="0"/>
    <x v="3"/>
    <x v="0"/>
    <x v="4"/>
    <x v="0"/>
  </r>
  <r>
    <s v="Singapore"/>
    <x v="1"/>
    <s v="SG4"/>
    <m/>
    <x v="2"/>
    <x v="3"/>
    <x v="0"/>
    <x v="3"/>
    <x v="0"/>
    <x v="0"/>
    <x v="0"/>
    <m/>
    <x v="0"/>
    <x v="0"/>
    <n v="-0.280422"/>
    <m/>
    <x v="1"/>
    <x v="0"/>
    <x v="0"/>
    <x v="0"/>
    <x v="2"/>
  </r>
  <r>
    <s v="Singapore"/>
    <x v="1"/>
    <s v="SG2"/>
    <m/>
    <x v="3"/>
    <x v="2"/>
    <x v="3"/>
    <x v="5"/>
    <x v="0"/>
    <x v="0"/>
    <x v="0"/>
    <m/>
    <x v="0"/>
    <x v="0"/>
    <n v="-0.70105499999999998"/>
    <m/>
    <x v="4"/>
    <x v="0"/>
    <x v="0"/>
    <x v="3"/>
    <x v="0"/>
  </r>
  <r>
    <s v="Singapore"/>
    <x v="4"/>
    <s v="SG2"/>
    <m/>
    <x v="1"/>
    <x v="3"/>
    <x v="1"/>
    <x v="0"/>
    <x v="0"/>
    <x v="0"/>
    <x v="0"/>
    <m/>
    <x v="0"/>
    <x v="0"/>
    <n v="-1.5579000000000001E-2"/>
    <m/>
    <x v="0"/>
    <x v="1"/>
    <x v="0"/>
    <x v="0"/>
    <x v="0"/>
  </r>
  <r>
    <s v="Singapore"/>
    <x v="3"/>
    <s v="SG3"/>
    <m/>
    <x v="5"/>
    <x v="4"/>
    <x v="2"/>
    <x v="1"/>
    <x v="0"/>
    <x v="0"/>
    <x v="0"/>
    <m/>
    <x v="0"/>
    <x v="0"/>
    <n v="-0.12463200000000001"/>
    <m/>
    <x v="0"/>
    <x v="2"/>
    <x v="0"/>
    <x v="5"/>
    <x v="1"/>
  </r>
  <r>
    <s v="Singapore"/>
    <x v="5"/>
    <s v="SG2"/>
    <m/>
    <x v="1"/>
    <x v="2"/>
    <x v="3"/>
    <x v="2"/>
    <x v="0"/>
    <x v="0"/>
    <x v="0"/>
    <m/>
    <x v="0"/>
    <x v="0"/>
    <n v="1.0801232280000002"/>
    <m/>
    <x v="1"/>
    <x v="1"/>
    <x v="0"/>
    <x v="2"/>
    <x v="0"/>
  </r>
  <r>
    <s v="Singapore"/>
    <x v="0"/>
    <s v="SG3"/>
    <m/>
    <x v="3"/>
    <x v="4"/>
    <x v="1"/>
    <x v="3"/>
    <x v="0"/>
    <x v="0"/>
    <x v="0"/>
    <m/>
    <x v="0"/>
    <x v="0"/>
    <n v="0.15579000000000001"/>
    <m/>
    <x v="1"/>
    <x v="3"/>
    <x v="0"/>
    <x v="4"/>
    <x v="0"/>
  </r>
  <r>
    <s v="Singapore"/>
    <x v="1"/>
    <s v="SG3"/>
    <m/>
    <x v="0"/>
    <x v="2"/>
    <x v="3"/>
    <x v="4"/>
    <x v="0"/>
    <x v="0"/>
    <x v="0"/>
    <m/>
    <x v="0"/>
    <x v="0"/>
    <n v="-3.2170479209999998"/>
    <m/>
    <x v="0"/>
    <x v="2"/>
    <x v="0"/>
    <x v="4"/>
    <x v="2"/>
  </r>
  <r>
    <s v="Singapore"/>
    <x v="2"/>
    <s v="SG3"/>
    <m/>
    <x v="1"/>
    <x v="3"/>
    <x v="2"/>
    <x v="2"/>
    <x v="0"/>
    <x v="0"/>
    <x v="0"/>
    <m/>
    <x v="0"/>
    <x v="0"/>
    <n v="0.74779200000000001"/>
    <m/>
    <x v="7"/>
    <x v="1"/>
    <x v="0"/>
    <x v="4"/>
    <x v="1"/>
  </r>
  <r>
    <s v="Singapore"/>
    <x v="0"/>
    <s v="SG4"/>
    <m/>
    <x v="5"/>
    <x v="2"/>
    <x v="4"/>
    <x v="4"/>
    <x v="0"/>
    <x v="0"/>
    <x v="0"/>
    <m/>
    <x v="0"/>
    <x v="0"/>
    <n v="4.36212"/>
    <m/>
    <x v="1"/>
    <x v="2"/>
    <x v="0"/>
    <x v="2"/>
    <x v="0"/>
  </r>
  <r>
    <s v="Singapore"/>
    <x v="0"/>
    <s v="SG4"/>
    <m/>
    <x v="0"/>
    <x v="2"/>
    <x v="0"/>
    <x v="1"/>
    <x v="0"/>
    <x v="0"/>
    <x v="0"/>
    <m/>
    <x v="0"/>
    <x v="0"/>
    <n v="-7.7895000000000006E-2"/>
    <m/>
    <x v="0"/>
    <x v="2"/>
    <x v="0"/>
    <x v="5"/>
    <x v="0"/>
  </r>
  <r>
    <s v="Singapore"/>
    <x v="3"/>
    <s v="SG4"/>
    <m/>
    <x v="1"/>
    <x v="4"/>
    <x v="3"/>
    <x v="5"/>
    <x v="0"/>
    <x v="0"/>
    <x v="0"/>
    <m/>
    <x v="0"/>
    <x v="0"/>
    <n v="-0.1838322"/>
    <m/>
    <x v="4"/>
    <x v="3"/>
    <x v="0"/>
    <x v="4"/>
    <x v="1"/>
  </r>
  <r>
    <s v="Singapore"/>
    <x v="4"/>
    <s v="SG3"/>
    <m/>
    <x v="1"/>
    <x v="4"/>
    <x v="4"/>
    <x v="3"/>
    <x v="0"/>
    <x v="0"/>
    <x v="0"/>
    <m/>
    <x v="0"/>
    <x v="0"/>
    <n v="-2.3368500000000001"/>
    <m/>
    <x v="4"/>
    <x v="1"/>
    <x v="0"/>
    <x v="4"/>
    <x v="0"/>
  </r>
  <r>
    <s v="Singapore"/>
    <x v="2"/>
    <s v="SG3"/>
    <m/>
    <x v="1"/>
    <x v="1"/>
    <x v="0"/>
    <x v="5"/>
    <x v="0"/>
    <x v="0"/>
    <x v="0"/>
    <m/>
    <x v="0"/>
    <x v="0"/>
    <n v="-0.14800050000000001"/>
    <m/>
    <x v="4"/>
    <x v="1"/>
    <x v="0"/>
    <x v="0"/>
    <x v="1"/>
  </r>
  <r>
    <s v="Singapore"/>
    <x v="1"/>
    <s v="SG2"/>
    <m/>
    <x v="3"/>
    <x v="2"/>
    <x v="2"/>
    <x v="2"/>
    <x v="0"/>
    <x v="0"/>
    <x v="0"/>
    <m/>
    <x v="0"/>
    <x v="0"/>
    <n v="-0.15579000000000001"/>
    <m/>
    <x v="0"/>
    <x v="2"/>
    <x v="0"/>
    <x v="3"/>
    <x v="2"/>
  </r>
  <r>
    <s v="Singapore"/>
    <x v="5"/>
    <s v="SG1"/>
    <m/>
    <x v="1"/>
    <x v="4"/>
    <x v="3"/>
    <x v="5"/>
    <x v="0"/>
    <x v="0"/>
    <x v="0"/>
    <m/>
    <x v="0"/>
    <x v="0"/>
    <n v="2.2901130000000003"/>
    <m/>
    <x v="1"/>
    <x v="2"/>
    <x v="0"/>
    <x v="0"/>
    <x v="1"/>
  </r>
  <r>
    <s v="Singapore"/>
    <x v="0"/>
    <s v="SG3"/>
    <m/>
    <x v="2"/>
    <x v="0"/>
    <x v="0"/>
    <x v="0"/>
    <x v="0"/>
    <x v="0"/>
    <x v="0"/>
    <m/>
    <x v="0"/>
    <x v="0"/>
    <n v="1.0801232280000002"/>
    <m/>
    <x v="1"/>
    <x v="1"/>
    <x v="0"/>
    <x v="4"/>
    <x v="2"/>
  </r>
  <r>
    <s v="Singapore"/>
    <x v="2"/>
    <s v="SG4"/>
    <m/>
    <x v="3"/>
    <x v="1"/>
    <x v="4"/>
    <x v="1"/>
    <x v="0"/>
    <x v="0"/>
    <x v="0"/>
    <m/>
    <x v="0"/>
    <x v="0"/>
    <n v="-1.5579000000000001E-2"/>
    <m/>
    <x v="0"/>
    <x v="0"/>
    <x v="0"/>
    <x v="3"/>
    <x v="2"/>
  </r>
  <r>
    <s v="Singapore"/>
    <x v="3"/>
    <s v="SG1"/>
    <m/>
    <x v="2"/>
    <x v="2"/>
    <x v="1"/>
    <x v="5"/>
    <x v="0"/>
    <x v="0"/>
    <x v="0"/>
    <m/>
    <x v="0"/>
    <x v="0"/>
    <n v="-0.12463200000000001"/>
    <m/>
    <x v="4"/>
    <x v="0"/>
    <x v="0"/>
    <x v="3"/>
    <x v="1"/>
  </r>
  <r>
    <s v="Singapore"/>
    <x v="3"/>
    <s v="SG4"/>
    <m/>
    <x v="5"/>
    <x v="4"/>
    <x v="1"/>
    <x v="1"/>
    <x v="0"/>
    <x v="0"/>
    <x v="0"/>
    <m/>
    <x v="0"/>
    <x v="0"/>
    <n v="-0.76009941000000003"/>
    <m/>
    <x v="4"/>
    <x v="2"/>
    <x v="0"/>
    <x v="4"/>
    <x v="1"/>
  </r>
  <r>
    <s v="Singapore"/>
    <x v="3"/>
    <s v="SG3"/>
    <m/>
    <x v="3"/>
    <x v="2"/>
    <x v="4"/>
    <x v="2"/>
    <x v="0"/>
    <x v="0"/>
    <x v="0"/>
    <m/>
    <x v="0"/>
    <x v="0"/>
    <n v="-0.17136900000000002"/>
    <m/>
    <x v="4"/>
    <x v="2"/>
    <x v="0"/>
    <x v="4"/>
    <x v="2"/>
  </r>
  <r>
    <s v="Singapore"/>
    <x v="5"/>
    <s v="SG4"/>
    <m/>
    <x v="3"/>
    <x v="1"/>
    <x v="2"/>
    <x v="4"/>
    <x v="0"/>
    <x v="0"/>
    <x v="0"/>
    <m/>
    <x v="0"/>
    <x v="0"/>
    <n v="-0.92617155000000007"/>
    <m/>
    <x v="3"/>
    <x v="0"/>
    <x v="0"/>
    <x v="3"/>
    <x v="1"/>
  </r>
  <r>
    <s v="Singapore"/>
    <x v="4"/>
    <s v="SG2"/>
    <m/>
    <x v="1"/>
    <x v="1"/>
    <x v="2"/>
    <x v="2"/>
    <x v="0"/>
    <x v="0"/>
    <x v="0"/>
    <m/>
    <x v="0"/>
    <x v="0"/>
    <n v="-0.31158000000000002"/>
    <m/>
    <x v="0"/>
    <x v="3"/>
    <x v="0"/>
    <x v="3"/>
    <x v="0"/>
  </r>
  <r>
    <s v="Singapore"/>
    <x v="1"/>
    <s v="SG3"/>
    <m/>
    <x v="5"/>
    <x v="3"/>
    <x v="4"/>
    <x v="0"/>
    <x v="0"/>
    <x v="0"/>
    <x v="0"/>
    <m/>
    <x v="0"/>
    <x v="0"/>
    <n v="7.4779200000000004E-2"/>
    <m/>
    <x v="8"/>
    <x v="3"/>
    <x v="0"/>
    <x v="0"/>
    <x v="1"/>
  </r>
  <r>
    <s v="Singapore"/>
    <x v="1"/>
    <s v="SG4"/>
    <m/>
    <x v="5"/>
    <x v="3"/>
    <x v="4"/>
    <x v="0"/>
    <x v="0"/>
    <x v="0"/>
    <x v="0"/>
    <m/>
    <x v="0"/>
    <x v="0"/>
    <n v="1.9027255860000001"/>
    <m/>
    <x v="1"/>
    <x v="3"/>
    <x v="0"/>
    <x v="0"/>
    <x v="2"/>
  </r>
  <r>
    <s v="Singapore"/>
    <x v="4"/>
    <s v="SG1"/>
    <m/>
    <x v="3"/>
    <x v="2"/>
    <x v="4"/>
    <x v="4"/>
    <x v="0"/>
    <x v="0"/>
    <x v="0"/>
    <m/>
    <x v="0"/>
    <x v="0"/>
    <n v="-0.30534840000000002"/>
    <m/>
    <x v="4"/>
    <x v="0"/>
    <x v="0"/>
    <x v="4"/>
    <x v="1"/>
  </r>
  <r>
    <s v="Singapore"/>
    <x v="5"/>
    <s v="SG2"/>
    <m/>
    <x v="0"/>
    <x v="0"/>
    <x v="1"/>
    <x v="2"/>
    <x v="0"/>
    <x v="0"/>
    <x v="0"/>
    <m/>
    <x v="0"/>
    <x v="0"/>
    <n v="0.74467620000000001"/>
    <m/>
    <x v="1"/>
    <x v="0"/>
    <x v="0"/>
    <x v="5"/>
    <x v="2"/>
  </r>
  <r>
    <s v="Singapore"/>
    <x v="1"/>
    <s v="SG2"/>
    <m/>
    <x v="1"/>
    <x v="1"/>
    <x v="1"/>
    <x v="0"/>
    <x v="0"/>
    <x v="0"/>
    <x v="0"/>
    <m/>
    <x v="0"/>
    <x v="0"/>
    <n v="-0.38947500000000002"/>
    <m/>
    <x v="0"/>
    <x v="0"/>
    <x v="0"/>
    <x v="0"/>
    <x v="0"/>
  </r>
  <r>
    <s v="Singapore"/>
    <x v="0"/>
    <s v="SG2"/>
    <m/>
    <x v="5"/>
    <x v="0"/>
    <x v="0"/>
    <x v="5"/>
    <x v="0"/>
    <x v="0"/>
    <x v="0"/>
    <m/>
    <x v="0"/>
    <x v="0"/>
    <n v="4.1007199590000001"/>
    <m/>
    <x v="9"/>
    <x v="0"/>
    <x v="0"/>
    <x v="5"/>
    <x v="2"/>
  </r>
  <r>
    <s v="Singapore"/>
    <x v="1"/>
    <s v="SG2"/>
    <m/>
    <x v="0"/>
    <x v="0"/>
    <x v="3"/>
    <x v="3"/>
    <x v="0"/>
    <x v="0"/>
    <x v="0"/>
    <m/>
    <x v="0"/>
    <x v="0"/>
    <n v="8.5684500000000003"/>
    <m/>
    <x v="2"/>
    <x v="2"/>
    <x v="0"/>
    <x v="5"/>
    <x v="1"/>
  </r>
  <r>
    <s v="Singapore"/>
    <x v="4"/>
    <s v="SG1"/>
    <m/>
    <x v="2"/>
    <x v="4"/>
    <x v="1"/>
    <x v="1"/>
    <x v="0"/>
    <x v="0"/>
    <x v="0"/>
    <m/>
    <x v="0"/>
    <x v="0"/>
    <n v="-8.2880280000000006"/>
    <m/>
    <x v="4"/>
    <x v="3"/>
    <x v="0"/>
    <x v="4"/>
    <x v="2"/>
  </r>
  <r>
    <s v="Singapore"/>
    <x v="5"/>
    <s v="SG4"/>
    <m/>
    <x v="2"/>
    <x v="2"/>
    <x v="2"/>
    <x v="0"/>
    <x v="0"/>
    <x v="0"/>
    <x v="0"/>
    <m/>
    <x v="0"/>
    <x v="0"/>
    <n v="2.2901130000000003"/>
    <m/>
    <x v="1"/>
    <x v="1"/>
    <x v="0"/>
    <x v="2"/>
    <x v="1"/>
  </r>
  <r>
    <s v="Singapore"/>
    <x v="0"/>
    <s v="SG3"/>
    <m/>
    <x v="2"/>
    <x v="1"/>
    <x v="0"/>
    <x v="0"/>
    <x v="0"/>
    <x v="0"/>
    <x v="0"/>
    <m/>
    <x v="0"/>
    <x v="0"/>
    <n v="-0.15579000000000001"/>
    <m/>
    <x v="4"/>
    <x v="2"/>
    <x v="0"/>
    <x v="4"/>
    <x v="1"/>
  </r>
  <r>
    <s v="Singapore"/>
    <x v="3"/>
    <s v="SG2"/>
    <m/>
    <x v="4"/>
    <x v="1"/>
    <x v="1"/>
    <x v="4"/>
    <x v="0"/>
    <x v="0"/>
    <x v="0"/>
    <m/>
    <x v="0"/>
    <x v="0"/>
    <n v="-0.15579000000000001"/>
    <m/>
    <x v="1"/>
    <x v="2"/>
    <x v="0"/>
    <x v="3"/>
    <x v="0"/>
  </r>
  <r>
    <s v="Singapore"/>
    <x v="5"/>
    <s v="SG2"/>
    <m/>
    <x v="1"/>
    <x v="0"/>
    <x v="0"/>
    <x v="4"/>
    <x v="0"/>
    <x v="0"/>
    <x v="0"/>
    <m/>
    <x v="0"/>
    <x v="0"/>
    <n v="-0.15579000000000001"/>
    <m/>
    <x v="0"/>
    <x v="3"/>
    <x v="0"/>
    <x v="2"/>
    <x v="0"/>
  </r>
  <r>
    <s v="Singapore"/>
    <x v="0"/>
    <s v="SG3"/>
    <m/>
    <x v="5"/>
    <x v="1"/>
    <x v="0"/>
    <x v="3"/>
    <x v="0"/>
    <x v="0"/>
    <x v="0"/>
    <m/>
    <x v="0"/>
    <x v="0"/>
    <n v="-4.6737000000000001E-2"/>
    <m/>
    <x v="0"/>
    <x v="1"/>
    <x v="0"/>
    <x v="0"/>
    <x v="0"/>
  </r>
  <r>
    <s v="Singapore"/>
    <x v="1"/>
    <s v="SG2"/>
    <m/>
    <x v="3"/>
    <x v="0"/>
    <x v="4"/>
    <x v="4"/>
    <x v="0"/>
    <x v="0"/>
    <x v="0"/>
    <m/>
    <x v="0"/>
    <x v="0"/>
    <n v="1.152846"/>
    <m/>
    <x v="1"/>
    <x v="3"/>
    <x v="0"/>
    <x v="1"/>
    <x v="0"/>
  </r>
  <r>
    <s v="Singapore"/>
    <x v="2"/>
    <s v="SG2"/>
    <m/>
    <x v="1"/>
    <x v="3"/>
    <x v="4"/>
    <x v="3"/>
    <x v="0"/>
    <x v="0"/>
    <x v="0"/>
    <m/>
    <x v="0"/>
    <x v="0"/>
    <n v="-0.12463200000000001"/>
    <m/>
    <x v="0"/>
    <x v="2"/>
    <x v="0"/>
    <x v="3"/>
    <x v="1"/>
  </r>
  <r>
    <s v="Singapore"/>
    <x v="0"/>
    <s v="SG4"/>
    <m/>
    <x v="0"/>
    <x v="4"/>
    <x v="3"/>
    <x v="4"/>
    <x v="0"/>
    <x v="0"/>
    <x v="0"/>
    <m/>
    <x v="0"/>
    <x v="0"/>
    <n v="-0.56084400000000001"/>
    <m/>
    <x v="0"/>
    <x v="2"/>
    <x v="0"/>
    <x v="5"/>
    <x v="2"/>
  </r>
  <r>
    <s v="Singapore"/>
    <x v="3"/>
    <s v="SG1"/>
    <m/>
    <x v="0"/>
    <x v="3"/>
    <x v="3"/>
    <x v="1"/>
    <x v="0"/>
    <x v="0"/>
    <x v="0"/>
    <m/>
    <x v="0"/>
    <x v="0"/>
    <n v="1.5579000000000001E-2"/>
    <m/>
    <x v="0"/>
    <x v="3"/>
    <x v="0"/>
    <x v="0"/>
    <x v="2"/>
  </r>
  <r>
    <s v="Singapore"/>
    <x v="4"/>
    <s v="SG1"/>
    <m/>
    <x v="2"/>
    <x v="3"/>
    <x v="0"/>
    <x v="3"/>
    <x v="0"/>
    <x v="0"/>
    <x v="0"/>
    <m/>
    <x v="0"/>
    <x v="0"/>
    <n v="0.70105499999999998"/>
    <m/>
    <x v="1"/>
    <x v="2"/>
    <x v="0"/>
    <x v="0"/>
    <x v="2"/>
  </r>
  <r>
    <s v="Singapore"/>
    <x v="4"/>
    <s v="SG4"/>
    <m/>
    <x v="2"/>
    <x v="4"/>
    <x v="3"/>
    <x v="3"/>
    <x v="0"/>
    <x v="0"/>
    <x v="0"/>
    <m/>
    <x v="0"/>
    <x v="0"/>
    <n v="-0.13631625"/>
    <m/>
    <x v="6"/>
    <x v="2"/>
    <x v="0"/>
    <x v="2"/>
    <x v="1"/>
  </r>
  <r>
    <s v="Singapore"/>
    <x v="1"/>
    <s v="SG1"/>
    <m/>
    <x v="0"/>
    <x v="2"/>
    <x v="4"/>
    <x v="3"/>
    <x v="0"/>
    <x v="0"/>
    <x v="0"/>
    <m/>
    <x v="0"/>
    <x v="0"/>
    <n v="21.248836839000003"/>
    <m/>
    <x v="7"/>
    <x v="0"/>
    <x v="0"/>
    <x v="3"/>
    <x v="2"/>
  </r>
  <r>
    <s v="Singapore"/>
    <x v="3"/>
    <s v="SG3"/>
    <m/>
    <x v="2"/>
    <x v="3"/>
    <x v="0"/>
    <x v="2"/>
    <x v="0"/>
    <x v="0"/>
    <x v="0"/>
    <m/>
    <x v="0"/>
    <x v="0"/>
    <n v="-0.21810600000000002"/>
    <m/>
    <x v="1"/>
    <x v="3"/>
    <x v="0"/>
    <x v="0"/>
    <x v="2"/>
  </r>
  <r>
    <s v="Singapore"/>
    <x v="4"/>
    <s v="SG2"/>
    <m/>
    <x v="4"/>
    <x v="1"/>
    <x v="2"/>
    <x v="1"/>
    <x v="0"/>
    <x v="0"/>
    <x v="0"/>
    <m/>
    <x v="0"/>
    <x v="0"/>
    <n v="-0.1838322"/>
    <m/>
    <x v="4"/>
    <x v="3"/>
    <x v="0"/>
    <x v="4"/>
    <x v="1"/>
  </r>
  <r>
    <s v="Singapore"/>
    <x v="1"/>
    <s v="SG3"/>
    <m/>
    <x v="4"/>
    <x v="1"/>
    <x v="3"/>
    <x v="4"/>
    <x v="0"/>
    <x v="0"/>
    <x v="0"/>
    <m/>
    <x v="0"/>
    <x v="0"/>
    <n v="-4.6737000000000001E-2"/>
    <m/>
    <x v="0"/>
    <x v="0"/>
    <x v="0"/>
    <x v="0"/>
    <x v="2"/>
  </r>
  <r>
    <s v="Singapore"/>
    <x v="0"/>
    <s v="SG2"/>
    <m/>
    <x v="0"/>
    <x v="3"/>
    <x v="2"/>
    <x v="5"/>
    <x v="0"/>
    <x v="0"/>
    <x v="0"/>
    <m/>
    <x v="0"/>
    <x v="0"/>
    <n v="-0.186948"/>
    <m/>
    <x v="0"/>
    <x v="0"/>
    <x v="0"/>
    <x v="2"/>
    <x v="0"/>
  </r>
  <r>
    <s v="Singapore"/>
    <x v="1"/>
    <s v="SG4"/>
    <m/>
    <x v="5"/>
    <x v="2"/>
    <x v="3"/>
    <x v="3"/>
    <x v="0"/>
    <x v="0"/>
    <x v="0"/>
    <m/>
    <x v="0"/>
    <x v="0"/>
    <n v="0.53747549999999999"/>
    <m/>
    <x v="3"/>
    <x v="3"/>
    <x v="0"/>
    <x v="1"/>
    <x v="1"/>
  </r>
  <r>
    <s v="Singapore"/>
    <x v="0"/>
    <s v="SG1"/>
    <m/>
    <x v="2"/>
    <x v="0"/>
    <x v="1"/>
    <x v="2"/>
    <x v="0"/>
    <x v="0"/>
    <x v="0"/>
    <m/>
    <x v="0"/>
    <x v="0"/>
    <n v="-0.31158000000000002"/>
    <m/>
    <x v="0"/>
    <x v="2"/>
    <x v="0"/>
    <x v="0"/>
    <x v="2"/>
  </r>
  <r>
    <s v="Singapore"/>
    <x v="2"/>
    <s v="SG1"/>
    <m/>
    <x v="0"/>
    <x v="4"/>
    <x v="3"/>
    <x v="0"/>
    <x v="0"/>
    <x v="0"/>
    <x v="0"/>
    <m/>
    <x v="0"/>
    <x v="0"/>
    <n v="-0.15579000000000001"/>
    <m/>
    <x v="4"/>
    <x v="1"/>
    <x v="0"/>
    <x v="2"/>
    <x v="0"/>
  </r>
  <r>
    <s v="Singapore"/>
    <x v="2"/>
    <s v="SG3"/>
    <m/>
    <x v="2"/>
    <x v="0"/>
    <x v="4"/>
    <x v="4"/>
    <x v="0"/>
    <x v="0"/>
    <x v="0"/>
    <m/>
    <x v="0"/>
    <x v="0"/>
    <n v="-0.233685"/>
    <m/>
    <x v="0"/>
    <x v="0"/>
    <x v="0"/>
    <x v="4"/>
    <x v="0"/>
  </r>
  <r>
    <s v="Singapore"/>
    <x v="5"/>
    <s v="SG3"/>
    <m/>
    <x v="5"/>
    <x v="1"/>
    <x v="0"/>
    <x v="2"/>
    <x v="0"/>
    <x v="0"/>
    <x v="0"/>
    <m/>
    <x v="0"/>
    <x v="0"/>
    <n v="-0.10905300000000001"/>
    <m/>
    <x v="4"/>
    <x v="2"/>
    <x v="0"/>
    <x v="2"/>
    <x v="0"/>
  </r>
  <r>
    <s v="Singapore"/>
    <x v="4"/>
    <s v="SG2"/>
    <m/>
    <x v="4"/>
    <x v="1"/>
    <x v="4"/>
    <x v="0"/>
    <x v="0"/>
    <x v="0"/>
    <x v="0"/>
    <m/>
    <x v="0"/>
    <x v="0"/>
    <n v="-2.96001"/>
    <m/>
    <x v="4"/>
    <x v="2"/>
    <x v="0"/>
    <x v="3"/>
    <x v="1"/>
  </r>
  <r>
    <s v="Singapore"/>
    <x v="0"/>
    <s v="SG4"/>
    <m/>
    <x v="3"/>
    <x v="3"/>
    <x v="3"/>
    <x v="3"/>
    <x v="0"/>
    <x v="0"/>
    <x v="0"/>
    <m/>
    <x v="0"/>
    <x v="0"/>
    <n v="0.545265"/>
    <m/>
    <x v="0"/>
    <x v="1"/>
    <x v="0"/>
    <x v="0"/>
    <x v="1"/>
  </r>
  <r>
    <s v="Singapore"/>
    <x v="4"/>
    <s v="SG2"/>
    <m/>
    <x v="5"/>
    <x v="0"/>
    <x v="0"/>
    <x v="5"/>
    <x v="0"/>
    <x v="0"/>
    <x v="0"/>
    <m/>
    <x v="0"/>
    <x v="0"/>
    <n v="-0.14055373800000001"/>
    <m/>
    <x v="3"/>
    <x v="2"/>
    <x v="0"/>
    <x v="0"/>
    <x v="0"/>
  </r>
  <r>
    <s v="Singapore"/>
    <x v="1"/>
    <s v="SG1"/>
    <m/>
    <x v="1"/>
    <x v="1"/>
    <x v="1"/>
    <x v="2"/>
    <x v="0"/>
    <x v="0"/>
    <x v="0"/>
    <m/>
    <x v="0"/>
    <x v="0"/>
    <n v="-0.31158000000000002"/>
    <m/>
    <x v="0"/>
    <x v="3"/>
    <x v="0"/>
    <x v="1"/>
    <x v="2"/>
  </r>
  <r>
    <s v="Singapore"/>
    <x v="2"/>
    <s v="SG1"/>
    <m/>
    <x v="4"/>
    <x v="2"/>
    <x v="0"/>
    <x v="5"/>
    <x v="0"/>
    <x v="0"/>
    <x v="0"/>
    <m/>
    <x v="0"/>
    <x v="0"/>
    <n v="-0.31158000000000002"/>
    <m/>
    <x v="0"/>
    <x v="1"/>
    <x v="0"/>
    <x v="1"/>
    <x v="0"/>
  </r>
  <r>
    <s v="Singapore"/>
    <x v="4"/>
    <s v="SG1"/>
    <m/>
    <x v="1"/>
    <x v="3"/>
    <x v="0"/>
    <x v="2"/>
    <x v="0"/>
    <x v="0"/>
    <x v="0"/>
    <m/>
    <x v="0"/>
    <x v="0"/>
    <n v="-0.15579000000000001"/>
    <m/>
    <x v="0"/>
    <x v="0"/>
    <x v="0"/>
    <x v="5"/>
    <x v="1"/>
  </r>
  <r>
    <s v="Singapore"/>
    <x v="5"/>
    <s v="SG1"/>
    <m/>
    <x v="4"/>
    <x v="2"/>
    <x v="1"/>
    <x v="1"/>
    <x v="0"/>
    <x v="0"/>
    <x v="0"/>
    <m/>
    <x v="0"/>
    <x v="0"/>
    <n v="-0.82880280000000006"/>
    <m/>
    <x v="3"/>
    <x v="3"/>
    <x v="0"/>
    <x v="4"/>
    <x v="1"/>
  </r>
  <r>
    <s v="Singapore"/>
    <x v="3"/>
    <s v="SG4"/>
    <m/>
    <x v="4"/>
    <x v="1"/>
    <x v="4"/>
    <x v="1"/>
    <x v="0"/>
    <x v="0"/>
    <x v="0"/>
    <m/>
    <x v="0"/>
    <x v="0"/>
    <n v="-7.7895000000000004E-3"/>
    <m/>
    <x v="0"/>
    <x v="3"/>
    <x v="0"/>
    <x v="0"/>
    <x v="0"/>
  </r>
  <r>
    <s v="Singapore"/>
    <x v="0"/>
    <s v="SG1"/>
    <m/>
    <x v="5"/>
    <x v="3"/>
    <x v="4"/>
    <x v="5"/>
    <x v="0"/>
    <x v="0"/>
    <x v="0"/>
    <m/>
    <x v="0"/>
    <x v="0"/>
    <n v="-2.3368500000000001"/>
    <m/>
    <x v="4"/>
    <x v="1"/>
    <x v="0"/>
    <x v="3"/>
    <x v="0"/>
  </r>
  <r>
    <s v="Singapore"/>
    <x v="0"/>
    <s v="SG3"/>
    <m/>
    <x v="5"/>
    <x v="1"/>
    <x v="2"/>
    <x v="4"/>
    <x v="0"/>
    <x v="0"/>
    <x v="0"/>
    <m/>
    <x v="0"/>
    <x v="0"/>
    <n v="-0.24926400000000001"/>
    <m/>
    <x v="0"/>
    <x v="0"/>
    <x v="0"/>
    <x v="0"/>
    <x v="1"/>
  </r>
  <r>
    <s v="Singapore"/>
    <x v="2"/>
    <s v="SG3"/>
    <m/>
    <x v="2"/>
    <x v="0"/>
    <x v="1"/>
    <x v="2"/>
    <x v="0"/>
    <x v="0"/>
    <x v="0"/>
    <m/>
    <x v="0"/>
    <x v="0"/>
    <n v="0.41284350000000003"/>
    <m/>
    <x v="4"/>
    <x v="1"/>
    <x v="0"/>
    <x v="3"/>
    <x v="1"/>
  </r>
  <r>
    <s v="Singapore"/>
    <x v="3"/>
    <s v="SG1"/>
    <m/>
    <x v="5"/>
    <x v="0"/>
    <x v="1"/>
    <x v="4"/>
    <x v="0"/>
    <x v="0"/>
    <x v="0"/>
    <m/>
    <x v="0"/>
    <x v="0"/>
    <n v="-0.46737000000000001"/>
    <m/>
    <x v="4"/>
    <x v="3"/>
    <x v="0"/>
    <x v="1"/>
    <x v="0"/>
  </r>
  <r>
    <s v="Singapore"/>
    <x v="2"/>
    <s v="SG3"/>
    <m/>
    <x v="5"/>
    <x v="2"/>
    <x v="1"/>
    <x v="0"/>
    <x v="0"/>
    <x v="0"/>
    <x v="0"/>
    <m/>
    <x v="0"/>
    <x v="0"/>
    <n v="18.9627588"/>
    <m/>
    <x v="2"/>
    <x v="2"/>
    <x v="0"/>
    <x v="5"/>
    <x v="0"/>
  </r>
  <r>
    <s v="Singapore"/>
    <x v="1"/>
    <s v="SG1"/>
    <m/>
    <x v="3"/>
    <x v="4"/>
    <x v="0"/>
    <x v="3"/>
    <x v="0"/>
    <x v="0"/>
    <x v="0"/>
    <m/>
    <x v="0"/>
    <x v="0"/>
    <n v="-1.8694800000000001E-2"/>
    <m/>
    <x v="6"/>
    <x v="0"/>
    <x v="0"/>
    <x v="5"/>
    <x v="1"/>
  </r>
  <r>
    <s v="Singapore"/>
    <x v="1"/>
    <s v="SG3"/>
    <m/>
    <x v="1"/>
    <x v="2"/>
    <x v="0"/>
    <x v="3"/>
    <x v="0"/>
    <x v="0"/>
    <x v="0"/>
    <m/>
    <x v="0"/>
    <x v="0"/>
    <n v="-20.277797769000003"/>
    <m/>
    <x v="7"/>
    <x v="0"/>
    <x v="0"/>
    <x v="1"/>
    <x v="1"/>
  </r>
  <r>
    <s v="Singapore"/>
    <x v="5"/>
    <s v="SG1"/>
    <m/>
    <x v="2"/>
    <x v="4"/>
    <x v="3"/>
    <x v="3"/>
    <x v="0"/>
    <x v="0"/>
    <x v="0"/>
    <m/>
    <x v="0"/>
    <x v="0"/>
    <n v="-1.8694800000000001E-2"/>
    <m/>
    <x v="6"/>
    <x v="1"/>
    <x v="0"/>
    <x v="3"/>
    <x v="1"/>
  </r>
  <r>
    <s v="Singapore"/>
    <x v="0"/>
    <s v="SG1"/>
    <m/>
    <x v="0"/>
    <x v="1"/>
    <x v="1"/>
    <x v="4"/>
    <x v="0"/>
    <x v="0"/>
    <x v="0"/>
    <m/>
    <x v="0"/>
    <x v="0"/>
    <n v="15.579000000000001"/>
    <m/>
    <x v="5"/>
    <x v="0"/>
    <x v="0"/>
    <x v="4"/>
    <x v="2"/>
  </r>
  <r>
    <s v="Singapore"/>
    <x v="0"/>
    <s v="SG1"/>
    <m/>
    <x v="1"/>
    <x v="0"/>
    <x v="3"/>
    <x v="0"/>
    <x v="0"/>
    <x v="0"/>
    <x v="0"/>
    <m/>
    <x v="0"/>
    <x v="0"/>
    <n v="2.6484300000000003"/>
    <m/>
    <x v="1"/>
    <x v="3"/>
    <x v="0"/>
    <x v="1"/>
    <x v="1"/>
  </r>
  <r>
    <s v="Singapore"/>
    <x v="1"/>
    <s v="SG2"/>
    <m/>
    <x v="2"/>
    <x v="1"/>
    <x v="0"/>
    <x v="0"/>
    <x v="0"/>
    <x v="0"/>
    <x v="0"/>
    <m/>
    <x v="0"/>
    <x v="0"/>
    <n v="0.34974854999999999"/>
    <m/>
    <x v="4"/>
    <x v="0"/>
    <x v="0"/>
    <x v="4"/>
    <x v="2"/>
  </r>
  <r>
    <s v="Singapore"/>
    <x v="2"/>
    <s v="SG3"/>
    <m/>
    <x v="1"/>
    <x v="2"/>
    <x v="1"/>
    <x v="4"/>
    <x v="0"/>
    <x v="0"/>
    <x v="0"/>
    <m/>
    <x v="0"/>
    <x v="0"/>
    <n v="-8.8800299999999999E-2"/>
    <m/>
    <x v="3"/>
    <x v="0"/>
    <x v="0"/>
    <x v="2"/>
    <x v="0"/>
  </r>
  <r>
    <s v="Singapore"/>
    <x v="5"/>
    <s v="SG4"/>
    <m/>
    <x v="3"/>
    <x v="4"/>
    <x v="0"/>
    <x v="0"/>
    <x v="0"/>
    <x v="0"/>
    <x v="0"/>
    <m/>
    <x v="0"/>
    <x v="0"/>
    <n v="1.059372"/>
    <m/>
    <x v="1"/>
    <x v="1"/>
    <x v="0"/>
    <x v="3"/>
    <x v="0"/>
  </r>
  <r>
    <s v="Singapore"/>
    <x v="3"/>
    <s v="SG3"/>
    <m/>
    <x v="4"/>
    <x v="1"/>
    <x v="3"/>
    <x v="4"/>
    <x v="0"/>
    <x v="0"/>
    <x v="0"/>
    <m/>
    <x v="0"/>
    <x v="0"/>
    <n v="-0.24926400000000001"/>
    <m/>
    <x v="0"/>
    <x v="3"/>
    <x v="0"/>
    <x v="2"/>
    <x v="1"/>
  </r>
  <r>
    <s v="Singapore"/>
    <x v="3"/>
    <s v="SG1"/>
    <m/>
    <x v="4"/>
    <x v="4"/>
    <x v="0"/>
    <x v="3"/>
    <x v="0"/>
    <x v="0"/>
    <x v="0"/>
    <m/>
    <x v="0"/>
    <x v="0"/>
    <n v="-1.5579000000000001E-2"/>
    <m/>
    <x v="0"/>
    <x v="1"/>
    <x v="0"/>
    <x v="4"/>
    <x v="1"/>
  </r>
  <r>
    <s v="Singapore"/>
    <x v="0"/>
    <s v="SG4"/>
    <m/>
    <x v="4"/>
    <x v="3"/>
    <x v="0"/>
    <x v="3"/>
    <x v="0"/>
    <x v="0"/>
    <x v="0"/>
    <m/>
    <x v="0"/>
    <x v="0"/>
    <n v="-3.1158000000000002E-2"/>
    <m/>
    <x v="0"/>
    <x v="2"/>
    <x v="0"/>
    <x v="1"/>
    <x v="1"/>
  </r>
  <r>
    <s v="Singapore"/>
    <x v="2"/>
    <s v="SG2"/>
    <m/>
    <x v="4"/>
    <x v="3"/>
    <x v="0"/>
    <x v="5"/>
    <x v="0"/>
    <x v="0"/>
    <x v="0"/>
    <m/>
    <x v="0"/>
    <x v="0"/>
    <n v="-0.24926400000000001"/>
    <m/>
    <x v="0"/>
    <x v="0"/>
    <x v="0"/>
    <x v="3"/>
    <x v="1"/>
  </r>
  <r>
    <s v="Singapore"/>
    <x v="5"/>
    <s v="SG1"/>
    <m/>
    <x v="0"/>
    <x v="3"/>
    <x v="2"/>
    <x v="1"/>
    <x v="0"/>
    <x v="0"/>
    <x v="0"/>
    <m/>
    <x v="0"/>
    <x v="0"/>
    <n v="-0.12463200000000001"/>
    <m/>
    <x v="4"/>
    <x v="2"/>
    <x v="0"/>
    <x v="1"/>
    <x v="2"/>
  </r>
  <r>
    <s v="Singapore"/>
    <x v="1"/>
    <s v="SG4"/>
    <m/>
    <x v="4"/>
    <x v="3"/>
    <x v="0"/>
    <x v="1"/>
    <x v="0"/>
    <x v="0"/>
    <x v="0"/>
    <m/>
    <x v="0"/>
    <x v="0"/>
    <n v="-101.964555"/>
    <m/>
    <x v="1"/>
    <x v="3"/>
    <x v="0"/>
    <x v="5"/>
    <x v="0"/>
  </r>
  <r>
    <s v="Singapore"/>
    <x v="0"/>
    <s v="SG1"/>
    <m/>
    <x v="1"/>
    <x v="1"/>
    <x v="4"/>
    <x v="2"/>
    <x v="0"/>
    <x v="0"/>
    <x v="0"/>
    <m/>
    <x v="0"/>
    <x v="0"/>
    <n v="502.26696000000004"/>
    <m/>
    <x v="5"/>
    <x v="1"/>
    <x v="0"/>
    <x v="5"/>
    <x v="0"/>
  </r>
  <r>
    <s v="Singapore"/>
    <x v="3"/>
    <s v="SG3"/>
    <m/>
    <x v="4"/>
    <x v="0"/>
    <x v="3"/>
    <x v="1"/>
    <x v="0"/>
    <x v="0"/>
    <x v="0"/>
    <m/>
    <x v="0"/>
    <x v="0"/>
    <n v="-0.7290972"/>
    <m/>
    <x v="2"/>
    <x v="0"/>
    <x v="0"/>
    <x v="0"/>
    <x v="2"/>
  </r>
  <r>
    <s v="Singapore"/>
    <x v="0"/>
    <s v="SG2"/>
    <m/>
    <x v="3"/>
    <x v="2"/>
    <x v="0"/>
    <x v="5"/>
    <x v="0"/>
    <x v="0"/>
    <x v="0"/>
    <m/>
    <x v="0"/>
    <x v="0"/>
    <n v="-3.1158000000000002E-2"/>
    <m/>
    <x v="0"/>
    <x v="3"/>
    <x v="0"/>
    <x v="4"/>
    <x v="0"/>
  </r>
  <r>
    <s v="Singapore"/>
    <x v="2"/>
    <s v="SG2"/>
    <m/>
    <x v="1"/>
    <x v="0"/>
    <x v="0"/>
    <x v="0"/>
    <x v="0"/>
    <x v="0"/>
    <x v="0"/>
    <m/>
    <x v="0"/>
    <x v="0"/>
    <n v="-0.77895000000000003"/>
    <m/>
    <x v="4"/>
    <x v="2"/>
    <x v="0"/>
    <x v="2"/>
    <x v="2"/>
  </r>
  <r>
    <s v="Singapore"/>
    <x v="0"/>
    <s v="SG2"/>
    <m/>
    <x v="4"/>
    <x v="3"/>
    <x v="3"/>
    <x v="1"/>
    <x v="0"/>
    <x v="0"/>
    <x v="0"/>
    <m/>
    <x v="0"/>
    <x v="0"/>
    <n v="-7.7895000000000004E-3"/>
    <m/>
    <x v="0"/>
    <x v="3"/>
    <x v="0"/>
    <x v="0"/>
    <x v="2"/>
  </r>
  <r>
    <s v="Singapore"/>
    <x v="0"/>
    <s v="SG4"/>
    <m/>
    <x v="2"/>
    <x v="0"/>
    <x v="1"/>
    <x v="0"/>
    <x v="0"/>
    <x v="0"/>
    <x v="0"/>
    <m/>
    <x v="0"/>
    <x v="0"/>
    <n v="3.9288835889999998"/>
    <m/>
    <x v="0"/>
    <x v="0"/>
    <x v="0"/>
    <x v="1"/>
    <x v="2"/>
  </r>
  <r>
    <s v="Singapore"/>
    <x v="0"/>
    <s v="SG2"/>
    <m/>
    <x v="4"/>
    <x v="4"/>
    <x v="1"/>
    <x v="2"/>
    <x v="0"/>
    <x v="0"/>
    <x v="0"/>
    <m/>
    <x v="0"/>
    <x v="0"/>
    <n v="-0.17136900000000002"/>
    <m/>
    <x v="8"/>
    <x v="0"/>
    <x v="0"/>
    <x v="2"/>
    <x v="2"/>
  </r>
  <r>
    <s v="Singapore"/>
    <x v="0"/>
    <s v="SG3"/>
    <m/>
    <x v="5"/>
    <x v="2"/>
    <x v="3"/>
    <x v="0"/>
    <x v="0"/>
    <x v="0"/>
    <x v="0"/>
    <m/>
    <x v="0"/>
    <x v="0"/>
    <n v="2.96001"/>
    <m/>
    <x v="1"/>
    <x v="3"/>
    <x v="0"/>
    <x v="3"/>
    <x v="0"/>
  </r>
  <r>
    <s v="Singapore"/>
    <x v="4"/>
    <s v="SG2"/>
    <m/>
    <x v="1"/>
    <x v="4"/>
    <x v="3"/>
    <x v="3"/>
    <x v="0"/>
    <x v="0"/>
    <x v="0"/>
    <m/>
    <x v="0"/>
    <x v="0"/>
    <n v="2.5269138E-2"/>
    <m/>
    <x v="8"/>
    <x v="3"/>
    <x v="0"/>
    <x v="2"/>
    <x v="1"/>
  </r>
  <r>
    <s v="Singapore"/>
    <x v="4"/>
    <s v="SG1"/>
    <m/>
    <x v="0"/>
    <x v="3"/>
    <x v="4"/>
    <x v="2"/>
    <x v="0"/>
    <x v="0"/>
    <x v="0"/>
    <m/>
    <x v="0"/>
    <x v="0"/>
    <n v="0.15968475000000001"/>
    <m/>
    <x v="7"/>
    <x v="0"/>
    <x v="0"/>
    <x v="5"/>
    <x v="0"/>
  </r>
  <r>
    <s v="Singapore"/>
    <x v="2"/>
    <s v="SG2"/>
    <m/>
    <x v="5"/>
    <x v="4"/>
    <x v="0"/>
    <x v="4"/>
    <x v="0"/>
    <x v="0"/>
    <x v="0"/>
    <m/>
    <x v="0"/>
    <x v="0"/>
    <n v="-0.12463200000000001"/>
    <m/>
    <x v="4"/>
    <x v="3"/>
    <x v="0"/>
    <x v="5"/>
    <x v="1"/>
  </r>
  <r>
    <s v="Singapore"/>
    <x v="4"/>
    <s v="SG1"/>
    <m/>
    <x v="1"/>
    <x v="1"/>
    <x v="2"/>
    <x v="3"/>
    <x v="0"/>
    <x v="0"/>
    <x v="0"/>
    <m/>
    <x v="0"/>
    <x v="0"/>
    <n v="0.15579000000000001"/>
    <m/>
    <x v="1"/>
    <x v="1"/>
    <x v="0"/>
    <x v="5"/>
    <x v="2"/>
  </r>
  <r>
    <s v="Singapore"/>
    <x v="5"/>
    <s v="SG4"/>
    <m/>
    <x v="2"/>
    <x v="2"/>
    <x v="2"/>
    <x v="3"/>
    <x v="0"/>
    <x v="0"/>
    <x v="0"/>
    <m/>
    <x v="0"/>
    <x v="0"/>
    <n v="-0.545265"/>
    <m/>
    <x v="4"/>
    <x v="1"/>
    <x v="0"/>
    <x v="4"/>
    <x v="1"/>
  </r>
  <r>
    <s v="Singapore"/>
    <x v="1"/>
    <s v="SG1"/>
    <m/>
    <x v="5"/>
    <x v="3"/>
    <x v="4"/>
    <x v="3"/>
    <x v="0"/>
    <x v="0"/>
    <x v="0"/>
    <m/>
    <x v="0"/>
    <x v="0"/>
    <n v="1.0801232280000002"/>
    <m/>
    <x v="1"/>
    <x v="1"/>
    <x v="0"/>
    <x v="5"/>
    <x v="2"/>
  </r>
  <r>
    <s v="Singapore"/>
    <x v="1"/>
    <s v="SG2"/>
    <m/>
    <x v="0"/>
    <x v="3"/>
    <x v="3"/>
    <x v="3"/>
    <x v="0"/>
    <x v="0"/>
    <x v="0"/>
    <m/>
    <x v="0"/>
    <x v="0"/>
    <n v="0.1838322"/>
    <m/>
    <x v="4"/>
    <x v="0"/>
    <x v="0"/>
    <x v="0"/>
    <x v="1"/>
  </r>
  <r>
    <s v="Singapore"/>
    <x v="4"/>
    <s v="SG3"/>
    <m/>
    <x v="4"/>
    <x v="2"/>
    <x v="1"/>
    <x v="1"/>
    <x v="0"/>
    <x v="0"/>
    <x v="0"/>
    <m/>
    <x v="0"/>
    <x v="0"/>
    <n v="-0.18373872600000002"/>
    <m/>
    <x v="0"/>
    <x v="3"/>
    <x v="0"/>
    <x v="2"/>
    <x v="1"/>
  </r>
  <r>
    <s v="Singapore"/>
    <x v="0"/>
    <s v="SG4"/>
    <m/>
    <x v="5"/>
    <x v="2"/>
    <x v="1"/>
    <x v="1"/>
    <x v="0"/>
    <x v="0"/>
    <x v="0"/>
    <m/>
    <x v="0"/>
    <x v="0"/>
    <n v="-14.644260000000001"/>
    <m/>
    <x v="0"/>
    <x v="0"/>
    <x v="0"/>
    <x v="4"/>
    <x v="2"/>
  </r>
  <r>
    <s v="Singapore"/>
    <x v="4"/>
    <s v="SG2"/>
    <m/>
    <x v="0"/>
    <x v="0"/>
    <x v="0"/>
    <x v="1"/>
    <x v="0"/>
    <x v="0"/>
    <x v="0"/>
    <m/>
    <x v="0"/>
    <x v="0"/>
    <n v="0.16202160000000002"/>
    <m/>
    <x v="2"/>
    <x v="3"/>
    <x v="0"/>
    <x v="4"/>
    <x v="0"/>
  </r>
  <r>
    <s v="Singapore"/>
    <x v="0"/>
    <s v="SG1"/>
    <m/>
    <x v="5"/>
    <x v="3"/>
    <x v="3"/>
    <x v="1"/>
    <x v="0"/>
    <x v="0"/>
    <x v="0"/>
    <m/>
    <x v="0"/>
    <x v="0"/>
    <n v="0.279082206"/>
    <m/>
    <x v="8"/>
    <x v="0"/>
    <x v="0"/>
    <x v="3"/>
    <x v="2"/>
  </r>
  <r>
    <s v="Singapore"/>
    <x v="3"/>
    <s v="SG4"/>
    <m/>
    <x v="5"/>
    <x v="2"/>
    <x v="0"/>
    <x v="3"/>
    <x v="0"/>
    <x v="0"/>
    <x v="0"/>
    <m/>
    <x v="0"/>
    <x v="0"/>
    <n v="-6.2316000000000003E-3"/>
    <m/>
    <x v="6"/>
    <x v="0"/>
    <x v="0"/>
    <x v="3"/>
    <x v="0"/>
  </r>
  <r>
    <s v="Singapore"/>
    <x v="1"/>
    <s v="SG4"/>
    <m/>
    <x v="2"/>
    <x v="4"/>
    <x v="4"/>
    <x v="0"/>
    <x v="0"/>
    <x v="0"/>
    <x v="0"/>
    <m/>
    <x v="0"/>
    <x v="0"/>
    <n v="-0.10905300000000001"/>
    <m/>
    <x v="4"/>
    <x v="3"/>
    <x v="0"/>
    <x v="2"/>
    <x v="2"/>
  </r>
  <r>
    <s v="Singapore"/>
    <x v="1"/>
    <s v="SG3"/>
    <m/>
    <x v="0"/>
    <x v="1"/>
    <x v="1"/>
    <x v="5"/>
    <x v="0"/>
    <x v="0"/>
    <x v="0"/>
    <m/>
    <x v="0"/>
    <x v="0"/>
    <n v="-0.62316000000000005"/>
    <m/>
    <x v="0"/>
    <x v="1"/>
    <x v="0"/>
    <x v="5"/>
    <x v="0"/>
  </r>
  <r>
    <s v="Singapore"/>
    <x v="1"/>
    <s v="SG2"/>
    <m/>
    <x v="5"/>
    <x v="2"/>
    <x v="2"/>
    <x v="5"/>
    <x v="0"/>
    <x v="0"/>
    <x v="0"/>
    <m/>
    <x v="0"/>
    <x v="0"/>
    <n v="-0.60758100000000004"/>
    <m/>
    <x v="4"/>
    <x v="3"/>
    <x v="0"/>
    <x v="2"/>
    <x v="2"/>
  </r>
  <r>
    <s v="Singapore"/>
    <x v="2"/>
    <s v="SG2"/>
    <m/>
    <x v="0"/>
    <x v="3"/>
    <x v="4"/>
    <x v="1"/>
    <x v="0"/>
    <x v="0"/>
    <x v="0"/>
    <m/>
    <x v="0"/>
    <x v="0"/>
    <n v="-9.3474000000000005E-3"/>
    <m/>
    <x v="3"/>
    <x v="0"/>
    <x v="0"/>
    <x v="2"/>
    <x v="1"/>
  </r>
  <r>
    <s v="Singapore"/>
    <x v="1"/>
    <s v="SG1"/>
    <m/>
    <x v="3"/>
    <x v="3"/>
    <x v="0"/>
    <x v="0"/>
    <x v="0"/>
    <x v="0"/>
    <x v="0"/>
    <m/>
    <x v="0"/>
    <x v="0"/>
    <n v="-2.775180744"/>
    <m/>
    <x v="4"/>
    <x v="1"/>
    <x v="0"/>
    <x v="4"/>
    <x v="1"/>
  </r>
  <r>
    <s v="Singapore"/>
    <x v="3"/>
    <s v="SG2"/>
    <m/>
    <x v="1"/>
    <x v="1"/>
    <x v="0"/>
    <x v="1"/>
    <x v="0"/>
    <x v="0"/>
    <x v="0"/>
    <m/>
    <x v="0"/>
    <x v="0"/>
    <n v="-0.21810600000000002"/>
    <m/>
    <x v="4"/>
    <x v="2"/>
    <x v="0"/>
    <x v="3"/>
    <x v="1"/>
  </r>
  <r>
    <s v="Singapore"/>
    <x v="1"/>
    <s v="SG4"/>
    <m/>
    <x v="5"/>
    <x v="3"/>
    <x v="3"/>
    <x v="4"/>
    <x v="0"/>
    <x v="0"/>
    <x v="0"/>
    <m/>
    <x v="0"/>
    <x v="0"/>
    <n v="-1.480005"/>
    <m/>
    <x v="4"/>
    <x v="3"/>
    <x v="0"/>
    <x v="5"/>
    <x v="2"/>
  </r>
  <r>
    <s v="Singapore"/>
    <x v="3"/>
    <s v="SG2"/>
    <m/>
    <x v="1"/>
    <x v="1"/>
    <x v="1"/>
    <x v="1"/>
    <x v="0"/>
    <x v="0"/>
    <x v="0"/>
    <m/>
    <x v="0"/>
    <x v="0"/>
    <n v="0.12463200000000001"/>
    <m/>
    <x v="0"/>
    <x v="2"/>
    <x v="0"/>
    <x v="3"/>
    <x v="2"/>
  </r>
  <r>
    <s v="Singapore"/>
    <x v="1"/>
    <s v="SG3"/>
    <m/>
    <x v="2"/>
    <x v="4"/>
    <x v="1"/>
    <x v="0"/>
    <x v="0"/>
    <x v="0"/>
    <x v="0"/>
    <m/>
    <x v="0"/>
    <x v="0"/>
    <n v="0.2258955"/>
    <m/>
    <x v="1"/>
    <x v="3"/>
    <x v="0"/>
    <x v="0"/>
    <x v="0"/>
  </r>
  <r>
    <s v="Singapore"/>
    <x v="0"/>
    <s v="SG1"/>
    <m/>
    <x v="5"/>
    <x v="3"/>
    <x v="3"/>
    <x v="5"/>
    <x v="0"/>
    <x v="0"/>
    <x v="0"/>
    <m/>
    <x v="0"/>
    <x v="0"/>
    <n v="2.0252699999999999"/>
    <m/>
    <x v="11"/>
    <x v="2"/>
    <x v="0"/>
    <x v="5"/>
    <x v="1"/>
  </r>
  <r>
    <s v="Singapore"/>
    <x v="5"/>
    <s v="SG3"/>
    <m/>
    <x v="4"/>
    <x v="1"/>
    <x v="4"/>
    <x v="4"/>
    <x v="0"/>
    <x v="0"/>
    <x v="0"/>
    <m/>
    <x v="0"/>
    <x v="0"/>
    <n v="-0.186948"/>
    <m/>
    <x v="3"/>
    <x v="2"/>
    <x v="0"/>
    <x v="2"/>
    <x v="1"/>
  </r>
  <r>
    <s v="Singapore"/>
    <x v="4"/>
    <s v="SG3"/>
    <m/>
    <x v="4"/>
    <x v="3"/>
    <x v="3"/>
    <x v="1"/>
    <x v="0"/>
    <x v="0"/>
    <x v="0"/>
    <m/>
    <x v="0"/>
    <x v="0"/>
    <n v="-1.5579000000000001E-2"/>
    <m/>
    <x v="0"/>
    <x v="1"/>
    <x v="0"/>
    <x v="4"/>
    <x v="0"/>
  </r>
  <r>
    <s v="Singapore"/>
    <x v="1"/>
    <s v="SG3"/>
    <m/>
    <x v="0"/>
    <x v="4"/>
    <x v="3"/>
    <x v="1"/>
    <x v="0"/>
    <x v="0"/>
    <x v="0"/>
    <m/>
    <x v="0"/>
    <x v="0"/>
    <n v="-46.405167300000002"/>
    <m/>
    <x v="1"/>
    <x v="3"/>
    <x v="0"/>
    <x v="3"/>
    <x v="1"/>
  </r>
  <r>
    <s v="Singapore"/>
    <x v="5"/>
    <s v="SG2"/>
    <m/>
    <x v="0"/>
    <x v="3"/>
    <x v="1"/>
    <x v="5"/>
    <x v="0"/>
    <x v="0"/>
    <x v="0"/>
    <m/>
    <x v="0"/>
    <x v="0"/>
    <n v="-3.1158000000000002E-2"/>
    <m/>
    <x v="0"/>
    <x v="1"/>
    <x v="0"/>
    <x v="4"/>
    <x v="2"/>
  </r>
  <r>
    <s v="Singapore"/>
    <x v="1"/>
    <s v="SG1"/>
    <m/>
    <x v="4"/>
    <x v="0"/>
    <x v="1"/>
    <x v="2"/>
    <x v="0"/>
    <x v="0"/>
    <x v="0"/>
    <m/>
    <x v="0"/>
    <x v="0"/>
    <n v="-0.43621200000000004"/>
    <m/>
    <x v="0"/>
    <x v="2"/>
    <x v="0"/>
    <x v="0"/>
    <x v="0"/>
  </r>
  <r>
    <s v="Singapore"/>
    <x v="3"/>
    <s v="SG1"/>
    <m/>
    <x v="0"/>
    <x v="0"/>
    <x v="3"/>
    <x v="3"/>
    <x v="0"/>
    <x v="0"/>
    <x v="0"/>
    <m/>
    <x v="0"/>
    <x v="0"/>
    <n v="-4.6737000000000001E-2"/>
    <m/>
    <x v="0"/>
    <x v="2"/>
    <x v="0"/>
    <x v="3"/>
    <x v="0"/>
  </r>
  <r>
    <s v="Singapore"/>
    <x v="5"/>
    <s v="SG3"/>
    <m/>
    <x v="5"/>
    <x v="3"/>
    <x v="0"/>
    <x v="3"/>
    <x v="0"/>
    <x v="0"/>
    <x v="0"/>
    <m/>
    <x v="0"/>
    <x v="0"/>
    <n v="-1.09053"/>
    <m/>
    <x v="4"/>
    <x v="3"/>
    <x v="0"/>
    <x v="5"/>
    <x v="1"/>
  </r>
  <r>
    <s v="Singapore"/>
    <x v="4"/>
    <s v="SG1"/>
    <m/>
    <x v="5"/>
    <x v="2"/>
    <x v="3"/>
    <x v="0"/>
    <x v="0"/>
    <x v="0"/>
    <x v="0"/>
    <m/>
    <x v="0"/>
    <x v="0"/>
    <n v="-1.5579000000000001E-2"/>
    <m/>
    <x v="0"/>
    <x v="3"/>
    <x v="0"/>
    <x v="0"/>
    <x v="2"/>
  </r>
  <r>
    <s v="Singapore"/>
    <x v="2"/>
    <s v="SG3"/>
    <m/>
    <x v="2"/>
    <x v="3"/>
    <x v="1"/>
    <x v="1"/>
    <x v="0"/>
    <x v="0"/>
    <x v="0"/>
    <m/>
    <x v="0"/>
    <x v="0"/>
    <n v="-4.6737000000000001E-2"/>
    <m/>
    <x v="0"/>
    <x v="3"/>
    <x v="0"/>
    <x v="4"/>
    <x v="2"/>
  </r>
  <r>
    <s v="Singapore"/>
    <x v="3"/>
    <s v="SG3"/>
    <m/>
    <x v="5"/>
    <x v="2"/>
    <x v="2"/>
    <x v="2"/>
    <x v="0"/>
    <x v="0"/>
    <x v="0"/>
    <m/>
    <x v="0"/>
    <x v="0"/>
    <n v="-59.200200000000002"/>
    <m/>
    <x v="7"/>
    <x v="0"/>
    <x v="0"/>
    <x v="3"/>
    <x v="2"/>
  </r>
  <r>
    <s v="Singapore"/>
    <x v="4"/>
    <s v="SG3"/>
    <m/>
    <x v="5"/>
    <x v="3"/>
    <x v="4"/>
    <x v="3"/>
    <x v="0"/>
    <x v="0"/>
    <x v="0"/>
    <m/>
    <x v="0"/>
    <x v="0"/>
    <n v="-7.7895000000000006E-2"/>
    <m/>
    <x v="0"/>
    <x v="1"/>
    <x v="0"/>
    <x v="2"/>
    <x v="0"/>
  </r>
  <r>
    <s v="Singapore"/>
    <x v="5"/>
    <s v="SG1"/>
    <m/>
    <x v="0"/>
    <x v="3"/>
    <x v="0"/>
    <x v="1"/>
    <x v="0"/>
    <x v="0"/>
    <x v="0"/>
    <m/>
    <x v="0"/>
    <x v="0"/>
    <n v="0.233685"/>
    <m/>
    <x v="0"/>
    <x v="2"/>
    <x v="0"/>
    <x v="0"/>
    <x v="0"/>
  </r>
  <r>
    <s v="Singapore"/>
    <x v="2"/>
    <s v="SG2"/>
    <m/>
    <x v="2"/>
    <x v="2"/>
    <x v="3"/>
    <x v="0"/>
    <x v="0"/>
    <x v="0"/>
    <x v="0"/>
    <m/>
    <x v="0"/>
    <x v="0"/>
    <n v="-2.4305109479999998"/>
    <m/>
    <x v="8"/>
    <x v="0"/>
    <x v="0"/>
    <x v="1"/>
    <x v="1"/>
  </r>
  <r>
    <s v="Singapore"/>
    <x v="1"/>
    <s v="SG1"/>
    <m/>
    <x v="1"/>
    <x v="3"/>
    <x v="1"/>
    <x v="0"/>
    <x v="0"/>
    <x v="0"/>
    <x v="0"/>
    <m/>
    <x v="0"/>
    <x v="0"/>
    <n v="-0.77895000000000003"/>
    <m/>
    <x v="4"/>
    <x v="0"/>
    <x v="0"/>
    <x v="1"/>
    <x v="1"/>
  </r>
  <r>
    <s v="Singapore"/>
    <x v="0"/>
    <s v="SG2"/>
    <m/>
    <x v="3"/>
    <x v="4"/>
    <x v="2"/>
    <x v="1"/>
    <x v="0"/>
    <x v="0"/>
    <x v="0"/>
    <m/>
    <x v="0"/>
    <x v="0"/>
    <n v="50.334674049000007"/>
    <m/>
    <x v="3"/>
    <x v="1"/>
    <x v="0"/>
    <x v="1"/>
    <x v="2"/>
  </r>
  <r>
    <s v="Singapore"/>
    <x v="0"/>
    <s v="SG2"/>
    <m/>
    <x v="1"/>
    <x v="3"/>
    <x v="3"/>
    <x v="2"/>
    <x v="0"/>
    <x v="0"/>
    <x v="0"/>
    <m/>
    <x v="0"/>
    <x v="0"/>
    <n v="2.5773897600000004"/>
    <m/>
    <x v="7"/>
    <x v="3"/>
    <x v="0"/>
    <x v="0"/>
    <x v="0"/>
  </r>
  <r>
    <s v="Singapore"/>
    <x v="2"/>
    <s v="SG4"/>
    <m/>
    <x v="4"/>
    <x v="3"/>
    <x v="2"/>
    <x v="1"/>
    <x v="0"/>
    <x v="0"/>
    <x v="0"/>
    <m/>
    <x v="0"/>
    <x v="0"/>
    <n v="19.467861138"/>
    <m/>
    <x v="7"/>
    <x v="0"/>
    <x v="0"/>
    <x v="0"/>
    <x v="2"/>
  </r>
  <r>
    <s v="Singapore"/>
    <x v="0"/>
    <s v="SG2"/>
    <m/>
    <x v="3"/>
    <x v="3"/>
    <x v="3"/>
    <x v="2"/>
    <x v="0"/>
    <x v="0"/>
    <x v="0"/>
    <m/>
    <x v="0"/>
    <x v="0"/>
    <n v="-0.77895000000000003"/>
    <m/>
    <x v="0"/>
    <x v="3"/>
    <x v="0"/>
    <x v="3"/>
    <x v="0"/>
  </r>
  <r>
    <s v="Singapore"/>
    <x v="2"/>
    <s v="SG1"/>
    <m/>
    <x v="4"/>
    <x v="4"/>
    <x v="3"/>
    <x v="3"/>
    <x v="0"/>
    <x v="0"/>
    <x v="0"/>
    <m/>
    <x v="0"/>
    <x v="0"/>
    <n v="-1.2463200000000001"/>
    <m/>
    <x v="0"/>
    <x v="2"/>
    <x v="0"/>
    <x v="4"/>
    <x v="2"/>
  </r>
  <r>
    <s v="Singapore"/>
    <x v="5"/>
    <s v="SG4"/>
    <m/>
    <x v="5"/>
    <x v="3"/>
    <x v="4"/>
    <x v="4"/>
    <x v="0"/>
    <x v="0"/>
    <x v="0"/>
    <m/>
    <x v="0"/>
    <x v="0"/>
    <n v="-0.233685"/>
    <m/>
    <x v="0"/>
    <x v="3"/>
    <x v="0"/>
    <x v="3"/>
    <x v="0"/>
  </r>
  <r>
    <s v="Singapore"/>
    <x v="0"/>
    <s v="SG4"/>
    <m/>
    <x v="1"/>
    <x v="3"/>
    <x v="1"/>
    <x v="3"/>
    <x v="0"/>
    <x v="0"/>
    <x v="0"/>
    <m/>
    <x v="0"/>
    <x v="0"/>
    <n v="-1.959978411"/>
    <m/>
    <x v="4"/>
    <x v="1"/>
    <x v="0"/>
    <x v="3"/>
    <x v="0"/>
  </r>
  <r>
    <s v="Singapore"/>
    <x v="3"/>
    <s v="SG2"/>
    <m/>
    <x v="3"/>
    <x v="4"/>
    <x v="3"/>
    <x v="2"/>
    <x v="0"/>
    <x v="0"/>
    <x v="0"/>
    <m/>
    <x v="0"/>
    <x v="0"/>
    <n v="-1.5579000000000001E-2"/>
    <m/>
    <x v="0"/>
    <x v="0"/>
    <x v="0"/>
    <x v="4"/>
    <x v="2"/>
  </r>
  <r>
    <s v="Singapore"/>
    <x v="1"/>
    <s v="SG3"/>
    <m/>
    <x v="1"/>
    <x v="3"/>
    <x v="2"/>
    <x v="5"/>
    <x v="0"/>
    <x v="0"/>
    <x v="0"/>
    <m/>
    <x v="0"/>
    <x v="0"/>
    <n v="0.21031650000000002"/>
    <m/>
    <x v="1"/>
    <x v="3"/>
    <x v="0"/>
    <x v="0"/>
    <x v="2"/>
  </r>
  <r>
    <s v="Singapore"/>
    <x v="2"/>
    <s v="SG2"/>
    <m/>
    <x v="3"/>
    <x v="3"/>
    <x v="2"/>
    <x v="0"/>
    <x v="0"/>
    <x v="0"/>
    <x v="0"/>
    <m/>
    <x v="0"/>
    <x v="0"/>
    <n v="-0.81010800000000005"/>
    <m/>
    <x v="4"/>
    <x v="1"/>
    <x v="0"/>
    <x v="5"/>
    <x v="1"/>
  </r>
  <r>
    <s v="Singapore"/>
    <x v="4"/>
    <s v="SG2"/>
    <m/>
    <x v="4"/>
    <x v="2"/>
    <x v="1"/>
    <x v="3"/>
    <x v="0"/>
    <x v="0"/>
    <x v="0"/>
    <m/>
    <x v="0"/>
    <x v="0"/>
    <n v="-0.1324215"/>
    <m/>
    <x v="4"/>
    <x v="0"/>
    <x v="0"/>
    <x v="4"/>
    <x v="0"/>
  </r>
  <r>
    <s v="Singapore"/>
    <x v="1"/>
    <s v="SG2"/>
    <m/>
    <x v="3"/>
    <x v="0"/>
    <x v="4"/>
    <x v="1"/>
    <x v="0"/>
    <x v="0"/>
    <x v="0"/>
    <m/>
    <x v="0"/>
    <x v="0"/>
    <n v="0.903582"/>
    <m/>
    <x v="1"/>
    <x v="3"/>
    <x v="0"/>
    <x v="2"/>
    <x v="0"/>
  </r>
  <r>
    <s v="Singapore"/>
    <x v="3"/>
    <s v="SG2"/>
    <m/>
    <x v="2"/>
    <x v="3"/>
    <x v="0"/>
    <x v="1"/>
    <x v="0"/>
    <x v="0"/>
    <x v="0"/>
    <m/>
    <x v="0"/>
    <x v="0"/>
    <n v="-0.12463200000000001"/>
    <m/>
    <x v="0"/>
    <x v="1"/>
    <x v="0"/>
    <x v="0"/>
    <x v="0"/>
  </r>
  <r>
    <s v="Singapore"/>
    <x v="5"/>
    <s v="SG2"/>
    <m/>
    <x v="5"/>
    <x v="1"/>
    <x v="0"/>
    <x v="4"/>
    <x v="0"/>
    <x v="0"/>
    <x v="0"/>
    <m/>
    <x v="0"/>
    <x v="0"/>
    <n v="-158.42285100000001"/>
    <m/>
    <x v="8"/>
    <x v="3"/>
    <x v="0"/>
    <x v="0"/>
    <x v="1"/>
  </r>
  <r>
    <s v="Singapore"/>
    <x v="2"/>
    <s v="SG1"/>
    <m/>
    <x v="3"/>
    <x v="2"/>
    <x v="3"/>
    <x v="3"/>
    <x v="0"/>
    <x v="0"/>
    <x v="0"/>
    <m/>
    <x v="0"/>
    <x v="0"/>
    <n v="1.0801232280000002"/>
    <m/>
    <x v="1"/>
    <x v="3"/>
    <x v="0"/>
    <x v="0"/>
    <x v="1"/>
  </r>
  <r>
    <s v="Singapore"/>
    <x v="5"/>
    <s v="SG1"/>
    <m/>
    <x v="4"/>
    <x v="4"/>
    <x v="2"/>
    <x v="4"/>
    <x v="0"/>
    <x v="0"/>
    <x v="0"/>
    <m/>
    <x v="0"/>
    <x v="0"/>
    <n v="-1.713316104"/>
    <m/>
    <x v="2"/>
    <x v="2"/>
    <x v="0"/>
    <x v="5"/>
    <x v="2"/>
  </r>
  <r>
    <s v="Singapore"/>
    <x v="1"/>
    <s v="SG1"/>
    <m/>
    <x v="2"/>
    <x v="4"/>
    <x v="3"/>
    <x v="1"/>
    <x v="0"/>
    <x v="0"/>
    <x v="0"/>
    <m/>
    <x v="0"/>
    <x v="0"/>
    <n v="-1.5579000000000001E-2"/>
    <m/>
    <x v="4"/>
    <x v="3"/>
    <x v="0"/>
    <x v="4"/>
    <x v="0"/>
  </r>
  <r>
    <s v="Singapore"/>
    <x v="3"/>
    <s v="SG2"/>
    <m/>
    <x v="0"/>
    <x v="2"/>
    <x v="1"/>
    <x v="4"/>
    <x v="0"/>
    <x v="0"/>
    <x v="0"/>
    <m/>
    <x v="0"/>
    <x v="0"/>
    <n v="-0.15579000000000001"/>
    <m/>
    <x v="0"/>
    <x v="1"/>
    <x v="0"/>
    <x v="3"/>
    <x v="2"/>
  </r>
  <r>
    <s v="Singapore"/>
    <x v="3"/>
    <s v="SG3"/>
    <m/>
    <x v="0"/>
    <x v="4"/>
    <x v="2"/>
    <x v="3"/>
    <x v="0"/>
    <x v="0"/>
    <x v="0"/>
    <m/>
    <x v="0"/>
    <x v="0"/>
    <n v="-0.1838322"/>
    <m/>
    <x v="4"/>
    <x v="3"/>
    <x v="0"/>
    <x v="0"/>
    <x v="1"/>
  </r>
  <r>
    <s v="Singapore"/>
    <x v="3"/>
    <s v="SG3"/>
    <m/>
    <x v="4"/>
    <x v="0"/>
    <x v="0"/>
    <x v="4"/>
    <x v="0"/>
    <x v="0"/>
    <x v="0"/>
    <m/>
    <x v="0"/>
    <x v="0"/>
    <n v="0.66989700000000008"/>
    <m/>
    <x v="1"/>
    <x v="0"/>
    <x v="0"/>
    <x v="1"/>
    <x v="2"/>
  </r>
  <r>
    <s v="Singapore"/>
    <x v="0"/>
    <s v="SG1"/>
    <m/>
    <x v="2"/>
    <x v="3"/>
    <x v="3"/>
    <x v="3"/>
    <x v="0"/>
    <x v="0"/>
    <x v="0"/>
    <m/>
    <x v="0"/>
    <x v="0"/>
    <n v="-0.140211"/>
    <m/>
    <x v="0"/>
    <x v="0"/>
    <x v="0"/>
    <x v="4"/>
    <x v="0"/>
  </r>
  <r>
    <s v="Singapore"/>
    <x v="4"/>
    <s v="SG3"/>
    <m/>
    <x v="5"/>
    <x v="4"/>
    <x v="0"/>
    <x v="3"/>
    <x v="0"/>
    <x v="0"/>
    <x v="0"/>
    <m/>
    <x v="0"/>
    <x v="0"/>
    <n v="-0.62316000000000005"/>
    <m/>
    <x v="0"/>
    <x v="0"/>
    <x v="0"/>
    <x v="1"/>
    <x v="2"/>
  </r>
  <r>
    <s v="Singapore"/>
    <x v="3"/>
    <s v="SG2"/>
    <m/>
    <x v="0"/>
    <x v="4"/>
    <x v="3"/>
    <x v="0"/>
    <x v="0"/>
    <x v="0"/>
    <x v="0"/>
    <m/>
    <x v="0"/>
    <x v="0"/>
    <n v="-7.7895000000000006E-2"/>
    <m/>
    <x v="0"/>
    <x v="1"/>
    <x v="0"/>
    <x v="4"/>
    <x v="1"/>
  </r>
  <r>
    <s v="Singapore"/>
    <x v="5"/>
    <s v="SG4"/>
    <m/>
    <x v="0"/>
    <x v="0"/>
    <x v="3"/>
    <x v="2"/>
    <x v="0"/>
    <x v="0"/>
    <x v="0"/>
    <m/>
    <x v="0"/>
    <x v="0"/>
    <n v="-0.280422"/>
    <m/>
    <x v="0"/>
    <x v="3"/>
    <x v="0"/>
    <x v="0"/>
    <x v="1"/>
  </r>
  <r>
    <s v="Singapore"/>
    <x v="4"/>
    <s v="SG4"/>
    <m/>
    <x v="1"/>
    <x v="0"/>
    <x v="2"/>
    <x v="2"/>
    <x v="0"/>
    <x v="0"/>
    <x v="0"/>
    <m/>
    <x v="0"/>
    <x v="0"/>
    <n v="1.3008465"/>
    <m/>
    <x v="1"/>
    <x v="2"/>
    <x v="0"/>
    <x v="0"/>
    <x v="0"/>
  </r>
  <r>
    <s v="Singapore"/>
    <x v="4"/>
    <s v="SG2"/>
    <m/>
    <x v="3"/>
    <x v="3"/>
    <x v="4"/>
    <x v="3"/>
    <x v="0"/>
    <x v="0"/>
    <x v="0"/>
    <m/>
    <x v="0"/>
    <x v="0"/>
    <n v="-0.280141578"/>
    <m/>
    <x v="0"/>
    <x v="1"/>
    <x v="0"/>
    <x v="4"/>
    <x v="0"/>
  </r>
  <r>
    <s v="Singapore"/>
    <x v="5"/>
    <s v="SG2"/>
    <m/>
    <x v="0"/>
    <x v="2"/>
    <x v="2"/>
    <x v="3"/>
    <x v="0"/>
    <x v="0"/>
    <x v="0"/>
    <m/>
    <x v="0"/>
    <x v="0"/>
    <n v="4.8793427999999999"/>
    <m/>
    <x v="10"/>
    <x v="0"/>
    <x v="0"/>
    <x v="1"/>
    <x v="1"/>
  </r>
  <r>
    <s v="Singapore"/>
    <x v="0"/>
    <s v="SG2"/>
    <m/>
    <x v="0"/>
    <x v="4"/>
    <x v="3"/>
    <x v="3"/>
    <x v="0"/>
    <x v="0"/>
    <x v="0"/>
    <m/>
    <x v="0"/>
    <x v="0"/>
    <n v="-0.62316000000000005"/>
    <m/>
    <x v="4"/>
    <x v="1"/>
    <x v="0"/>
    <x v="2"/>
    <x v="2"/>
  </r>
  <r>
    <s v="Singapore"/>
    <x v="1"/>
    <s v="SG1"/>
    <m/>
    <x v="0"/>
    <x v="0"/>
    <x v="0"/>
    <x v="3"/>
    <x v="0"/>
    <x v="0"/>
    <x v="0"/>
    <m/>
    <x v="0"/>
    <x v="0"/>
    <n v="-0.42063300000000003"/>
    <m/>
    <x v="0"/>
    <x v="1"/>
    <x v="0"/>
    <x v="3"/>
    <x v="1"/>
  </r>
  <r>
    <s v="Singapore"/>
    <x v="2"/>
    <s v="SG3"/>
    <m/>
    <x v="5"/>
    <x v="1"/>
    <x v="1"/>
    <x v="3"/>
    <x v="0"/>
    <x v="0"/>
    <x v="0"/>
    <m/>
    <x v="0"/>
    <x v="0"/>
    <n v="3.8947500000000002"/>
    <m/>
    <x v="5"/>
    <x v="2"/>
    <x v="0"/>
    <x v="5"/>
    <x v="1"/>
  </r>
  <r>
    <s v="Singapore"/>
    <x v="4"/>
    <s v="SG3"/>
    <m/>
    <x v="3"/>
    <x v="4"/>
    <x v="2"/>
    <x v="0"/>
    <x v="0"/>
    <x v="0"/>
    <x v="0"/>
    <m/>
    <x v="0"/>
    <x v="0"/>
    <n v="-7.7895000000000003"/>
    <m/>
    <x v="8"/>
    <x v="1"/>
    <x v="0"/>
    <x v="5"/>
    <x v="1"/>
  </r>
  <r>
    <s v="Singapore"/>
    <x v="5"/>
    <s v="SG1"/>
    <m/>
    <x v="0"/>
    <x v="4"/>
    <x v="2"/>
    <x v="5"/>
    <x v="0"/>
    <x v="0"/>
    <x v="0"/>
    <m/>
    <x v="0"/>
    <x v="0"/>
    <n v="-9.3474000000000002E-2"/>
    <m/>
    <x v="4"/>
    <x v="3"/>
    <x v="0"/>
    <x v="2"/>
    <x v="1"/>
  </r>
  <r>
    <s v="Singapore"/>
    <x v="3"/>
    <s v="SG1"/>
    <m/>
    <x v="2"/>
    <x v="0"/>
    <x v="2"/>
    <x v="3"/>
    <x v="0"/>
    <x v="0"/>
    <x v="0"/>
    <m/>
    <x v="0"/>
    <x v="0"/>
    <n v="-2.2589550000000003"/>
    <m/>
    <x v="3"/>
    <x v="3"/>
    <x v="0"/>
    <x v="2"/>
    <x v="0"/>
  </r>
  <r>
    <s v="Singapore"/>
    <x v="0"/>
    <s v="SG3"/>
    <m/>
    <x v="5"/>
    <x v="2"/>
    <x v="2"/>
    <x v="0"/>
    <x v="0"/>
    <x v="0"/>
    <x v="0"/>
    <m/>
    <x v="0"/>
    <x v="0"/>
    <n v="-1.2024027989999999"/>
    <m/>
    <x v="2"/>
    <x v="0"/>
    <x v="0"/>
    <x v="5"/>
    <x v="1"/>
  </r>
  <r>
    <s v="Singapore"/>
    <x v="0"/>
    <s v="SG1"/>
    <m/>
    <x v="0"/>
    <x v="2"/>
    <x v="3"/>
    <x v="2"/>
    <x v="0"/>
    <x v="0"/>
    <x v="0"/>
    <m/>
    <x v="0"/>
    <x v="0"/>
    <n v="-0.77895000000000003"/>
    <m/>
    <x v="4"/>
    <x v="0"/>
    <x v="0"/>
    <x v="0"/>
    <x v="2"/>
  </r>
  <r>
    <s v="Singapore"/>
    <x v="3"/>
    <s v="SG3"/>
    <m/>
    <x v="5"/>
    <x v="4"/>
    <x v="1"/>
    <x v="4"/>
    <x v="0"/>
    <x v="0"/>
    <x v="0"/>
    <m/>
    <x v="0"/>
    <x v="0"/>
    <n v="-0.18373872600000002"/>
    <m/>
    <x v="0"/>
    <x v="1"/>
    <x v="0"/>
    <x v="3"/>
    <x v="0"/>
  </r>
  <r>
    <s v="Singapore"/>
    <x v="2"/>
    <s v="SG4"/>
    <m/>
    <x v="5"/>
    <x v="4"/>
    <x v="4"/>
    <x v="3"/>
    <x v="0"/>
    <x v="0"/>
    <x v="0"/>
    <m/>
    <x v="0"/>
    <x v="0"/>
    <n v="-0.12463200000000001"/>
    <m/>
    <x v="0"/>
    <x v="2"/>
    <x v="0"/>
    <x v="5"/>
    <x v="1"/>
  </r>
  <r>
    <s v="Singapore"/>
    <x v="5"/>
    <s v="SG3"/>
    <m/>
    <x v="2"/>
    <x v="2"/>
    <x v="2"/>
    <x v="1"/>
    <x v="0"/>
    <x v="0"/>
    <x v="0"/>
    <m/>
    <x v="0"/>
    <x v="0"/>
    <n v="-1.1860292699999999"/>
    <m/>
    <x v="2"/>
    <x v="0"/>
    <x v="0"/>
    <x v="0"/>
    <x v="2"/>
  </r>
  <r>
    <s v="Singapore"/>
    <x v="4"/>
    <s v="SG4"/>
    <m/>
    <x v="4"/>
    <x v="1"/>
    <x v="0"/>
    <x v="4"/>
    <x v="0"/>
    <x v="0"/>
    <x v="0"/>
    <m/>
    <x v="0"/>
    <x v="0"/>
    <n v="-0.233685"/>
    <m/>
    <x v="0"/>
    <x v="1"/>
    <x v="0"/>
    <x v="0"/>
    <x v="1"/>
  </r>
  <r>
    <s v="Singapore"/>
    <x v="3"/>
    <s v="SG4"/>
    <m/>
    <x v="1"/>
    <x v="4"/>
    <x v="3"/>
    <x v="3"/>
    <x v="0"/>
    <x v="0"/>
    <x v="0"/>
    <m/>
    <x v="0"/>
    <x v="0"/>
    <n v="-127.26263878200001"/>
    <m/>
    <x v="7"/>
    <x v="1"/>
    <x v="0"/>
    <x v="2"/>
    <x v="1"/>
  </r>
  <r>
    <s v="Singapore"/>
    <x v="3"/>
    <s v="SG1"/>
    <m/>
    <x v="2"/>
    <x v="3"/>
    <x v="3"/>
    <x v="3"/>
    <x v="0"/>
    <x v="0"/>
    <x v="0"/>
    <m/>
    <x v="0"/>
    <x v="0"/>
    <n v="-0.40505400000000003"/>
    <m/>
    <x v="6"/>
    <x v="3"/>
    <x v="0"/>
    <x v="3"/>
    <x v="1"/>
  </r>
  <r>
    <s v="Singapore"/>
    <x v="0"/>
    <s v="SG3"/>
    <m/>
    <x v="3"/>
    <x v="0"/>
    <x v="2"/>
    <x v="3"/>
    <x v="0"/>
    <x v="0"/>
    <x v="0"/>
    <m/>
    <x v="0"/>
    <x v="0"/>
    <n v="-4.6737000000000001E-2"/>
    <m/>
    <x v="0"/>
    <x v="3"/>
    <x v="0"/>
    <x v="3"/>
    <x v="2"/>
  </r>
  <r>
    <s v="Singapore"/>
    <x v="0"/>
    <s v="SG3"/>
    <m/>
    <x v="5"/>
    <x v="1"/>
    <x v="3"/>
    <x v="4"/>
    <x v="0"/>
    <x v="0"/>
    <x v="0"/>
    <m/>
    <x v="0"/>
    <x v="0"/>
    <n v="-0.12463200000000001"/>
    <m/>
    <x v="0"/>
    <x v="1"/>
    <x v="0"/>
    <x v="4"/>
    <x v="2"/>
  </r>
  <r>
    <s v="Singapore"/>
    <x v="1"/>
    <s v="SG4"/>
    <m/>
    <x v="4"/>
    <x v="4"/>
    <x v="2"/>
    <x v="0"/>
    <x v="0"/>
    <x v="0"/>
    <x v="0"/>
    <m/>
    <x v="0"/>
    <x v="0"/>
    <n v="-9.3474000000000002E-2"/>
    <m/>
    <x v="4"/>
    <x v="0"/>
    <x v="0"/>
    <x v="0"/>
    <x v="2"/>
  </r>
  <r>
    <s v="Singapore"/>
    <x v="1"/>
    <s v="SG2"/>
    <m/>
    <x v="4"/>
    <x v="1"/>
    <x v="1"/>
    <x v="3"/>
    <x v="0"/>
    <x v="0"/>
    <x v="0"/>
    <m/>
    <x v="0"/>
    <x v="0"/>
    <n v="0.24926400000000001"/>
    <m/>
    <x v="4"/>
    <x v="2"/>
    <x v="0"/>
    <x v="0"/>
    <x v="0"/>
  </r>
  <r>
    <s v="Singapore"/>
    <x v="4"/>
    <s v="SG2"/>
    <m/>
    <x v="5"/>
    <x v="0"/>
    <x v="4"/>
    <x v="0"/>
    <x v="0"/>
    <x v="0"/>
    <x v="0"/>
    <m/>
    <x v="0"/>
    <x v="0"/>
    <n v="1.1450565000000001"/>
    <m/>
    <x v="1"/>
    <x v="2"/>
    <x v="0"/>
    <x v="3"/>
    <x v="2"/>
  </r>
  <r>
    <s v="Singapore"/>
    <x v="4"/>
    <s v="SG4"/>
    <m/>
    <x v="1"/>
    <x v="1"/>
    <x v="0"/>
    <x v="4"/>
    <x v="0"/>
    <x v="0"/>
    <x v="0"/>
    <m/>
    <x v="0"/>
    <x v="0"/>
    <n v="77.89500000000001"/>
    <m/>
    <x v="7"/>
    <x v="2"/>
    <x v="0"/>
    <x v="1"/>
    <x v="0"/>
  </r>
  <r>
    <s v="Singapore"/>
    <x v="4"/>
    <s v="SG3"/>
    <m/>
    <x v="3"/>
    <x v="2"/>
    <x v="3"/>
    <x v="1"/>
    <x v="0"/>
    <x v="0"/>
    <x v="0"/>
    <m/>
    <x v="0"/>
    <x v="0"/>
    <n v="0.12463200000000001"/>
    <m/>
    <x v="0"/>
    <x v="3"/>
    <x v="0"/>
    <x v="1"/>
    <x v="1"/>
  </r>
  <r>
    <s v="Singapore"/>
    <x v="0"/>
    <s v="SG4"/>
    <m/>
    <x v="1"/>
    <x v="4"/>
    <x v="0"/>
    <x v="1"/>
    <x v="0"/>
    <x v="0"/>
    <x v="0"/>
    <m/>
    <x v="0"/>
    <x v="0"/>
    <n v="1.7292690000000002"/>
    <m/>
    <x v="1"/>
    <x v="2"/>
    <x v="0"/>
    <x v="0"/>
    <x v="1"/>
  </r>
  <r>
    <s v="Singapore"/>
    <x v="1"/>
    <s v="SG2"/>
    <m/>
    <x v="5"/>
    <x v="1"/>
    <x v="0"/>
    <x v="5"/>
    <x v="0"/>
    <x v="0"/>
    <x v="0"/>
    <m/>
    <x v="0"/>
    <x v="0"/>
    <n v="19.333539000000002"/>
    <m/>
    <x v="1"/>
    <x v="3"/>
    <x v="0"/>
    <x v="1"/>
    <x v="1"/>
  </r>
  <r>
    <s v="Singapore"/>
    <x v="3"/>
    <s v="SG2"/>
    <m/>
    <x v="5"/>
    <x v="1"/>
    <x v="1"/>
    <x v="2"/>
    <x v="0"/>
    <x v="0"/>
    <x v="0"/>
    <m/>
    <x v="0"/>
    <x v="0"/>
    <n v="1.1606355E-2"/>
    <m/>
    <x v="2"/>
    <x v="2"/>
    <x v="0"/>
    <x v="2"/>
    <x v="0"/>
  </r>
  <r>
    <s v="Singapore"/>
    <x v="4"/>
    <s v="SG3"/>
    <m/>
    <x v="2"/>
    <x v="2"/>
    <x v="2"/>
    <x v="1"/>
    <x v="0"/>
    <x v="0"/>
    <x v="0"/>
    <m/>
    <x v="0"/>
    <x v="0"/>
    <n v="-0.60758100000000004"/>
    <m/>
    <x v="0"/>
    <x v="0"/>
    <x v="0"/>
    <x v="4"/>
    <x v="2"/>
  </r>
  <r>
    <s v="Singapore"/>
    <x v="2"/>
    <s v="SG2"/>
    <m/>
    <x v="5"/>
    <x v="0"/>
    <x v="3"/>
    <x v="4"/>
    <x v="0"/>
    <x v="0"/>
    <x v="0"/>
    <m/>
    <x v="0"/>
    <x v="0"/>
    <n v="-0.1838322"/>
    <m/>
    <x v="4"/>
    <x v="0"/>
    <x v="0"/>
    <x v="1"/>
    <x v="1"/>
  </r>
  <r>
    <s v="Singapore"/>
    <x v="0"/>
    <s v="SG1"/>
    <m/>
    <x v="2"/>
    <x v="4"/>
    <x v="0"/>
    <x v="0"/>
    <x v="0"/>
    <x v="0"/>
    <x v="0"/>
    <m/>
    <x v="0"/>
    <x v="0"/>
    <n v="0.903582"/>
    <m/>
    <x v="1"/>
    <x v="2"/>
    <x v="0"/>
    <x v="1"/>
    <x v="1"/>
  </r>
  <r>
    <s v="Singapore"/>
    <x v="1"/>
    <s v="SG2"/>
    <m/>
    <x v="4"/>
    <x v="3"/>
    <x v="0"/>
    <x v="0"/>
    <x v="0"/>
    <x v="0"/>
    <x v="0"/>
    <m/>
    <x v="0"/>
    <x v="0"/>
    <n v="-0.28012599900000001"/>
    <m/>
    <x v="0"/>
    <x v="2"/>
    <x v="0"/>
    <x v="2"/>
    <x v="2"/>
  </r>
  <r>
    <s v="Singapore"/>
    <x v="1"/>
    <s v="SG4"/>
    <m/>
    <x v="0"/>
    <x v="3"/>
    <x v="0"/>
    <x v="1"/>
    <x v="0"/>
    <x v="0"/>
    <x v="0"/>
    <m/>
    <x v="0"/>
    <x v="0"/>
    <n v="-0.46737000000000001"/>
    <m/>
    <x v="3"/>
    <x v="2"/>
    <x v="0"/>
    <x v="4"/>
    <x v="2"/>
  </r>
  <r>
    <s v="Singapore"/>
    <x v="2"/>
    <s v="SG1"/>
    <m/>
    <x v="0"/>
    <x v="1"/>
    <x v="3"/>
    <x v="0"/>
    <x v="0"/>
    <x v="0"/>
    <x v="0"/>
    <m/>
    <x v="0"/>
    <x v="0"/>
    <n v="-1.2024027989999999"/>
    <m/>
    <x v="2"/>
    <x v="1"/>
    <x v="0"/>
    <x v="3"/>
    <x v="1"/>
  </r>
  <r>
    <s v="Singapore"/>
    <x v="3"/>
    <s v="SG2"/>
    <m/>
    <x v="1"/>
    <x v="4"/>
    <x v="2"/>
    <x v="5"/>
    <x v="0"/>
    <x v="0"/>
    <x v="0"/>
    <m/>
    <x v="0"/>
    <x v="0"/>
    <n v="13.912047000000001"/>
    <m/>
    <x v="4"/>
    <x v="1"/>
    <x v="0"/>
    <x v="2"/>
    <x v="2"/>
  </r>
  <r>
    <s v="Singapore"/>
    <x v="1"/>
    <s v="SG4"/>
    <m/>
    <x v="2"/>
    <x v="3"/>
    <x v="2"/>
    <x v="3"/>
    <x v="0"/>
    <x v="0"/>
    <x v="0"/>
    <m/>
    <x v="0"/>
    <x v="0"/>
    <n v="-0.20252700000000001"/>
    <m/>
    <x v="6"/>
    <x v="3"/>
    <x v="0"/>
    <x v="5"/>
    <x v="1"/>
  </r>
  <r>
    <s v="Singapore"/>
    <x v="2"/>
    <s v="SG4"/>
    <m/>
    <x v="3"/>
    <x v="2"/>
    <x v="1"/>
    <x v="5"/>
    <x v="0"/>
    <x v="0"/>
    <x v="0"/>
    <m/>
    <x v="0"/>
    <x v="0"/>
    <n v="-4.2063300000000005E-2"/>
    <m/>
    <x v="8"/>
    <x v="2"/>
    <x v="0"/>
    <x v="0"/>
    <x v="1"/>
  </r>
  <r>
    <s v="Singapore"/>
    <x v="2"/>
    <s v="SG1"/>
    <m/>
    <x v="2"/>
    <x v="1"/>
    <x v="3"/>
    <x v="2"/>
    <x v="0"/>
    <x v="0"/>
    <x v="0"/>
    <m/>
    <x v="0"/>
    <x v="0"/>
    <n v="-0.60758100000000004"/>
    <m/>
    <x v="0"/>
    <x v="2"/>
    <x v="0"/>
    <x v="5"/>
    <x v="1"/>
  </r>
  <r>
    <s v="Singapore"/>
    <x v="1"/>
    <s v="SG1"/>
    <m/>
    <x v="3"/>
    <x v="3"/>
    <x v="1"/>
    <x v="3"/>
    <x v="0"/>
    <x v="0"/>
    <x v="0"/>
    <m/>
    <x v="0"/>
    <x v="0"/>
    <n v="-4.6737000000000002"/>
    <m/>
    <x v="4"/>
    <x v="2"/>
    <x v="0"/>
    <x v="5"/>
    <x v="0"/>
  </r>
  <r>
    <s v="Singapore"/>
    <x v="3"/>
    <s v="SG2"/>
    <m/>
    <x v="1"/>
    <x v="3"/>
    <x v="1"/>
    <x v="0"/>
    <x v="0"/>
    <x v="0"/>
    <x v="0"/>
    <m/>
    <x v="0"/>
    <x v="0"/>
    <n v="1.3008465"/>
    <m/>
    <x v="1"/>
    <x v="3"/>
    <x v="0"/>
    <x v="2"/>
    <x v="0"/>
  </r>
  <r>
    <s v="Singapore"/>
    <x v="0"/>
    <s v="SG1"/>
    <m/>
    <x v="2"/>
    <x v="3"/>
    <x v="1"/>
    <x v="0"/>
    <x v="0"/>
    <x v="0"/>
    <x v="0"/>
    <m/>
    <x v="0"/>
    <x v="0"/>
    <n v="-0.15579000000000001"/>
    <m/>
    <x v="4"/>
    <x v="3"/>
    <x v="0"/>
    <x v="2"/>
    <x v="2"/>
  </r>
  <r>
    <s v="Singapore"/>
    <x v="0"/>
    <s v="SG4"/>
    <m/>
    <x v="4"/>
    <x v="1"/>
    <x v="4"/>
    <x v="0"/>
    <x v="0"/>
    <x v="0"/>
    <x v="0"/>
    <m/>
    <x v="0"/>
    <x v="0"/>
    <n v="-4.6737000000000001E-2"/>
    <m/>
    <x v="0"/>
    <x v="3"/>
    <x v="0"/>
    <x v="3"/>
    <x v="2"/>
  </r>
  <r>
    <s v="Singapore"/>
    <x v="0"/>
    <s v="SG4"/>
    <m/>
    <x v="5"/>
    <x v="3"/>
    <x v="1"/>
    <x v="5"/>
    <x v="0"/>
    <x v="0"/>
    <x v="0"/>
    <m/>
    <x v="0"/>
    <x v="0"/>
    <n v="0.12463200000000001"/>
    <m/>
    <x v="0"/>
    <x v="0"/>
    <x v="0"/>
    <x v="1"/>
    <x v="0"/>
  </r>
  <r>
    <s v="Singapore"/>
    <x v="1"/>
    <s v="SG2"/>
    <m/>
    <x v="4"/>
    <x v="0"/>
    <x v="2"/>
    <x v="0"/>
    <x v="0"/>
    <x v="0"/>
    <x v="0"/>
    <m/>
    <x v="0"/>
    <x v="0"/>
    <n v="-1.2930570000000001"/>
    <m/>
    <x v="4"/>
    <x v="0"/>
    <x v="0"/>
    <x v="3"/>
    <x v="0"/>
  </r>
  <r>
    <s v="Singapore"/>
    <x v="3"/>
    <s v="SG3"/>
    <m/>
    <x v="4"/>
    <x v="3"/>
    <x v="3"/>
    <x v="4"/>
    <x v="0"/>
    <x v="0"/>
    <x v="0"/>
    <m/>
    <x v="0"/>
    <x v="0"/>
    <n v="0.42063300000000003"/>
    <m/>
    <x v="4"/>
    <x v="0"/>
    <x v="0"/>
    <x v="5"/>
    <x v="2"/>
  </r>
  <r>
    <s v="Singapore"/>
    <x v="2"/>
    <s v="SG3"/>
    <m/>
    <x v="1"/>
    <x v="1"/>
    <x v="2"/>
    <x v="3"/>
    <x v="0"/>
    <x v="0"/>
    <x v="0"/>
    <m/>
    <x v="0"/>
    <x v="0"/>
    <n v="-1.012635"/>
    <m/>
    <x v="2"/>
    <x v="3"/>
    <x v="0"/>
    <x v="5"/>
    <x v="1"/>
  </r>
  <r>
    <s v="Singapore"/>
    <x v="0"/>
    <s v="SG3"/>
    <m/>
    <x v="5"/>
    <x v="2"/>
    <x v="1"/>
    <x v="4"/>
    <x v="0"/>
    <x v="0"/>
    <x v="0"/>
    <m/>
    <x v="0"/>
    <x v="0"/>
    <n v="92.861153298000005"/>
    <m/>
    <x v="1"/>
    <x v="1"/>
    <x v="0"/>
    <x v="4"/>
    <x v="1"/>
  </r>
  <r>
    <s v="Singapore"/>
    <x v="1"/>
    <s v="SG4"/>
    <m/>
    <x v="5"/>
    <x v="3"/>
    <x v="3"/>
    <x v="0"/>
    <x v="0"/>
    <x v="0"/>
    <x v="0"/>
    <m/>
    <x v="0"/>
    <x v="0"/>
    <n v="-0.18373872600000002"/>
    <m/>
    <x v="0"/>
    <x v="2"/>
    <x v="0"/>
    <x v="5"/>
    <x v="1"/>
  </r>
  <r>
    <s v="Singapore"/>
    <x v="3"/>
    <s v="SG4"/>
    <m/>
    <x v="1"/>
    <x v="3"/>
    <x v="1"/>
    <x v="4"/>
    <x v="0"/>
    <x v="0"/>
    <x v="0"/>
    <m/>
    <x v="0"/>
    <x v="0"/>
    <n v="-1.5579000000000001E-2"/>
    <m/>
    <x v="0"/>
    <x v="1"/>
    <x v="0"/>
    <x v="4"/>
    <x v="2"/>
  </r>
  <r>
    <s v="Singapore"/>
    <x v="5"/>
    <s v="SG2"/>
    <m/>
    <x v="1"/>
    <x v="0"/>
    <x v="0"/>
    <x v="4"/>
    <x v="0"/>
    <x v="0"/>
    <x v="0"/>
    <m/>
    <x v="0"/>
    <x v="0"/>
    <n v="-0.12463200000000001"/>
    <m/>
    <x v="0"/>
    <x v="2"/>
    <x v="0"/>
    <x v="1"/>
    <x v="0"/>
  </r>
  <r>
    <s v="Singapore"/>
    <x v="3"/>
    <s v="SG4"/>
    <m/>
    <x v="1"/>
    <x v="2"/>
    <x v="3"/>
    <x v="1"/>
    <x v="0"/>
    <x v="0"/>
    <x v="0"/>
    <m/>
    <x v="0"/>
    <x v="0"/>
    <n v="-0.81010800000000005"/>
    <m/>
    <x v="4"/>
    <x v="3"/>
    <x v="0"/>
    <x v="4"/>
    <x v="1"/>
  </r>
  <r>
    <s v="Singapore"/>
    <x v="5"/>
    <s v="SG2"/>
    <m/>
    <x v="4"/>
    <x v="4"/>
    <x v="2"/>
    <x v="0"/>
    <x v="0"/>
    <x v="0"/>
    <x v="0"/>
    <m/>
    <x v="0"/>
    <x v="0"/>
    <n v="0.21810600000000002"/>
    <m/>
    <x v="4"/>
    <x v="2"/>
    <x v="0"/>
    <x v="5"/>
    <x v="2"/>
  </r>
  <r>
    <s v="Singapore"/>
    <x v="0"/>
    <s v="SG4"/>
    <m/>
    <x v="1"/>
    <x v="0"/>
    <x v="3"/>
    <x v="1"/>
    <x v="0"/>
    <x v="0"/>
    <x v="0"/>
    <m/>
    <x v="0"/>
    <x v="0"/>
    <n v="-0.17136900000000002"/>
    <m/>
    <x v="4"/>
    <x v="0"/>
    <x v="0"/>
    <x v="1"/>
    <x v="2"/>
  </r>
  <r>
    <s v="Singapore"/>
    <x v="4"/>
    <s v="SG2"/>
    <m/>
    <x v="0"/>
    <x v="2"/>
    <x v="1"/>
    <x v="3"/>
    <x v="0"/>
    <x v="0"/>
    <x v="0"/>
    <m/>
    <x v="0"/>
    <x v="0"/>
    <n v="-0.59200200000000003"/>
    <m/>
    <x v="1"/>
    <x v="3"/>
    <x v="0"/>
    <x v="3"/>
    <x v="1"/>
  </r>
  <r>
    <s v="Singapore"/>
    <x v="4"/>
    <s v="SG2"/>
    <m/>
    <x v="1"/>
    <x v="4"/>
    <x v="3"/>
    <x v="5"/>
    <x v="0"/>
    <x v="0"/>
    <x v="0"/>
    <m/>
    <x v="0"/>
    <x v="0"/>
    <n v="-0.545265"/>
    <m/>
    <x v="0"/>
    <x v="3"/>
    <x v="0"/>
    <x v="5"/>
    <x v="0"/>
  </r>
  <r>
    <s v="Singapore"/>
    <x v="1"/>
    <s v="SG1"/>
    <m/>
    <x v="0"/>
    <x v="2"/>
    <x v="3"/>
    <x v="4"/>
    <x v="0"/>
    <x v="0"/>
    <x v="0"/>
    <m/>
    <x v="0"/>
    <x v="0"/>
    <n v="-15.726268287000002"/>
    <m/>
    <x v="1"/>
    <x v="2"/>
    <x v="0"/>
    <x v="0"/>
    <x v="0"/>
  </r>
  <r>
    <s v="Singapore"/>
    <x v="5"/>
    <s v="SG2"/>
    <m/>
    <x v="4"/>
    <x v="3"/>
    <x v="0"/>
    <x v="2"/>
    <x v="0"/>
    <x v="0"/>
    <x v="0"/>
    <m/>
    <x v="0"/>
    <x v="0"/>
    <n v="-9.3474000000000002E-2"/>
    <m/>
    <x v="0"/>
    <x v="1"/>
    <x v="0"/>
    <x v="0"/>
    <x v="1"/>
  </r>
  <r>
    <s v="Singapore"/>
    <x v="2"/>
    <s v="SG4"/>
    <m/>
    <x v="2"/>
    <x v="4"/>
    <x v="1"/>
    <x v="0"/>
    <x v="0"/>
    <x v="0"/>
    <x v="0"/>
    <m/>
    <x v="0"/>
    <x v="0"/>
    <n v="-0.46737000000000001"/>
    <m/>
    <x v="4"/>
    <x v="2"/>
    <x v="0"/>
    <x v="0"/>
    <x v="1"/>
  </r>
  <r>
    <s v="Singapore"/>
    <x v="5"/>
    <s v="SG4"/>
    <m/>
    <x v="1"/>
    <x v="0"/>
    <x v="1"/>
    <x v="2"/>
    <x v="0"/>
    <x v="0"/>
    <x v="0"/>
    <m/>
    <x v="0"/>
    <x v="0"/>
    <n v="-0.15401399400000002"/>
    <m/>
    <x v="0"/>
    <x v="1"/>
    <x v="0"/>
    <x v="1"/>
    <x v="2"/>
  </r>
  <r>
    <s v="Singapore"/>
    <x v="0"/>
    <s v="SG1"/>
    <m/>
    <x v="4"/>
    <x v="4"/>
    <x v="0"/>
    <x v="3"/>
    <x v="0"/>
    <x v="0"/>
    <x v="0"/>
    <m/>
    <x v="0"/>
    <x v="0"/>
    <n v="-2.1031650000000002"/>
    <m/>
    <x v="4"/>
    <x v="0"/>
    <x v="0"/>
    <x v="2"/>
    <x v="2"/>
  </r>
  <r>
    <s v="Singapore"/>
    <x v="1"/>
    <s v="SG1"/>
    <m/>
    <x v="0"/>
    <x v="2"/>
    <x v="4"/>
    <x v="0"/>
    <x v="0"/>
    <x v="0"/>
    <x v="0"/>
    <m/>
    <x v="0"/>
    <x v="0"/>
    <n v="-0.62316000000000005"/>
    <m/>
    <x v="4"/>
    <x v="2"/>
    <x v="0"/>
    <x v="0"/>
    <x v="0"/>
  </r>
  <r>
    <s v="Singapore"/>
    <x v="0"/>
    <s v="SG2"/>
    <m/>
    <x v="1"/>
    <x v="0"/>
    <x v="3"/>
    <x v="1"/>
    <x v="0"/>
    <x v="0"/>
    <x v="0"/>
    <m/>
    <x v="0"/>
    <x v="0"/>
    <n v="-0.18373872600000002"/>
    <m/>
    <x v="0"/>
    <x v="2"/>
    <x v="0"/>
    <x v="0"/>
    <x v="0"/>
  </r>
  <r>
    <s v="Singapore"/>
    <x v="1"/>
    <s v="SG3"/>
    <m/>
    <x v="2"/>
    <x v="2"/>
    <x v="0"/>
    <x v="5"/>
    <x v="0"/>
    <x v="0"/>
    <x v="0"/>
    <m/>
    <x v="0"/>
    <x v="0"/>
    <n v="-4.6737000000000001E-2"/>
    <m/>
    <x v="0"/>
    <x v="2"/>
    <x v="0"/>
    <x v="3"/>
    <x v="0"/>
  </r>
  <r>
    <s v="Singapore"/>
    <x v="3"/>
    <s v="SG1"/>
    <m/>
    <x v="2"/>
    <x v="3"/>
    <x v="4"/>
    <x v="5"/>
    <x v="0"/>
    <x v="0"/>
    <x v="0"/>
    <m/>
    <x v="0"/>
    <x v="0"/>
    <n v="-19.214297334000001"/>
    <m/>
    <x v="7"/>
    <x v="3"/>
    <x v="0"/>
    <x v="5"/>
    <x v="1"/>
  </r>
  <r>
    <s v="Singapore"/>
    <x v="1"/>
    <s v="SG4"/>
    <m/>
    <x v="4"/>
    <x v="3"/>
    <x v="1"/>
    <x v="1"/>
    <x v="0"/>
    <x v="0"/>
    <x v="0"/>
    <m/>
    <x v="0"/>
    <x v="0"/>
    <n v="-0.1838322"/>
    <m/>
    <x v="4"/>
    <x v="2"/>
    <x v="0"/>
    <x v="0"/>
    <x v="0"/>
  </r>
  <r>
    <s v="Singapore"/>
    <x v="5"/>
    <s v="SG4"/>
    <m/>
    <x v="0"/>
    <x v="0"/>
    <x v="3"/>
    <x v="1"/>
    <x v="0"/>
    <x v="0"/>
    <x v="0"/>
    <m/>
    <x v="0"/>
    <x v="0"/>
    <n v="-1.959978411"/>
    <m/>
    <x v="4"/>
    <x v="1"/>
    <x v="0"/>
    <x v="3"/>
    <x v="2"/>
  </r>
  <r>
    <s v="Singapore"/>
    <x v="0"/>
    <s v="SG3"/>
    <m/>
    <x v="1"/>
    <x v="1"/>
    <x v="1"/>
    <x v="1"/>
    <x v="0"/>
    <x v="0"/>
    <x v="0"/>
    <m/>
    <x v="0"/>
    <x v="0"/>
    <n v="-79.251930900000005"/>
    <m/>
    <x v="3"/>
    <x v="3"/>
    <x v="0"/>
    <x v="0"/>
    <x v="1"/>
  </r>
  <r>
    <s v="Singapore"/>
    <x v="2"/>
    <s v="SG3"/>
    <m/>
    <x v="4"/>
    <x v="0"/>
    <x v="1"/>
    <x v="3"/>
    <x v="0"/>
    <x v="0"/>
    <x v="0"/>
    <m/>
    <x v="0"/>
    <x v="0"/>
    <n v="-0.15579000000000001"/>
    <m/>
    <x v="0"/>
    <x v="1"/>
    <x v="0"/>
    <x v="4"/>
    <x v="1"/>
  </r>
  <r>
    <s v="Singapore"/>
    <x v="3"/>
    <s v="SG4"/>
    <m/>
    <x v="1"/>
    <x v="0"/>
    <x v="0"/>
    <x v="1"/>
    <x v="0"/>
    <x v="0"/>
    <x v="0"/>
    <m/>
    <x v="0"/>
    <x v="0"/>
    <n v="2.8042199999999999"/>
    <m/>
    <x v="6"/>
    <x v="3"/>
    <x v="0"/>
    <x v="2"/>
    <x v="0"/>
  </r>
  <r>
    <s v="Singapore"/>
    <x v="5"/>
    <s v="SG1"/>
    <m/>
    <x v="4"/>
    <x v="2"/>
    <x v="4"/>
    <x v="4"/>
    <x v="0"/>
    <x v="0"/>
    <x v="0"/>
    <m/>
    <x v="0"/>
    <x v="0"/>
    <n v="-0.62316000000000005"/>
    <m/>
    <x v="4"/>
    <x v="0"/>
    <x v="0"/>
    <x v="1"/>
    <x v="1"/>
  </r>
  <r>
    <s v="Singapore"/>
    <x v="1"/>
    <s v="SG4"/>
    <m/>
    <x v="0"/>
    <x v="2"/>
    <x v="1"/>
    <x v="4"/>
    <x v="0"/>
    <x v="0"/>
    <x v="0"/>
    <m/>
    <x v="0"/>
    <x v="0"/>
    <n v="-0.15579000000000001"/>
    <m/>
    <x v="0"/>
    <x v="1"/>
    <x v="0"/>
    <x v="5"/>
    <x v="1"/>
  </r>
  <r>
    <s v="Singapore"/>
    <x v="3"/>
    <s v="SG3"/>
    <m/>
    <x v="1"/>
    <x v="1"/>
    <x v="4"/>
    <x v="4"/>
    <x v="0"/>
    <x v="0"/>
    <x v="0"/>
    <m/>
    <x v="0"/>
    <x v="0"/>
    <n v="0.96904495800000001"/>
    <m/>
    <x v="8"/>
    <x v="1"/>
    <x v="0"/>
    <x v="2"/>
    <x v="1"/>
  </r>
  <r>
    <s v="Singapore"/>
    <x v="2"/>
    <s v="SG2"/>
    <m/>
    <x v="0"/>
    <x v="0"/>
    <x v="2"/>
    <x v="5"/>
    <x v="0"/>
    <x v="0"/>
    <x v="0"/>
    <m/>
    <x v="0"/>
    <x v="0"/>
    <n v="-0.1838322"/>
    <m/>
    <x v="4"/>
    <x v="2"/>
    <x v="0"/>
    <x v="4"/>
    <x v="0"/>
  </r>
  <r>
    <s v="Singapore"/>
    <x v="1"/>
    <s v="SG2"/>
    <m/>
    <x v="5"/>
    <x v="4"/>
    <x v="2"/>
    <x v="1"/>
    <x v="0"/>
    <x v="0"/>
    <x v="0"/>
    <m/>
    <x v="0"/>
    <x v="0"/>
    <n v="-4.424436"/>
    <m/>
    <x v="11"/>
    <x v="2"/>
    <x v="0"/>
    <x v="4"/>
    <x v="2"/>
  </r>
  <r>
    <s v="Singapore"/>
    <x v="0"/>
    <s v="SG2"/>
    <m/>
    <x v="3"/>
    <x v="0"/>
    <x v="1"/>
    <x v="5"/>
    <x v="0"/>
    <x v="0"/>
    <x v="0"/>
    <m/>
    <x v="0"/>
    <x v="0"/>
    <n v="-7.0105500000000001E-2"/>
    <m/>
    <x v="4"/>
    <x v="0"/>
    <x v="0"/>
    <x v="1"/>
    <x v="1"/>
  </r>
  <r>
    <s v="Singapore"/>
    <x v="2"/>
    <s v="SG2"/>
    <m/>
    <x v="1"/>
    <x v="0"/>
    <x v="4"/>
    <x v="2"/>
    <x v="0"/>
    <x v="0"/>
    <x v="0"/>
    <m/>
    <x v="0"/>
    <x v="0"/>
    <n v="0.20252700000000001"/>
    <m/>
    <x v="1"/>
    <x v="1"/>
    <x v="0"/>
    <x v="4"/>
    <x v="2"/>
  </r>
  <r>
    <s v="Singapore"/>
    <x v="3"/>
    <s v="SG4"/>
    <m/>
    <x v="4"/>
    <x v="1"/>
    <x v="2"/>
    <x v="5"/>
    <x v="0"/>
    <x v="0"/>
    <x v="0"/>
    <m/>
    <x v="0"/>
    <x v="0"/>
    <n v="-0.24926400000000001"/>
    <m/>
    <x v="0"/>
    <x v="1"/>
    <x v="0"/>
    <x v="0"/>
    <x v="2"/>
  </r>
  <r>
    <s v="Singapore"/>
    <x v="0"/>
    <s v="SG4"/>
    <m/>
    <x v="4"/>
    <x v="1"/>
    <x v="1"/>
    <x v="0"/>
    <x v="0"/>
    <x v="0"/>
    <x v="0"/>
    <m/>
    <x v="0"/>
    <x v="0"/>
    <n v="0.1838322"/>
    <m/>
    <x v="4"/>
    <x v="0"/>
    <x v="0"/>
    <x v="1"/>
    <x v="0"/>
  </r>
  <r>
    <s v="Singapore"/>
    <x v="5"/>
    <s v="SG4"/>
    <m/>
    <x v="4"/>
    <x v="4"/>
    <x v="4"/>
    <x v="4"/>
    <x v="0"/>
    <x v="0"/>
    <x v="0"/>
    <m/>
    <x v="0"/>
    <x v="0"/>
    <n v="-0.14800050000000001"/>
    <m/>
    <x v="4"/>
    <x v="1"/>
    <x v="0"/>
    <x v="1"/>
    <x v="1"/>
  </r>
  <r>
    <s v="Singapore"/>
    <x v="2"/>
    <s v="SG1"/>
    <m/>
    <x v="1"/>
    <x v="3"/>
    <x v="1"/>
    <x v="5"/>
    <x v="0"/>
    <x v="0"/>
    <x v="0"/>
    <m/>
    <x v="0"/>
    <x v="0"/>
    <n v="0.85684500000000008"/>
    <m/>
    <x v="8"/>
    <x v="1"/>
    <x v="0"/>
    <x v="4"/>
    <x v="0"/>
  </r>
  <r>
    <s v="Singapore"/>
    <x v="3"/>
    <s v="SG2"/>
    <m/>
    <x v="1"/>
    <x v="2"/>
    <x v="3"/>
    <x v="3"/>
    <x v="0"/>
    <x v="0"/>
    <x v="0"/>
    <m/>
    <x v="0"/>
    <x v="0"/>
    <n v="-1.9161858420000002"/>
    <m/>
    <x v="4"/>
    <x v="1"/>
    <x v="0"/>
    <x v="1"/>
    <x v="0"/>
  </r>
  <r>
    <s v="Singapore"/>
    <x v="5"/>
    <s v="SG1"/>
    <m/>
    <x v="5"/>
    <x v="0"/>
    <x v="0"/>
    <x v="1"/>
    <x v="0"/>
    <x v="0"/>
    <x v="0"/>
    <m/>
    <x v="0"/>
    <x v="0"/>
    <n v="0.62316000000000005"/>
    <m/>
    <x v="1"/>
    <x v="3"/>
    <x v="0"/>
    <x v="2"/>
    <x v="1"/>
  </r>
  <r>
    <s v="Singapore"/>
    <x v="2"/>
    <s v="SG4"/>
    <m/>
    <x v="5"/>
    <x v="3"/>
    <x v="4"/>
    <x v="5"/>
    <x v="0"/>
    <x v="0"/>
    <x v="0"/>
    <m/>
    <x v="0"/>
    <x v="0"/>
    <n v="0.50631749999999998"/>
    <m/>
    <x v="8"/>
    <x v="2"/>
    <x v="0"/>
    <x v="4"/>
    <x v="1"/>
  </r>
  <r>
    <s v="Singapore"/>
    <x v="0"/>
    <s v="SG4"/>
    <m/>
    <x v="3"/>
    <x v="2"/>
    <x v="0"/>
    <x v="2"/>
    <x v="0"/>
    <x v="0"/>
    <x v="0"/>
    <m/>
    <x v="0"/>
    <x v="0"/>
    <n v="-3.7389600000000001"/>
    <m/>
    <x v="0"/>
    <x v="1"/>
    <x v="0"/>
    <x v="1"/>
    <x v="1"/>
  </r>
  <r>
    <s v="Singapore"/>
    <x v="4"/>
    <s v="SG3"/>
    <m/>
    <x v="1"/>
    <x v="3"/>
    <x v="1"/>
    <x v="0"/>
    <x v="0"/>
    <x v="0"/>
    <x v="0"/>
    <m/>
    <x v="0"/>
    <x v="0"/>
    <n v="-0.186948"/>
    <m/>
    <x v="3"/>
    <x v="1"/>
    <x v="0"/>
    <x v="0"/>
    <x v="0"/>
  </r>
  <r>
    <s v="Singapore"/>
    <x v="3"/>
    <s v="SG1"/>
    <m/>
    <x v="2"/>
    <x v="3"/>
    <x v="3"/>
    <x v="3"/>
    <x v="0"/>
    <x v="0"/>
    <x v="0"/>
    <m/>
    <x v="0"/>
    <x v="0"/>
    <n v="-0.233685"/>
    <m/>
    <x v="0"/>
    <x v="3"/>
    <x v="0"/>
    <x v="3"/>
    <x v="2"/>
  </r>
  <r>
    <s v="Singapore"/>
    <x v="0"/>
    <s v="SG2"/>
    <m/>
    <x v="1"/>
    <x v="1"/>
    <x v="3"/>
    <x v="0"/>
    <x v="0"/>
    <x v="0"/>
    <x v="0"/>
    <m/>
    <x v="0"/>
    <x v="0"/>
    <n v="-7.7895000000000006E-2"/>
    <m/>
    <x v="0"/>
    <x v="0"/>
    <x v="0"/>
    <x v="1"/>
    <x v="1"/>
  </r>
  <r>
    <s v="Singapore"/>
    <x v="2"/>
    <s v="SG4"/>
    <m/>
    <x v="0"/>
    <x v="2"/>
    <x v="3"/>
    <x v="5"/>
    <x v="0"/>
    <x v="0"/>
    <x v="0"/>
    <m/>
    <x v="0"/>
    <x v="0"/>
    <n v="-0.10905300000000001"/>
    <m/>
    <x v="4"/>
    <x v="2"/>
    <x v="0"/>
    <x v="5"/>
    <x v="1"/>
  </r>
  <r>
    <s v="Singapore"/>
    <x v="0"/>
    <s v="SG1"/>
    <m/>
    <x v="3"/>
    <x v="3"/>
    <x v="1"/>
    <x v="5"/>
    <x v="0"/>
    <x v="0"/>
    <x v="0"/>
    <m/>
    <x v="0"/>
    <x v="0"/>
    <n v="-0.233685"/>
    <m/>
    <x v="0"/>
    <x v="1"/>
    <x v="0"/>
    <x v="4"/>
    <x v="2"/>
  </r>
  <r>
    <s v="Singapore"/>
    <x v="0"/>
    <s v="SG1"/>
    <m/>
    <x v="3"/>
    <x v="3"/>
    <x v="0"/>
    <x v="1"/>
    <x v="0"/>
    <x v="0"/>
    <x v="0"/>
    <m/>
    <x v="0"/>
    <x v="0"/>
    <n v="3.3222217500000002"/>
    <m/>
    <x v="1"/>
    <x v="0"/>
    <x v="0"/>
    <x v="4"/>
    <x v="0"/>
  </r>
  <r>
    <s v="Singapore"/>
    <x v="1"/>
    <s v="SG4"/>
    <m/>
    <x v="5"/>
    <x v="3"/>
    <x v="4"/>
    <x v="0"/>
    <x v="0"/>
    <x v="0"/>
    <x v="0"/>
    <m/>
    <x v="0"/>
    <x v="0"/>
    <n v="-1.2276252000000001"/>
    <m/>
    <x v="4"/>
    <x v="2"/>
    <x v="0"/>
    <x v="0"/>
    <x v="1"/>
  </r>
  <r>
    <s v="Singapore"/>
    <x v="2"/>
    <s v="SG4"/>
    <m/>
    <x v="2"/>
    <x v="4"/>
    <x v="3"/>
    <x v="3"/>
    <x v="0"/>
    <x v="0"/>
    <x v="0"/>
    <m/>
    <x v="0"/>
    <x v="0"/>
    <n v="-0.70105499999999998"/>
    <m/>
    <x v="4"/>
    <x v="1"/>
    <x v="0"/>
    <x v="3"/>
    <x v="2"/>
  </r>
  <r>
    <s v="Singapore"/>
    <x v="3"/>
    <s v="SG3"/>
    <m/>
    <x v="2"/>
    <x v="4"/>
    <x v="1"/>
    <x v="2"/>
    <x v="0"/>
    <x v="0"/>
    <x v="0"/>
    <m/>
    <x v="0"/>
    <x v="0"/>
    <n v="0.17136900000000002"/>
    <m/>
    <x v="8"/>
    <x v="1"/>
    <x v="0"/>
    <x v="1"/>
    <x v="2"/>
  </r>
  <r>
    <s v="Singapore"/>
    <x v="4"/>
    <s v="SG1"/>
    <m/>
    <x v="0"/>
    <x v="0"/>
    <x v="2"/>
    <x v="0"/>
    <x v="0"/>
    <x v="0"/>
    <x v="0"/>
    <m/>
    <x v="0"/>
    <x v="0"/>
    <n v="-1.4021100000000002E-2"/>
    <m/>
    <x v="3"/>
    <x v="1"/>
    <x v="0"/>
    <x v="2"/>
    <x v="1"/>
  </r>
  <r>
    <s v="Singapore"/>
    <x v="0"/>
    <s v="SG2"/>
    <m/>
    <x v="4"/>
    <x v="4"/>
    <x v="1"/>
    <x v="3"/>
    <x v="0"/>
    <x v="0"/>
    <x v="0"/>
    <m/>
    <x v="0"/>
    <x v="0"/>
    <n v="-0.15579000000000001"/>
    <m/>
    <x v="0"/>
    <x v="1"/>
    <x v="0"/>
    <x v="0"/>
    <x v="1"/>
  </r>
  <r>
    <s v="Singapore"/>
    <x v="2"/>
    <s v="SG4"/>
    <m/>
    <x v="5"/>
    <x v="1"/>
    <x v="4"/>
    <x v="4"/>
    <x v="0"/>
    <x v="0"/>
    <x v="0"/>
    <m/>
    <x v="0"/>
    <x v="0"/>
    <n v="-1.078160274"/>
    <m/>
    <x v="0"/>
    <x v="1"/>
    <x v="0"/>
    <x v="2"/>
    <x v="0"/>
  </r>
  <r>
    <s v="Singapore"/>
    <x v="5"/>
    <s v="SG3"/>
    <m/>
    <x v="2"/>
    <x v="4"/>
    <x v="0"/>
    <x v="3"/>
    <x v="0"/>
    <x v="0"/>
    <x v="0"/>
    <m/>
    <x v="0"/>
    <x v="0"/>
    <n v="-0.43621200000000004"/>
    <m/>
    <x v="0"/>
    <x v="2"/>
    <x v="0"/>
    <x v="2"/>
    <x v="1"/>
  </r>
  <r>
    <s v="Singapore"/>
    <x v="2"/>
    <s v="SG1"/>
    <m/>
    <x v="4"/>
    <x v="3"/>
    <x v="4"/>
    <x v="4"/>
    <x v="0"/>
    <x v="0"/>
    <x v="0"/>
    <m/>
    <x v="0"/>
    <x v="0"/>
    <n v="-0.30661029900000003"/>
    <m/>
    <x v="4"/>
    <x v="3"/>
    <x v="0"/>
    <x v="2"/>
    <x v="1"/>
  </r>
  <r>
    <s v="Singapore"/>
    <x v="5"/>
    <s v="SG3"/>
    <m/>
    <x v="5"/>
    <x v="4"/>
    <x v="1"/>
    <x v="4"/>
    <x v="0"/>
    <x v="0"/>
    <x v="0"/>
    <m/>
    <x v="0"/>
    <x v="0"/>
    <n v="1.137267"/>
    <m/>
    <x v="1"/>
    <x v="0"/>
    <x v="0"/>
    <x v="2"/>
    <x v="0"/>
  </r>
  <r>
    <s v="Singapore"/>
    <x v="0"/>
    <s v="SG4"/>
    <m/>
    <x v="2"/>
    <x v="2"/>
    <x v="2"/>
    <x v="2"/>
    <x v="0"/>
    <x v="0"/>
    <x v="0"/>
    <m/>
    <x v="0"/>
    <x v="0"/>
    <n v="-0.18507852"/>
    <m/>
    <x v="6"/>
    <x v="2"/>
    <x v="0"/>
    <x v="5"/>
    <x v="0"/>
  </r>
  <r>
    <s v="Singapore"/>
    <x v="1"/>
    <s v="SG2"/>
    <m/>
    <x v="2"/>
    <x v="0"/>
    <x v="0"/>
    <x v="3"/>
    <x v="0"/>
    <x v="0"/>
    <x v="0"/>
    <m/>
    <x v="0"/>
    <x v="0"/>
    <n v="3.4865802000000001E-2"/>
    <m/>
    <x v="1"/>
    <x v="3"/>
    <x v="0"/>
    <x v="3"/>
    <x v="2"/>
  </r>
  <r>
    <s v="Singapore"/>
    <x v="2"/>
    <s v="SG4"/>
    <m/>
    <x v="0"/>
    <x v="1"/>
    <x v="3"/>
    <x v="0"/>
    <x v="0"/>
    <x v="0"/>
    <x v="0"/>
    <m/>
    <x v="0"/>
    <x v="0"/>
    <n v="-0.60460541099999998"/>
    <m/>
    <x v="7"/>
    <x v="2"/>
    <x v="0"/>
    <x v="3"/>
    <x v="1"/>
  </r>
  <r>
    <s v="Singapore"/>
    <x v="2"/>
    <s v="SG4"/>
    <m/>
    <x v="1"/>
    <x v="0"/>
    <x v="0"/>
    <x v="5"/>
    <x v="0"/>
    <x v="0"/>
    <x v="0"/>
    <m/>
    <x v="0"/>
    <x v="0"/>
    <n v="-0.1838322"/>
    <m/>
    <x v="4"/>
    <x v="1"/>
    <x v="0"/>
    <x v="4"/>
    <x v="0"/>
  </r>
  <r>
    <s v="Singapore"/>
    <x v="4"/>
    <s v="SG4"/>
    <m/>
    <x v="4"/>
    <x v="3"/>
    <x v="2"/>
    <x v="5"/>
    <x v="0"/>
    <x v="0"/>
    <x v="0"/>
    <m/>
    <x v="0"/>
    <x v="0"/>
    <n v="4.065153102"/>
    <m/>
    <x v="7"/>
    <x v="1"/>
    <x v="0"/>
    <x v="1"/>
    <x v="1"/>
  </r>
  <r>
    <s v="Singapore"/>
    <x v="0"/>
    <s v="SG2"/>
    <m/>
    <x v="4"/>
    <x v="1"/>
    <x v="0"/>
    <x v="0"/>
    <x v="0"/>
    <x v="0"/>
    <x v="0"/>
    <m/>
    <x v="0"/>
    <x v="0"/>
    <n v="0.15579000000000001"/>
    <m/>
    <x v="1"/>
    <x v="0"/>
    <x v="0"/>
    <x v="1"/>
    <x v="1"/>
  </r>
  <r>
    <s v="Singapore"/>
    <x v="3"/>
    <s v="SG2"/>
    <m/>
    <x v="2"/>
    <x v="0"/>
    <x v="3"/>
    <x v="5"/>
    <x v="0"/>
    <x v="0"/>
    <x v="0"/>
    <m/>
    <x v="0"/>
    <x v="0"/>
    <n v="2.1654810000000002"/>
    <m/>
    <x v="1"/>
    <x v="3"/>
    <x v="0"/>
    <x v="3"/>
    <x v="0"/>
  </r>
  <r>
    <s v="Singapore"/>
    <x v="4"/>
    <s v="SG2"/>
    <m/>
    <x v="0"/>
    <x v="1"/>
    <x v="3"/>
    <x v="4"/>
    <x v="0"/>
    <x v="0"/>
    <x v="0"/>
    <m/>
    <x v="0"/>
    <x v="0"/>
    <n v="-0.69046128000000007"/>
    <m/>
    <x v="3"/>
    <x v="1"/>
    <x v="0"/>
    <x v="3"/>
    <x v="1"/>
  </r>
  <r>
    <s v="Singapore"/>
    <x v="3"/>
    <s v="SG2"/>
    <m/>
    <x v="1"/>
    <x v="4"/>
    <x v="1"/>
    <x v="3"/>
    <x v="0"/>
    <x v="0"/>
    <x v="0"/>
    <m/>
    <x v="0"/>
    <x v="0"/>
    <n v="0.21810600000000002"/>
    <m/>
    <x v="4"/>
    <x v="1"/>
    <x v="0"/>
    <x v="1"/>
    <x v="2"/>
  </r>
  <r>
    <s v="Singapore"/>
    <x v="2"/>
    <s v="SG1"/>
    <m/>
    <x v="2"/>
    <x v="4"/>
    <x v="4"/>
    <x v="0"/>
    <x v="0"/>
    <x v="0"/>
    <x v="0"/>
    <m/>
    <x v="0"/>
    <x v="0"/>
    <n v="-0.93474000000000002"/>
    <m/>
    <x v="4"/>
    <x v="3"/>
    <x v="0"/>
    <x v="2"/>
    <x v="0"/>
  </r>
  <r>
    <s v="Singapore"/>
    <x v="0"/>
    <s v="SG2"/>
    <m/>
    <x v="3"/>
    <x v="4"/>
    <x v="4"/>
    <x v="1"/>
    <x v="0"/>
    <x v="0"/>
    <x v="0"/>
    <m/>
    <x v="0"/>
    <x v="0"/>
    <n v="1.6591635"/>
    <m/>
    <x v="1"/>
    <x v="1"/>
    <x v="0"/>
    <x v="5"/>
    <x v="0"/>
  </r>
  <r>
    <s v="Singapore"/>
    <x v="4"/>
    <s v="SG1"/>
    <m/>
    <x v="1"/>
    <x v="4"/>
    <x v="0"/>
    <x v="3"/>
    <x v="0"/>
    <x v="0"/>
    <x v="0"/>
    <m/>
    <x v="0"/>
    <x v="0"/>
    <n v="-0.22433760000000003"/>
    <m/>
    <x v="3"/>
    <x v="1"/>
    <x v="0"/>
    <x v="4"/>
    <x v="0"/>
  </r>
  <r>
    <s v="Singapore"/>
    <x v="1"/>
    <s v="SG2"/>
    <m/>
    <x v="5"/>
    <x v="4"/>
    <x v="0"/>
    <x v="2"/>
    <x v="0"/>
    <x v="0"/>
    <x v="0"/>
    <m/>
    <x v="0"/>
    <x v="0"/>
    <n v="51.365396267999998"/>
    <m/>
    <x v="1"/>
    <x v="3"/>
    <x v="0"/>
    <x v="0"/>
    <x v="2"/>
  </r>
  <r>
    <s v="Singapore"/>
    <x v="3"/>
    <s v="SG3"/>
    <m/>
    <x v="1"/>
    <x v="0"/>
    <x v="3"/>
    <x v="4"/>
    <x v="0"/>
    <x v="0"/>
    <x v="0"/>
    <m/>
    <x v="0"/>
    <x v="0"/>
    <n v="-0.186948"/>
    <m/>
    <x v="0"/>
    <x v="1"/>
    <x v="0"/>
    <x v="4"/>
    <x v="2"/>
  </r>
  <r>
    <s v="Singapore"/>
    <x v="3"/>
    <s v="SG3"/>
    <m/>
    <x v="5"/>
    <x v="0"/>
    <x v="0"/>
    <x v="2"/>
    <x v="0"/>
    <x v="0"/>
    <x v="0"/>
    <m/>
    <x v="0"/>
    <x v="0"/>
    <n v="-0.12463200000000001"/>
    <m/>
    <x v="0"/>
    <x v="1"/>
    <x v="0"/>
    <x v="3"/>
    <x v="2"/>
  </r>
  <r>
    <s v="Singapore"/>
    <x v="1"/>
    <s v="SG2"/>
    <m/>
    <x v="2"/>
    <x v="0"/>
    <x v="2"/>
    <x v="5"/>
    <x v="0"/>
    <x v="0"/>
    <x v="0"/>
    <m/>
    <x v="0"/>
    <x v="0"/>
    <n v="0.1168425"/>
    <m/>
    <x v="1"/>
    <x v="2"/>
    <x v="0"/>
    <x v="3"/>
    <x v="0"/>
  </r>
  <r>
    <s v="Singapore"/>
    <x v="3"/>
    <s v="SG2"/>
    <m/>
    <x v="5"/>
    <x v="0"/>
    <x v="4"/>
    <x v="2"/>
    <x v="0"/>
    <x v="0"/>
    <x v="0"/>
    <m/>
    <x v="0"/>
    <x v="0"/>
    <n v="-4.1284350000000005"/>
    <m/>
    <x v="6"/>
    <x v="1"/>
    <x v="0"/>
    <x v="5"/>
    <x v="2"/>
  </r>
  <r>
    <s v="Singapore"/>
    <x v="2"/>
    <s v="SG1"/>
    <m/>
    <x v="4"/>
    <x v="4"/>
    <x v="2"/>
    <x v="0"/>
    <x v="0"/>
    <x v="0"/>
    <x v="0"/>
    <m/>
    <x v="0"/>
    <x v="0"/>
    <n v="10.954965852000001"/>
    <m/>
    <x v="7"/>
    <x v="2"/>
    <x v="0"/>
    <x v="1"/>
    <x v="1"/>
  </r>
  <r>
    <s v="Singapore"/>
    <x v="2"/>
    <s v="SG2"/>
    <m/>
    <x v="1"/>
    <x v="4"/>
    <x v="4"/>
    <x v="2"/>
    <x v="0"/>
    <x v="0"/>
    <x v="0"/>
    <m/>
    <x v="0"/>
    <x v="0"/>
    <n v="-1.480005"/>
    <m/>
    <x v="4"/>
    <x v="2"/>
    <x v="0"/>
    <x v="1"/>
    <x v="1"/>
  </r>
  <r>
    <s v="Singapore"/>
    <x v="1"/>
    <s v="SG3"/>
    <m/>
    <x v="1"/>
    <x v="2"/>
    <x v="1"/>
    <x v="1"/>
    <x v="0"/>
    <x v="0"/>
    <x v="0"/>
    <m/>
    <x v="0"/>
    <x v="0"/>
    <n v="0.17136900000000002"/>
    <m/>
    <x v="0"/>
    <x v="3"/>
    <x v="0"/>
    <x v="4"/>
    <x v="2"/>
  </r>
  <r>
    <s v="Singapore"/>
    <x v="5"/>
    <s v="SG2"/>
    <m/>
    <x v="2"/>
    <x v="1"/>
    <x v="2"/>
    <x v="1"/>
    <x v="0"/>
    <x v="0"/>
    <x v="0"/>
    <m/>
    <x v="0"/>
    <x v="0"/>
    <n v="-1.2463200000000001E-2"/>
    <m/>
    <x v="6"/>
    <x v="3"/>
    <x v="0"/>
    <x v="3"/>
    <x v="0"/>
  </r>
  <r>
    <s v="Singapore"/>
    <x v="1"/>
    <s v="SG1"/>
    <m/>
    <x v="1"/>
    <x v="3"/>
    <x v="4"/>
    <x v="0"/>
    <x v="0"/>
    <x v="0"/>
    <x v="0"/>
    <m/>
    <x v="0"/>
    <x v="0"/>
    <n v="1.3709520000000002"/>
    <m/>
    <x v="1"/>
    <x v="2"/>
    <x v="0"/>
    <x v="5"/>
    <x v="0"/>
  </r>
  <r>
    <s v="Singapore"/>
    <x v="3"/>
    <s v="SG3"/>
    <m/>
    <x v="0"/>
    <x v="4"/>
    <x v="4"/>
    <x v="5"/>
    <x v="0"/>
    <x v="0"/>
    <x v="0"/>
    <m/>
    <x v="0"/>
    <x v="0"/>
    <n v="1.40211"/>
    <m/>
    <x v="4"/>
    <x v="0"/>
    <x v="0"/>
    <x v="3"/>
    <x v="0"/>
  </r>
  <r>
    <s v="Singapore"/>
    <x v="4"/>
    <s v="SG1"/>
    <m/>
    <x v="0"/>
    <x v="4"/>
    <x v="3"/>
    <x v="3"/>
    <x v="0"/>
    <x v="0"/>
    <x v="0"/>
    <m/>
    <x v="0"/>
    <x v="0"/>
    <n v="1.7837955000000001"/>
    <m/>
    <x v="1"/>
    <x v="3"/>
    <x v="0"/>
    <x v="5"/>
    <x v="2"/>
  </r>
  <r>
    <s v="Singapore"/>
    <x v="2"/>
    <s v="SG4"/>
    <m/>
    <x v="0"/>
    <x v="3"/>
    <x v="3"/>
    <x v="0"/>
    <x v="0"/>
    <x v="0"/>
    <x v="0"/>
    <m/>
    <x v="0"/>
    <x v="0"/>
    <n v="0.12463200000000001"/>
    <m/>
    <x v="0"/>
    <x v="0"/>
    <x v="0"/>
    <x v="0"/>
    <x v="0"/>
  </r>
  <r>
    <s v="Singapore"/>
    <x v="4"/>
    <s v="SG4"/>
    <m/>
    <x v="2"/>
    <x v="4"/>
    <x v="2"/>
    <x v="5"/>
    <x v="0"/>
    <x v="0"/>
    <x v="0"/>
    <m/>
    <x v="0"/>
    <x v="0"/>
    <n v="-0.150555456"/>
    <m/>
    <x v="3"/>
    <x v="2"/>
    <x v="0"/>
    <x v="2"/>
    <x v="0"/>
  </r>
  <r>
    <s v="Singapore"/>
    <x v="4"/>
    <s v="SG1"/>
    <m/>
    <x v="0"/>
    <x v="2"/>
    <x v="1"/>
    <x v="3"/>
    <x v="0"/>
    <x v="0"/>
    <x v="0"/>
    <m/>
    <x v="0"/>
    <x v="0"/>
    <n v="3.4351695000000002"/>
    <m/>
    <x v="1"/>
    <x v="3"/>
    <x v="0"/>
    <x v="1"/>
    <x v="2"/>
  </r>
  <r>
    <s v="Singapore"/>
    <x v="1"/>
    <s v="SG1"/>
    <m/>
    <x v="5"/>
    <x v="2"/>
    <x v="1"/>
    <x v="4"/>
    <x v="0"/>
    <x v="0"/>
    <x v="0"/>
    <m/>
    <x v="0"/>
    <x v="0"/>
    <n v="-0.12463200000000001"/>
    <m/>
    <x v="4"/>
    <x v="1"/>
    <x v="0"/>
    <x v="0"/>
    <x v="2"/>
  </r>
  <r>
    <s v="Singapore"/>
    <x v="1"/>
    <s v="SG2"/>
    <m/>
    <x v="4"/>
    <x v="2"/>
    <x v="3"/>
    <x v="4"/>
    <x v="0"/>
    <x v="0"/>
    <x v="0"/>
    <m/>
    <x v="0"/>
    <x v="0"/>
    <n v="-0.1838322"/>
    <m/>
    <x v="4"/>
    <x v="0"/>
    <x v="0"/>
    <x v="2"/>
    <x v="2"/>
  </r>
  <r>
    <s v="Singapore"/>
    <x v="4"/>
    <s v="SG4"/>
    <m/>
    <x v="5"/>
    <x v="2"/>
    <x v="0"/>
    <x v="5"/>
    <x v="0"/>
    <x v="0"/>
    <x v="0"/>
    <m/>
    <x v="0"/>
    <x v="0"/>
    <n v="0.70105499999999998"/>
    <m/>
    <x v="1"/>
    <x v="0"/>
    <x v="0"/>
    <x v="3"/>
    <x v="0"/>
  </r>
  <r>
    <s v="Singapore"/>
    <x v="1"/>
    <s v="SG1"/>
    <m/>
    <x v="2"/>
    <x v="3"/>
    <x v="0"/>
    <x v="5"/>
    <x v="0"/>
    <x v="0"/>
    <x v="0"/>
    <m/>
    <x v="0"/>
    <x v="0"/>
    <n v="-4.2063300000000003"/>
    <m/>
    <x v="4"/>
    <x v="0"/>
    <x v="0"/>
    <x v="4"/>
    <x v="1"/>
  </r>
  <r>
    <s v="Singapore"/>
    <x v="3"/>
    <s v="SG1"/>
    <m/>
    <x v="1"/>
    <x v="2"/>
    <x v="3"/>
    <x v="1"/>
    <x v="0"/>
    <x v="0"/>
    <x v="0"/>
    <m/>
    <x v="0"/>
    <x v="0"/>
    <n v="-0.77895000000000003"/>
    <m/>
    <x v="4"/>
    <x v="2"/>
    <x v="0"/>
    <x v="3"/>
    <x v="0"/>
  </r>
  <r>
    <s v="Singapore"/>
    <x v="3"/>
    <s v="SG2"/>
    <m/>
    <x v="3"/>
    <x v="2"/>
    <x v="1"/>
    <x v="0"/>
    <x v="0"/>
    <x v="0"/>
    <x v="0"/>
    <m/>
    <x v="0"/>
    <x v="0"/>
    <n v="-0.14055373800000001"/>
    <m/>
    <x v="3"/>
    <x v="2"/>
    <x v="0"/>
    <x v="4"/>
    <x v="2"/>
  </r>
  <r>
    <s v="Singapore"/>
    <x v="2"/>
    <s v="SG4"/>
    <m/>
    <x v="0"/>
    <x v="3"/>
    <x v="2"/>
    <x v="5"/>
    <x v="0"/>
    <x v="0"/>
    <x v="0"/>
    <m/>
    <x v="0"/>
    <x v="0"/>
    <n v="-0.1838322"/>
    <m/>
    <x v="4"/>
    <x v="1"/>
    <x v="0"/>
    <x v="3"/>
    <x v="2"/>
  </r>
  <r>
    <s v="Singapore"/>
    <x v="2"/>
    <s v="SG1"/>
    <m/>
    <x v="5"/>
    <x v="4"/>
    <x v="4"/>
    <x v="4"/>
    <x v="0"/>
    <x v="0"/>
    <x v="0"/>
    <m/>
    <x v="0"/>
    <x v="0"/>
    <n v="2.8556307000000003"/>
    <m/>
    <x v="1"/>
    <x v="2"/>
    <x v="0"/>
    <x v="1"/>
    <x v="2"/>
  </r>
  <r>
    <s v="Singapore"/>
    <x v="5"/>
    <s v="SG4"/>
    <m/>
    <x v="1"/>
    <x v="3"/>
    <x v="2"/>
    <x v="2"/>
    <x v="0"/>
    <x v="0"/>
    <x v="0"/>
    <m/>
    <x v="0"/>
    <x v="0"/>
    <n v="-0.12463200000000001"/>
    <m/>
    <x v="0"/>
    <x v="3"/>
    <x v="0"/>
    <x v="4"/>
    <x v="1"/>
  </r>
  <r>
    <s v="Singapore"/>
    <x v="4"/>
    <s v="SG4"/>
    <m/>
    <x v="5"/>
    <x v="2"/>
    <x v="3"/>
    <x v="3"/>
    <x v="0"/>
    <x v="0"/>
    <x v="0"/>
    <m/>
    <x v="0"/>
    <x v="0"/>
    <n v="-0.174515958"/>
    <m/>
    <x v="6"/>
    <x v="3"/>
    <x v="0"/>
    <x v="2"/>
    <x v="1"/>
  </r>
  <r>
    <s v="Singapore"/>
    <x v="2"/>
    <s v="SG3"/>
    <m/>
    <x v="4"/>
    <x v="2"/>
    <x v="4"/>
    <x v="0"/>
    <x v="0"/>
    <x v="0"/>
    <x v="0"/>
    <m/>
    <x v="0"/>
    <x v="0"/>
    <n v="2.6484300000000003"/>
    <m/>
    <x v="1"/>
    <x v="1"/>
    <x v="0"/>
    <x v="3"/>
    <x v="2"/>
  </r>
  <r>
    <s v="Singapore"/>
    <x v="2"/>
    <s v="SG2"/>
    <m/>
    <x v="2"/>
    <x v="2"/>
    <x v="0"/>
    <x v="1"/>
    <x v="0"/>
    <x v="0"/>
    <x v="0"/>
    <m/>
    <x v="0"/>
    <x v="0"/>
    <n v="-0.66989700000000008"/>
    <m/>
    <x v="4"/>
    <x v="0"/>
    <x v="0"/>
    <x v="1"/>
    <x v="0"/>
  </r>
  <r>
    <s v="Singapore"/>
    <x v="4"/>
    <s v="SG4"/>
    <m/>
    <x v="3"/>
    <x v="4"/>
    <x v="2"/>
    <x v="1"/>
    <x v="0"/>
    <x v="0"/>
    <x v="0"/>
    <m/>
    <x v="0"/>
    <x v="0"/>
    <n v="0.73484585099999999"/>
    <m/>
    <x v="9"/>
    <x v="0"/>
    <x v="0"/>
    <x v="1"/>
    <x v="2"/>
  </r>
  <r>
    <s v="Singapore"/>
    <x v="3"/>
    <s v="SG1"/>
    <m/>
    <x v="1"/>
    <x v="1"/>
    <x v="1"/>
    <x v="5"/>
    <x v="0"/>
    <x v="0"/>
    <x v="0"/>
    <m/>
    <x v="0"/>
    <x v="0"/>
    <n v="-6.3094950000000001"/>
    <m/>
    <x v="3"/>
    <x v="2"/>
    <x v="0"/>
    <x v="3"/>
    <x v="0"/>
  </r>
  <r>
    <s v="Singapore"/>
    <x v="5"/>
    <s v="SG2"/>
    <m/>
    <x v="3"/>
    <x v="2"/>
    <x v="0"/>
    <x v="3"/>
    <x v="0"/>
    <x v="0"/>
    <x v="0"/>
    <m/>
    <x v="0"/>
    <x v="0"/>
    <n v="0.1838322"/>
    <m/>
    <x v="4"/>
    <x v="0"/>
    <x v="0"/>
    <x v="0"/>
    <x v="2"/>
  </r>
  <r>
    <s v="Singapore"/>
    <x v="2"/>
    <s v="SG4"/>
    <m/>
    <x v="4"/>
    <x v="0"/>
    <x v="4"/>
    <x v="4"/>
    <x v="0"/>
    <x v="0"/>
    <x v="0"/>
    <m/>
    <x v="0"/>
    <x v="0"/>
    <n v="-0.85684500000000008"/>
    <m/>
    <x v="1"/>
    <x v="2"/>
    <x v="0"/>
    <x v="3"/>
    <x v="2"/>
  </r>
  <r>
    <s v="Singapore"/>
    <x v="5"/>
    <s v="SG1"/>
    <m/>
    <x v="3"/>
    <x v="0"/>
    <x v="2"/>
    <x v="0"/>
    <x v="0"/>
    <x v="0"/>
    <x v="0"/>
    <m/>
    <x v="0"/>
    <x v="0"/>
    <n v="-2.96001"/>
    <m/>
    <x v="1"/>
    <x v="1"/>
    <x v="0"/>
    <x v="1"/>
    <x v="0"/>
  </r>
  <r>
    <s v="Singapore"/>
    <x v="0"/>
    <s v="SG4"/>
    <m/>
    <x v="1"/>
    <x v="4"/>
    <x v="0"/>
    <x v="2"/>
    <x v="0"/>
    <x v="0"/>
    <x v="0"/>
    <m/>
    <x v="0"/>
    <x v="0"/>
    <n v="-0.903582"/>
    <m/>
    <x v="1"/>
    <x v="1"/>
    <x v="0"/>
    <x v="4"/>
    <x v="1"/>
  </r>
  <r>
    <s v="Singapore"/>
    <x v="3"/>
    <s v="SG2"/>
    <m/>
    <x v="4"/>
    <x v="3"/>
    <x v="0"/>
    <x v="5"/>
    <x v="0"/>
    <x v="0"/>
    <x v="0"/>
    <m/>
    <x v="0"/>
    <x v="0"/>
    <n v="9.2850840000000004E-2"/>
    <m/>
    <x v="8"/>
    <x v="2"/>
    <x v="0"/>
    <x v="1"/>
    <x v="1"/>
  </r>
  <r>
    <s v="Singapore"/>
    <x v="1"/>
    <s v="SG1"/>
    <m/>
    <x v="0"/>
    <x v="1"/>
    <x v="1"/>
    <x v="4"/>
    <x v="0"/>
    <x v="0"/>
    <x v="0"/>
    <m/>
    <x v="0"/>
    <x v="0"/>
    <n v="-0.24926400000000001"/>
    <m/>
    <x v="0"/>
    <x v="2"/>
    <x v="0"/>
    <x v="1"/>
    <x v="1"/>
  </r>
  <r>
    <s v="Singapore"/>
    <x v="4"/>
    <s v="SG4"/>
    <m/>
    <x v="1"/>
    <x v="3"/>
    <x v="0"/>
    <x v="4"/>
    <x v="0"/>
    <x v="0"/>
    <x v="0"/>
    <m/>
    <x v="0"/>
    <x v="0"/>
    <n v="-7.7895000000000006E-2"/>
    <m/>
    <x v="0"/>
    <x v="2"/>
    <x v="0"/>
    <x v="1"/>
    <x v="0"/>
  </r>
  <r>
    <s v="Singapore"/>
    <x v="1"/>
    <s v="SG3"/>
    <m/>
    <x v="1"/>
    <x v="0"/>
    <x v="0"/>
    <x v="0"/>
    <x v="0"/>
    <x v="0"/>
    <x v="0"/>
    <m/>
    <x v="0"/>
    <x v="0"/>
    <n v="-0.280422"/>
    <m/>
    <x v="0"/>
    <x v="1"/>
    <x v="0"/>
    <x v="3"/>
    <x v="1"/>
  </r>
  <r>
    <s v="Singapore"/>
    <x v="5"/>
    <s v="SG2"/>
    <m/>
    <x v="4"/>
    <x v="2"/>
    <x v="3"/>
    <x v="0"/>
    <x v="0"/>
    <x v="0"/>
    <x v="0"/>
    <m/>
    <x v="0"/>
    <x v="0"/>
    <n v="-44.154967698"/>
    <m/>
    <x v="1"/>
    <x v="2"/>
    <x v="0"/>
    <x v="5"/>
    <x v="2"/>
  </r>
  <r>
    <s v="Singapore"/>
    <x v="0"/>
    <s v="SG2"/>
    <m/>
    <x v="4"/>
    <x v="3"/>
    <x v="4"/>
    <x v="5"/>
    <x v="0"/>
    <x v="0"/>
    <x v="0"/>
    <m/>
    <x v="0"/>
    <x v="0"/>
    <n v="-0.24926400000000001"/>
    <m/>
    <x v="0"/>
    <x v="3"/>
    <x v="0"/>
    <x v="1"/>
    <x v="1"/>
  </r>
  <r>
    <s v="Singapore"/>
    <x v="5"/>
    <s v="SG1"/>
    <m/>
    <x v="2"/>
    <x v="3"/>
    <x v="4"/>
    <x v="1"/>
    <x v="0"/>
    <x v="0"/>
    <x v="0"/>
    <m/>
    <x v="0"/>
    <x v="0"/>
    <n v="1.137267"/>
    <m/>
    <x v="1"/>
    <x v="3"/>
    <x v="0"/>
    <x v="2"/>
    <x v="0"/>
  </r>
  <r>
    <s v="Singapore"/>
    <x v="0"/>
    <s v="SG3"/>
    <m/>
    <x v="5"/>
    <x v="3"/>
    <x v="3"/>
    <x v="5"/>
    <x v="0"/>
    <x v="0"/>
    <x v="0"/>
    <m/>
    <x v="0"/>
    <x v="0"/>
    <n v="-0.46737000000000001"/>
    <m/>
    <x v="0"/>
    <x v="1"/>
    <x v="0"/>
    <x v="5"/>
    <x v="0"/>
  </r>
  <r>
    <s v="Singapore"/>
    <x v="1"/>
    <s v="SG2"/>
    <m/>
    <x v="4"/>
    <x v="4"/>
    <x v="2"/>
    <x v="0"/>
    <x v="0"/>
    <x v="0"/>
    <x v="0"/>
    <m/>
    <x v="0"/>
    <x v="0"/>
    <n v="-0.15579000000000001"/>
    <m/>
    <x v="0"/>
    <x v="0"/>
    <x v="0"/>
    <x v="2"/>
    <x v="2"/>
  </r>
  <r>
    <s v="Singapore"/>
    <x v="0"/>
    <s v="SG1"/>
    <m/>
    <x v="1"/>
    <x v="1"/>
    <x v="0"/>
    <x v="0"/>
    <x v="0"/>
    <x v="0"/>
    <x v="0"/>
    <m/>
    <x v="0"/>
    <x v="0"/>
    <n v="-1.1917935000000002"/>
    <m/>
    <x v="1"/>
    <x v="1"/>
    <x v="0"/>
    <x v="5"/>
    <x v="2"/>
  </r>
  <r>
    <s v="Singapore"/>
    <x v="1"/>
    <s v="SG4"/>
    <m/>
    <x v="4"/>
    <x v="1"/>
    <x v="3"/>
    <x v="2"/>
    <x v="0"/>
    <x v="0"/>
    <x v="0"/>
    <m/>
    <x v="0"/>
    <x v="0"/>
    <n v="-0.1838322"/>
    <m/>
    <x v="4"/>
    <x v="1"/>
    <x v="0"/>
    <x v="4"/>
    <x v="0"/>
  </r>
  <r>
    <s v="Singapore"/>
    <x v="0"/>
    <s v="SG3"/>
    <m/>
    <x v="5"/>
    <x v="2"/>
    <x v="3"/>
    <x v="4"/>
    <x v="0"/>
    <x v="0"/>
    <x v="0"/>
    <m/>
    <x v="0"/>
    <x v="0"/>
    <n v="-0.21810600000000002"/>
    <m/>
    <x v="4"/>
    <x v="3"/>
    <x v="0"/>
    <x v="0"/>
    <x v="2"/>
  </r>
  <r>
    <s v="Singapore"/>
    <x v="4"/>
    <s v="SG4"/>
    <m/>
    <x v="4"/>
    <x v="4"/>
    <x v="3"/>
    <x v="0"/>
    <x v="0"/>
    <x v="0"/>
    <x v="0"/>
    <m/>
    <x v="0"/>
    <x v="0"/>
    <n v="-9.3474000000000002E-2"/>
    <m/>
    <x v="0"/>
    <x v="1"/>
    <x v="0"/>
    <x v="1"/>
    <x v="1"/>
  </r>
  <r>
    <s v="Singapore"/>
    <x v="3"/>
    <s v="SG3"/>
    <m/>
    <x v="0"/>
    <x v="2"/>
    <x v="4"/>
    <x v="2"/>
    <x v="0"/>
    <x v="0"/>
    <x v="0"/>
    <m/>
    <x v="0"/>
    <x v="0"/>
    <n v="-0.43621200000000004"/>
    <m/>
    <x v="4"/>
    <x v="1"/>
    <x v="0"/>
    <x v="5"/>
    <x v="0"/>
  </r>
  <r>
    <s v="Singapore"/>
    <x v="1"/>
    <s v="SG2"/>
    <m/>
    <x v="5"/>
    <x v="2"/>
    <x v="1"/>
    <x v="3"/>
    <x v="0"/>
    <x v="0"/>
    <x v="0"/>
    <m/>
    <x v="0"/>
    <x v="0"/>
    <n v="-2.2589550000000003"/>
    <m/>
    <x v="4"/>
    <x v="0"/>
    <x v="0"/>
    <x v="4"/>
    <x v="0"/>
  </r>
  <r>
    <s v="Singapore"/>
    <x v="0"/>
    <s v="SG1"/>
    <m/>
    <x v="3"/>
    <x v="1"/>
    <x v="1"/>
    <x v="0"/>
    <x v="0"/>
    <x v="0"/>
    <x v="0"/>
    <m/>
    <x v="0"/>
    <x v="0"/>
    <n v="-4.6737000000000001E-2"/>
    <m/>
    <x v="0"/>
    <x v="1"/>
    <x v="0"/>
    <x v="0"/>
    <x v="0"/>
  </r>
  <r>
    <s v="Singapore"/>
    <x v="4"/>
    <s v="SG2"/>
    <m/>
    <x v="4"/>
    <x v="1"/>
    <x v="1"/>
    <x v="4"/>
    <x v="0"/>
    <x v="0"/>
    <x v="0"/>
    <m/>
    <x v="0"/>
    <x v="0"/>
    <n v="0.37389600000000001"/>
    <m/>
    <x v="1"/>
    <x v="1"/>
    <x v="0"/>
    <x v="1"/>
    <x v="1"/>
  </r>
  <r>
    <s v="Singapore"/>
    <x v="5"/>
    <s v="SG4"/>
    <m/>
    <x v="2"/>
    <x v="4"/>
    <x v="3"/>
    <x v="1"/>
    <x v="0"/>
    <x v="0"/>
    <x v="0"/>
    <m/>
    <x v="0"/>
    <x v="0"/>
    <n v="-4.6737000000000001E-2"/>
    <m/>
    <x v="0"/>
    <x v="0"/>
    <x v="0"/>
    <x v="2"/>
    <x v="0"/>
  </r>
  <r>
    <s v="Singapore"/>
    <x v="5"/>
    <s v="SG3"/>
    <m/>
    <x v="4"/>
    <x v="0"/>
    <x v="4"/>
    <x v="4"/>
    <x v="0"/>
    <x v="0"/>
    <x v="0"/>
    <m/>
    <x v="0"/>
    <x v="0"/>
    <n v="-0.1838322"/>
    <m/>
    <x v="4"/>
    <x v="1"/>
    <x v="0"/>
    <x v="4"/>
    <x v="0"/>
  </r>
  <r>
    <s v="Singapore"/>
    <x v="2"/>
    <s v="SG2"/>
    <m/>
    <x v="0"/>
    <x v="3"/>
    <x v="0"/>
    <x v="3"/>
    <x v="0"/>
    <x v="0"/>
    <x v="0"/>
    <m/>
    <x v="0"/>
    <x v="0"/>
    <n v="-1.5579000000000001E-2"/>
    <m/>
    <x v="0"/>
    <x v="0"/>
    <x v="0"/>
    <x v="1"/>
    <x v="0"/>
  </r>
  <r>
    <s v="Singapore"/>
    <x v="5"/>
    <s v="SG3"/>
    <m/>
    <x v="3"/>
    <x v="3"/>
    <x v="4"/>
    <x v="0"/>
    <x v="0"/>
    <x v="0"/>
    <x v="0"/>
    <m/>
    <x v="0"/>
    <x v="0"/>
    <n v="-9.3474000000000002E-2"/>
    <m/>
    <x v="0"/>
    <x v="2"/>
    <x v="0"/>
    <x v="2"/>
    <x v="2"/>
  </r>
  <r>
    <s v="Singapore"/>
    <x v="4"/>
    <s v="SG1"/>
    <m/>
    <x v="2"/>
    <x v="2"/>
    <x v="2"/>
    <x v="1"/>
    <x v="0"/>
    <x v="0"/>
    <x v="0"/>
    <m/>
    <x v="0"/>
    <x v="0"/>
    <n v="-0.12463200000000001"/>
    <m/>
    <x v="4"/>
    <x v="3"/>
    <x v="0"/>
    <x v="3"/>
    <x v="0"/>
  </r>
  <r>
    <s v="Singapore"/>
    <x v="4"/>
    <s v="SG4"/>
    <m/>
    <x v="0"/>
    <x v="1"/>
    <x v="0"/>
    <x v="3"/>
    <x v="0"/>
    <x v="0"/>
    <x v="0"/>
    <m/>
    <x v="0"/>
    <x v="0"/>
    <n v="-0.12463200000000001"/>
    <m/>
    <x v="0"/>
    <x v="3"/>
    <x v="0"/>
    <x v="1"/>
    <x v="1"/>
  </r>
  <r>
    <s v="Singapore"/>
    <x v="4"/>
    <s v="SG4"/>
    <m/>
    <x v="0"/>
    <x v="0"/>
    <x v="1"/>
    <x v="1"/>
    <x v="0"/>
    <x v="0"/>
    <x v="0"/>
    <m/>
    <x v="0"/>
    <x v="0"/>
    <n v="-0.31158000000000002"/>
    <m/>
    <x v="0"/>
    <x v="1"/>
    <x v="0"/>
    <x v="2"/>
    <x v="2"/>
  </r>
  <r>
    <s v="Singapore"/>
    <x v="0"/>
    <s v="SG1"/>
    <m/>
    <x v="1"/>
    <x v="4"/>
    <x v="1"/>
    <x v="1"/>
    <x v="0"/>
    <x v="0"/>
    <x v="0"/>
    <m/>
    <x v="0"/>
    <x v="0"/>
    <n v="0.92695050000000001"/>
    <m/>
    <x v="1"/>
    <x v="0"/>
    <x v="0"/>
    <x v="0"/>
    <x v="2"/>
  </r>
  <r>
    <s v="Singapore"/>
    <x v="3"/>
    <s v="SG1"/>
    <m/>
    <x v="4"/>
    <x v="4"/>
    <x v="1"/>
    <x v="2"/>
    <x v="0"/>
    <x v="0"/>
    <x v="0"/>
    <m/>
    <x v="0"/>
    <x v="0"/>
    <n v="-3.5831700000000004"/>
    <m/>
    <x v="4"/>
    <x v="1"/>
    <x v="0"/>
    <x v="3"/>
    <x v="2"/>
  </r>
  <r>
    <s v="Singapore"/>
    <x v="3"/>
    <s v="SG4"/>
    <m/>
    <x v="3"/>
    <x v="1"/>
    <x v="4"/>
    <x v="1"/>
    <x v="0"/>
    <x v="0"/>
    <x v="0"/>
    <m/>
    <x v="0"/>
    <x v="0"/>
    <n v="-4.1284505790000008"/>
    <m/>
    <x v="6"/>
    <x v="3"/>
    <x v="0"/>
    <x v="4"/>
    <x v="1"/>
  </r>
  <r>
    <s v="Singapore"/>
    <x v="4"/>
    <s v="SG3"/>
    <m/>
    <x v="0"/>
    <x v="2"/>
    <x v="2"/>
    <x v="4"/>
    <x v="0"/>
    <x v="0"/>
    <x v="0"/>
    <m/>
    <x v="0"/>
    <x v="0"/>
    <n v="-66.317684256000007"/>
    <m/>
    <x v="3"/>
    <x v="2"/>
    <x v="0"/>
    <x v="0"/>
    <x v="1"/>
  </r>
  <r>
    <s v="Singapore"/>
    <x v="1"/>
    <s v="SG2"/>
    <m/>
    <x v="0"/>
    <x v="0"/>
    <x v="2"/>
    <x v="5"/>
    <x v="0"/>
    <x v="0"/>
    <x v="0"/>
    <m/>
    <x v="0"/>
    <x v="0"/>
    <n v="-2.775180744"/>
    <m/>
    <x v="4"/>
    <x v="2"/>
    <x v="0"/>
    <x v="4"/>
    <x v="1"/>
  </r>
  <r>
    <s v="Singapore"/>
    <x v="5"/>
    <s v="SG2"/>
    <m/>
    <x v="2"/>
    <x v="4"/>
    <x v="3"/>
    <x v="2"/>
    <x v="0"/>
    <x v="0"/>
    <x v="0"/>
    <m/>
    <x v="0"/>
    <x v="0"/>
    <n v="-175.31048700000002"/>
    <m/>
    <x v="5"/>
    <x v="1"/>
    <x v="0"/>
    <x v="1"/>
    <x v="1"/>
  </r>
  <r>
    <s v="Singapore"/>
    <x v="4"/>
    <s v="SG4"/>
    <m/>
    <x v="2"/>
    <x v="3"/>
    <x v="3"/>
    <x v="2"/>
    <x v="0"/>
    <x v="0"/>
    <x v="0"/>
    <m/>
    <x v="0"/>
    <x v="0"/>
    <n v="-0.545265"/>
    <m/>
    <x v="1"/>
    <x v="3"/>
    <x v="0"/>
    <x v="4"/>
    <x v="0"/>
  </r>
  <r>
    <s v="Singapore"/>
    <x v="2"/>
    <s v="SG4"/>
    <m/>
    <x v="3"/>
    <x v="0"/>
    <x v="2"/>
    <x v="1"/>
    <x v="0"/>
    <x v="0"/>
    <x v="0"/>
    <m/>
    <x v="0"/>
    <x v="0"/>
    <n v="-0.12463200000000001"/>
    <m/>
    <x v="0"/>
    <x v="1"/>
    <x v="0"/>
    <x v="2"/>
    <x v="0"/>
  </r>
  <r>
    <s v="Singapore"/>
    <x v="5"/>
    <s v="SG2"/>
    <m/>
    <x v="5"/>
    <x v="4"/>
    <x v="4"/>
    <x v="0"/>
    <x v="0"/>
    <x v="0"/>
    <x v="0"/>
    <m/>
    <x v="0"/>
    <x v="0"/>
    <n v="-1.5579000000000001E-2"/>
    <m/>
    <x v="0"/>
    <x v="1"/>
    <x v="0"/>
    <x v="3"/>
    <x v="1"/>
  </r>
  <r>
    <s v="Singapore"/>
    <x v="5"/>
    <s v="SG1"/>
    <m/>
    <x v="0"/>
    <x v="3"/>
    <x v="4"/>
    <x v="4"/>
    <x v="0"/>
    <x v="0"/>
    <x v="0"/>
    <m/>
    <x v="0"/>
    <x v="0"/>
    <n v="-0.15579000000000001"/>
    <m/>
    <x v="0"/>
    <x v="3"/>
    <x v="0"/>
    <x v="4"/>
    <x v="0"/>
  </r>
  <r>
    <s v="Singapore"/>
    <x v="4"/>
    <s v="SG3"/>
    <m/>
    <x v="1"/>
    <x v="0"/>
    <x v="3"/>
    <x v="0"/>
    <x v="0"/>
    <x v="0"/>
    <x v="0"/>
    <m/>
    <x v="0"/>
    <x v="0"/>
    <n v="0.82568700000000006"/>
    <m/>
    <x v="1"/>
    <x v="1"/>
    <x v="0"/>
    <x v="3"/>
    <x v="2"/>
  </r>
  <r>
    <s v="Singapore"/>
    <x v="5"/>
    <s v="SG1"/>
    <m/>
    <x v="4"/>
    <x v="4"/>
    <x v="4"/>
    <x v="5"/>
    <x v="0"/>
    <x v="0"/>
    <x v="0"/>
    <m/>
    <x v="0"/>
    <x v="0"/>
    <n v="-3.1158000000000001"/>
    <m/>
    <x v="8"/>
    <x v="1"/>
    <x v="0"/>
    <x v="4"/>
    <x v="2"/>
  </r>
  <r>
    <s v="Singapore"/>
    <x v="1"/>
    <s v="SG3"/>
    <m/>
    <x v="3"/>
    <x v="4"/>
    <x v="1"/>
    <x v="0"/>
    <x v="0"/>
    <x v="0"/>
    <x v="0"/>
    <m/>
    <x v="0"/>
    <x v="0"/>
    <n v="80.699220000000011"/>
    <m/>
    <x v="4"/>
    <x v="2"/>
    <x v="0"/>
    <x v="0"/>
    <x v="1"/>
  </r>
  <r>
    <s v="Singapore"/>
    <x v="5"/>
    <s v="SG4"/>
    <m/>
    <x v="4"/>
    <x v="0"/>
    <x v="1"/>
    <x v="5"/>
    <x v="0"/>
    <x v="0"/>
    <x v="0"/>
    <m/>
    <x v="0"/>
    <x v="0"/>
    <n v="0.15579000000000001"/>
    <m/>
    <x v="1"/>
    <x v="1"/>
    <x v="0"/>
    <x v="3"/>
    <x v="2"/>
  </r>
  <r>
    <s v="Singapore"/>
    <x v="1"/>
    <s v="SG4"/>
    <m/>
    <x v="4"/>
    <x v="1"/>
    <x v="4"/>
    <x v="1"/>
    <x v="0"/>
    <x v="0"/>
    <x v="0"/>
    <m/>
    <x v="0"/>
    <x v="0"/>
    <n v="0.37389600000000001"/>
    <m/>
    <x v="1"/>
    <x v="3"/>
    <x v="0"/>
    <x v="0"/>
    <x v="2"/>
  </r>
  <r>
    <s v="Singapore"/>
    <x v="2"/>
    <s v="SG4"/>
    <m/>
    <x v="4"/>
    <x v="4"/>
    <x v="1"/>
    <x v="4"/>
    <x v="0"/>
    <x v="0"/>
    <x v="0"/>
    <m/>
    <x v="0"/>
    <x v="0"/>
    <n v="-4.6737000000000001E-2"/>
    <m/>
    <x v="0"/>
    <x v="0"/>
    <x v="0"/>
    <x v="4"/>
    <x v="1"/>
  </r>
  <r>
    <s v="Singapore"/>
    <x v="2"/>
    <s v="SG3"/>
    <m/>
    <x v="3"/>
    <x v="4"/>
    <x v="2"/>
    <x v="5"/>
    <x v="0"/>
    <x v="0"/>
    <x v="0"/>
    <m/>
    <x v="0"/>
    <x v="0"/>
    <n v="1.5280194780000003"/>
    <m/>
    <x v="5"/>
    <x v="2"/>
    <x v="0"/>
    <x v="1"/>
    <x v="0"/>
  </r>
  <r>
    <s v="Singapore"/>
    <x v="2"/>
    <s v="SG1"/>
    <m/>
    <x v="5"/>
    <x v="0"/>
    <x v="2"/>
    <x v="0"/>
    <x v="0"/>
    <x v="0"/>
    <x v="0"/>
    <m/>
    <x v="0"/>
    <x v="0"/>
    <n v="0.98147700000000004"/>
    <m/>
    <x v="1"/>
    <x v="3"/>
    <x v="0"/>
    <x v="3"/>
    <x v="1"/>
  </r>
  <r>
    <s v="Singapore"/>
    <x v="4"/>
    <s v="SG4"/>
    <m/>
    <x v="1"/>
    <x v="2"/>
    <x v="2"/>
    <x v="5"/>
    <x v="0"/>
    <x v="0"/>
    <x v="0"/>
    <m/>
    <x v="0"/>
    <x v="0"/>
    <n v="-2.3023892520000002"/>
    <m/>
    <x v="3"/>
    <x v="0"/>
    <x v="0"/>
    <x v="3"/>
    <x v="2"/>
  </r>
  <r>
    <s v="Singapore"/>
    <x v="5"/>
    <s v="SG3"/>
    <m/>
    <x v="5"/>
    <x v="0"/>
    <x v="3"/>
    <x v="0"/>
    <x v="0"/>
    <x v="0"/>
    <x v="0"/>
    <m/>
    <x v="0"/>
    <x v="0"/>
    <n v="8.7398190000000007"/>
    <m/>
    <x v="1"/>
    <x v="0"/>
    <x v="0"/>
    <x v="4"/>
    <x v="0"/>
  </r>
  <r>
    <s v="Singapore"/>
    <x v="5"/>
    <s v="SG2"/>
    <m/>
    <x v="0"/>
    <x v="1"/>
    <x v="0"/>
    <x v="4"/>
    <x v="0"/>
    <x v="0"/>
    <x v="0"/>
    <m/>
    <x v="0"/>
    <x v="0"/>
    <n v="-1.5579000000000001E-2"/>
    <m/>
    <x v="0"/>
    <x v="0"/>
    <x v="0"/>
    <x v="0"/>
    <x v="2"/>
  </r>
  <r>
    <s v="Singapore"/>
    <x v="2"/>
    <s v="SG4"/>
    <m/>
    <x v="0"/>
    <x v="4"/>
    <x v="1"/>
    <x v="3"/>
    <x v="0"/>
    <x v="0"/>
    <x v="0"/>
    <m/>
    <x v="0"/>
    <x v="0"/>
    <n v="-0.233685"/>
    <m/>
    <x v="0"/>
    <x v="2"/>
    <x v="0"/>
    <x v="2"/>
    <x v="1"/>
  </r>
  <r>
    <s v="Singapore"/>
    <x v="3"/>
    <s v="SG3"/>
    <m/>
    <x v="5"/>
    <x v="1"/>
    <x v="1"/>
    <x v="2"/>
    <x v="0"/>
    <x v="0"/>
    <x v="0"/>
    <m/>
    <x v="0"/>
    <x v="0"/>
    <n v="0.77895000000000003"/>
    <m/>
    <x v="4"/>
    <x v="1"/>
    <x v="0"/>
    <x v="0"/>
    <x v="0"/>
  </r>
  <r>
    <s v="Singapore"/>
    <x v="5"/>
    <s v="SG2"/>
    <m/>
    <x v="0"/>
    <x v="0"/>
    <x v="1"/>
    <x v="2"/>
    <x v="0"/>
    <x v="0"/>
    <x v="0"/>
    <m/>
    <x v="0"/>
    <x v="0"/>
    <n v="1.1429533350000001"/>
    <m/>
    <x v="1"/>
    <x v="2"/>
    <x v="0"/>
    <x v="5"/>
    <x v="1"/>
  </r>
  <r>
    <s v="Singapore"/>
    <x v="2"/>
    <s v="SG1"/>
    <m/>
    <x v="3"/>
    <x v="1"/>
    <x v="3"/>
    <x v="4"/>
    <x v="0"/>
    <x v="0"/>
    <x v="0"/>
    <m/>
    <x v="0"/>
    <x v="0"/>
    <n v="-1.5579000000000001E-2"/>
    <m/>
    <x v="0"/>
    <x v="3"/>
    <x v="0"/>
    <x v="3"/>
    <x v="1"/>
  </r>
  <r>
    <s v="Singapore"/>
    <x v="5"/>
    <s v="SG2"/>
    <m/>
    <x v="1"/>
    <x v="0"/>
    <x v="0"/>
    <x v="1"/>
    <x v="0"/>
    <x v="0"/>
    <x v="0"/>
    <m/>
    <x v="0"/>
    <x v="0"/>
    <n v="-0.233685"/>
    <m/>
    <x v="0"/>
    <x v="1"/>
    <x v="0"/>
    <x v="4"/>
    <x v="2"/>
  </r>
  <r>
    <s v="Singapore"/>
    <x v="4"/>
    <s v="SG3"/>
    <m/>
    <x v="2"/>
    <x v="2"/>
    <x v="2"/>
    <x v="5"/>
    <x v="0"/>
    <x v="0"/>
    <x v="0"/>
    <m/>
    <x v="0"/>
    <x v="0"/>
    <n v="-10.9053"/>
    <m/>
    <x v="4"/>
    <x v="2"/>
    <x v="0"/>
    <x v="4"/>
    <x v="1"/>
  </r>
  <r>
    <s v="Singapore"/>
    <x v="4"/>
    <s v="SG3"/>
    <m/>
    <x v="1"/>
    <x v="1"/>
    <x v="3"/>
    <x v="4"/>
    <x v="0"/>
    <x v="0"/>
    <x v="0"/>
    <m/>
    <x v="0"/>
    <x v="0"/>
    <n v="13.271937048000002"/>
    <m/>
    <x v="7"/>
    <x v="1"/>
    <x v="0"/>
    <x v="1"/>
    <x v="0"/>
  </r>
  <r>
    <s v="Singapore"/>
    <x v="4"/>
    <s v="SG2"/>
    <m/>
    <x v="0"/>
    <x v="1"/>
    <x v="4"/>
    <x v="2"/>
    <x v="0"/>
    <x v="0"/>
    <x v="0"/>
    <m/>
    <x v="0"/>
    <x v="0"/>
    <n v="-0.17136900000000002"/>
    <m/>
    <x v="4"/>
    <x v="2"/>
    <x v="0"/>
    <x v="1"/>
    <x v="0"/>
  </r>
  <r>
    <s v="Singapore"/>
    <x v="0"/>
    <s v="SG3"/>
    <m/>
    <x v="0"/>
    <x v="4"/>
    <x v="3"/>
    <x v="3"/>
    <x v="0"/>
    <x v="0"/>
    <x v="0"/>
    <m/>
    <x v="0"/>
    <x v="0"/>
    <n v="-11.924852076000001"/>
    <m/>
    <x v="7"/>
    <x v="2"/>
    <x v="0"/>
    <x v="3"/>
    <x v="2"/>
  </r>
  <r>
    <s v="Singapore"/>
    <x v="0"/>
    <s v="SG3"/>
    <m/>
    <x v="5"/>
    <x v="0"/>
    <x v="2"/>
    <x v="0"/>
    <x v="0"/>
    <x v="0"/>
    <x v="0"/>
    <m/>
    <x v="0"/>
    <x v="0"/>
    <n v="-1.5579000000000001E-2"/>
    <m/>
    <x v="0"/>
    <x v="3"/>
    <x v="0"/>
    <x v="3"/>
    <x v="0"/>
  </r>
  <r>
    <s v="Singapore"/>
    <x v="4"/>
    <s v="SG2"/>
    <m/>
    <x v="1"/>
    <x v="1"/>
    <x v="4"/>
    <x v="3"/>
    <x v="0"/>
    <x v="0"/>
    <x v="0"/>
    <m/>
    <x v="0"/>
    <x v="0"/>
    <n v="-2.4926400000000002"/>
    <m/>
    <x v="1"/>
    <x v="3"/>
    <x v="0"/>
    <x v="4"/>
    <x v="2"/>
  </r>
  <r>
    <s v="Singapore"/>
    <x v="4"/>
    <s v="SG2"/>
    <m/>
    <x v="5"/>
    <x v="1"/>
    <x v="1"/>
    <x v="3"/>
    <x v="0"/>
    <x v="0"/>
    <x v="0"/>
    <m/>
    <x v="0"/>
    <x v="0"/>
    <n v="-3.5831700000000004"/>
    <m/>
    <x v="1"/>
    <x v="3"/>
    <x v="0"/>
    <x v="2"/>
    <x v="2"/>
  </r>
  <r>
    <s v="Singapore"/>
    <x v="5"/>
    <s v="SG1"/>
    <m/>
    <x v="0"/>
    <x v="0"/>
    <x v="1"/>
    <x v="0"/>
    <x v="0"/>
    <x v="0"/>
    <x v="0"/>
    <m/>
    <x v="0"/>
    <x v="0"/>
    <n v="0.32368488300000003"/>
    <m/>
    <x v="9"/>
    <x v="2"/>
    <x v="0"/>
    <x v="3"/>
    <x v="1"/>
  </r>
  <r>
    <s v="Singapore"/>
    <x v="1"/>
    <s v="SG3"/>
    <m/>
    <x v="4"/>
    <x v="4"/>
    <x v="1"/>
    <x v="2"/>
    <x v="0"/>
    <x v="0"/>
    <x v="0"/>
    <m/>
    <x v="0"/>
    <x v="0"/>
    <n v="-0.77895000000000003"/>
    <m/>
    <x v="4"/>
    <x v="1"/>
    <x v="0"/>
    <x v="5"/>
    <x v="2"/>
  </r>
  <r>
    <s v="Singapore"/>
    <x v="0"/>
    <s v="SG1"/>
    <m/>
    <x v="3"/>
    <x v="2"/>
    <x v="4"/>
    <x v="4"/>
    <x v="0"/>
    <x v="0"/>
    <x v="0"/>
    <m/>
    <x v="0"/>
    <x v="0"/>
    <n v="-9.3474000000000002E-2"/>
    <m/>
    <x v="4"/>
    <x v="3"/>
    <x v="0"/>
    <x v="4"/>
    <x v="2"/>
  </r>
  <r>
    <s v="Singapore"/>
    <x v="1"/>
    <s v="SG2"/>
    <m/>
    <x v="0"/>
    <x v="0"/>
    <x v="1"/>
    <x v="5"/>
    <x v="0"/>
    <x v="0"/>
    <x v="0"/>
    <m/>
    <x v="0"/>
    <x v="0"/>
    <n v="-1.485660177"/>
    <m/>
    <x v="0"/>
    <x v="1"/>
    <x v="0"/>
    <x v="5"/>
    <x v="1"/>
  </r>
  <r>
    <s v="Singapore"/>
    <x v="2"/>
    <s v="SG3"/>
    <m/>
    <x v="0"/>
    <x v="3"/>
    <x v="4"/>
    <x v="0"/>
    <x v="0"/>
    <x v="0"/>
    <x v="0"/>
    <m/>
    <x v="0"/>
    <x v="0"/>
    <n v="-4.9852800000000003E-2"/>
    <m/>
    <x v="6"/>
    <x v="0"/>
    <x v="0"/>
    <x v="1"/>
    <x v="0"/>
  </r>
  <r>
    <s v="Singapore"/>
    <x v="1"/>
    <s v="SG2"/>
    <m/>
    <x v="5"/>
    <x v="4"/>
    <x v="4"/>
    <x v="2"/>
    <x v="0"/>
    <x v="0"/>
    <x v="0"/>
    <m/>
    <x v="0"/>
    <x v="0"/>
    <n v="1.2151620000000001"/>
    <m/>
    <x v="1"/>
    <x v="1"/>
    <x v="0"/>
    <x v="0"/>
    <x v="0"/>
  </r>
  <r>
    <s v="Singapore"/>
    <x v="4"/>
    <s v="SG3"/>
    <m/>
    <x v="4"/>
    <x v="1"/>
    <x v="1"/>
    <x v="1"/>
    <x v="0"/>
    <x v="0"/>
    <x v="0"/>
    <m/>
    <x v="0"/>
    <x v="0"/>
    <n v="-5.0662908"/>
    <m/>
    <x v="4"/>
    <x v="3"/>
    <x v="0"/>
    <x v="5"/>
    <x v="0"/>
  </r>
  <r>
    <s v="Singapore"/>
    <x v="5"/>
    <s v="SG4"/>
    <m/>
    <x v="5"/>
    <x v="2"/>
    <x v="2"/>
    <x v="5"/>
    <x v="0"/>
    <x v="0"/>
    <x v="0"/>
    <m/>
    <x v="0"/>
    <x v="0"/>
    <n v="1.5579000000000001E-2"/>
    <m/>
    <x v="0"/>
    <x v="0"/>
    <x v="0"/>
    <x v="1"/>
    <x v="2"/>
  </r>
  <r>
    <s v="Singapore"/>
    <x v="1"/>
    <s v="SG4"/>
    <m/>
    <x v="5"/>
    <x v="2"/>
    <x v="0"/>
    <x v="4"/>
    <x v="0"/>
    <x v="0"/>
    <x v="0"/>
    <m/>
    <x v="0"/>
    <x v="0"/>
    <n v="1.168425"/>
    <m/>
    <x v="1"/>
    <x v="1"/>
    <x v="0"/>
    <x v="4"/>
    <x v="1"/>
  </r>
  <r>
    <s v="Singapore"/>
    <x v="3"/>
    <s v="SG3"/>
    <m/>
    <x v="0"/>
    <x v="2"/>
    <x v="4"/>
    <x v="1"/>
    <x v="0"/>
    <x v="0"/>
    <x v="0"/>
    <m/>
    <x v="0"/>
    <x v="0"/>
    <n v="-6.4849301189999995"/>
    <m/>
    <x v="7"/>
    <x v="1"/>
    <x v="0"/>
    <x v="5"/>
    <x v="0"/>
  </r>
  <r>
    <s v="Singapore"/>
    <x v="1"/>
    <s v="SG2"/>
    <m/>
    <x v="4"/>
    <x v="3"/>
    <x v="4"/>
    <x v="0"/>
    <x v="0"/>
    <x v="0"/>
    <x v="0"/>
    <m/>
    <x v="0"/>
    <x v="0"/>
    <n v="-0.84126600000000007"/>
    <m/>
    <x v="0"/>
    <x v="2"/>
    <x v="0"/>
    <x v="5"/>
    <x v="0"/>
  </r>
  <r>
    <s v="Singapore"/>
    <x v="3"/>
    <s v="SG3"/>
    <m/>
    <x v="3"/>
    <x v="3"/>
    <x v="2"/>
    <x v="2"/>
    <x v="0"/>
    <x v="0"/>
    <x v="0"/>
    <m/>
    <x v="0"/>
    <x v="0"/>
    <n v="-1.09053"/>
    <m/>
    <x v="4"/>
    <x v="1"/>
    <x v="0"/>
    <x v="1"/>
    <x v="1"/>
  </r>
  <r>
    <s v="Singapore"/>
    <x v="1"/>
    <s v="SG4"/>
    <m/>
    <x v="0"/>
    <x v="2"/>
    <x v="1"/>
    <x v="2"/>
    <x v="0"/>
    <x v="0"/>
    <x v="0"/>
    <m/>
    <x v="0"/>
    <x v="0"/>
    <n v="-0.85684500000000008"/>
    <m/>
    <x v="4"/>
    <x v="2"/>
    <x v="0"/>
    <x v="2"/>
    <x v="0"/>
  </r>
  <r>
    <s v="Singapore"/>
    <x v="5"/>
    <s v="SG2"/>
    <m/>
    <x v="1"/>
    <x v="0"/>
    <x v="0"/>
    <x v="3"/>
    <x v="0"/>
    <x v="0"/>
    <x v="0"/>
    <m/>
    <x v="0"/>
    <x v="0"/>
    <n v="19.253291571000002"/>
    <m/>
    <x v="1"/>
    <x v="3"/>
    <x v="0"/>
    <x v="0"/>
    <x v="0"/>
  </r>
  <r>
    <s v="Singapore"/>
    <x v="4"/>
    <s v="SG1"/>
    <m/>
    <x v="3"/>
    <x v="1"/>
    <x v="4"/>
    <x v="4"/>
    <x v="0"/>
    <x v="0"/>
    <x v="0"/>
    <m/>
    <x v="0"/>
    <x v="0"/>
    <n v="-1.6747425E-2"/>
    <m/>
    <x v="6"/>
    <x v="2"/>
    <x v="0"/>
    <x v="1"/>
    <x v="1"/>
  </r>
  <r>
    <s v="Singapore"/>
    <x v="5"/>
    <s v="SG3"/>
    <m/>
    <x v="5"/>
    <x v="3"/>
    <x v="2"/>
    <x v="3"/>
    <x v="0"/>
    <x v="0"/>
    <x v="0"/>
    <m/>
    <x v="0"/>
    <x v="0"/>
    <n v="-1.900638"/>
    <m/>
    <x v="3"/>
    <x v="3"/>
    <x v="0"/>
    <x v="3"/>
    <x v="1"/>
  </r>
  <r>
    <s v="Singapore"/>
    <x v="3"/>
    <s v="SG1"/>
    <m/>
    <x v="4"/>
    <x v="3"/>
    <x v="2"/>
    <x v="2"/>
    <x v="0"/>
    <x v="0"/>
    <x v="0"/>
    <m/>
    <x v="0"/>
    <x v="0"/>
    <n v="0.17136900000000002"/>
    <m/>
    <x v="8"/>
    <x v="0"/>
    <x v="0"/>
    <x v="2"/>
    <x v="2"/>
  </r>
  <r>
    <s v="Singapore"/>
    <x v="4"/>
    <s v="SG2"/>
    <m/>
    <x v="4"/>
    <x v="2"/>
    <x v="0"/>
    <x v="2"/>
    <x v="0"/>
    <x v="0"/>
    <x v="0"/>
    <m/>
    <x v="0"/>
    <x v="0"/>
    <n v="-0.233685"/>
    <m/>
    <x v="0"/>
    <x v="3"/>
    <x v="0"/>
    <x v="2"/>
    <x v="2"/>
  </r>
  <r>
    <s v="Singapore"/>
    <x v="4"/>
    <s v="SG2"/>
    <m/>
    <x v="1"/>
    <x v="1"/>
    <x v="3"/>
    <x v="5"/>
    <x v="0"/>
    <x v="0"/>
    <x v="0"/>
    <m/>
    <x v="0"/>
    <x v="0"/>
    <n v="0.27933147000000003"/>
    <m/>
    <x v="8"/>
    <x v="1"/>
    <x v="0"/>
    <x v="3"/>
    <x v="2"/>
  </r>
  <r>
    <s v="Singapore"/>
    <x v="2"/>
    <s v="SG3"/>
    <m/>
    <x v="5"/>
    <x v="2"/>
    <x v="2"/>
    <x v="2"/>
    <x v="0"/>
    <x v="0"/>
    <x v="0"/>
    <m/>
    <x v="0"/>
    <x v="0"/>
    <n v="0.21810600000000002"/>
    <m/>
    <x v="4"/>
    <x v="0"/>
    <x v="0"/>
    <x v="0"/>
    <x v="0"/>
  </r>
  <r>
    <s v="Singapore"/>
    <x v="2"/>
    <s v="SG2"/>
    <m/>
    <x v="3"/>
    <x v="4"/>
    <x v="1"/>
    <x v="1"/>
    <x v="0"/>
    <x v="0"/>
    <x v="0"/>
    <m/>
    <x v="0"/>
    <x v="0"/>
    <n v="-0.55788399000000011"/>
    <m/>
    <x v="0"/>
    <x v="3"/>
    <x v="0"/>
    <x v="4"/>
    <x v="0"/>
  </r>
  <r>
    <s v="Singapore"/>
    <x v="3"/>
    <s v="SG4"/>
    <m/>
    <x v="1"/>
    <x v="4"/>
    <x v="3"/>
    <x v="3"/>
    <x v="0"/>
    <x v="0"/>
    <x v="0"/>
    <m/>
    <x v="0"/>
    <x v="0"/>
    <n v="-0.10905300000000001"/>
    <m/>
    <x v="0"/>
    <x v="2"/>
    <x v="0"/>
    <x v="4"/>
    <x v="2"/>
  </r>
  <r>
    <s v="Singapore"/>
    <x v="0"/>
    <s v="SG2"/>
    <m/>
    <x v="2"/>
    <x v="4"/>
    <x v="3"/>
    <x v="4"/>
    <x v="0"/>
    <x v="0"/>
    <x v="0"/>
    <m/>
    <x v="0"/>
    <x v="0"/>
    <n v="-15.4590417"/>
    <m/>
    <x v="6"/>
    <x v="1"/>
    <x v="0"/>
    <x v="5"/>
    <x v="1"/>
  </r>
  <r>
    <s v="Singapore"/>
    <x v="4"/>
    <s v="SG3"/>
    <m/>
    <x v="3"/>
    <x v="1"/>
    <x v="4"/>
    <x v="1"/>
    <x v="0"/>
    <x v="0"/>
    <x v="0"/>
    <m/>
    <x v="0"/>
    <x v="0"/>
    <n v="143.75051764200001"/>
    <m/>
    <x v="1"/>
    <x v="0"/>
    <x v="0"/>
    <x v="4"/>
    <x v="1"/>
  </r>
  <r>
    <s v="Singapore"/>
    <x v="0"/>
    <s v="SG4"/>
    <m/>
    <x v="4"/>
    <x v="4"/>
    <x v="0"/>
    <x v="1"/>
    <x v="0"/>
    <x v="0"/>
    <x v="0"/>
    <m/>
    <x v="0"/>
    <x v="0"/>
    <n v="-0.233685"/>
    <m/>
    <x v="0"/>
    <x v="1"/>
    <x v="0"/>
    <x v="4"/>
    <x v="1"/>
  </r>
  <r>
    <s v="Singapore"/>
    <x v="4"/>
    <s v="SG4"/>
    <m/>
    <x v="4"/>
    <x v="3"/>
    <x v="4"/>
    <x v="1"/>
    <x v="0"/>
    <x v="0"/>
    <x v="0"/>
    <m/>
    <x v="0"/>
    <x v="0"/>
    <n v="2.8278689220000004"/>
    <m/>
    <x v="2"/>
    <x v="2"/>
    <x v="0"/>
    <x v="1"/>
    <x v="0"/>
  </r>
  <r>
    <s v="Singapore"/>
    <x v="3"/>
    <s v="SG2"/>
    <m/>
    <x v="5"/>
    <x v="0"/>
    <x v="1"/>
    <x v="0"/>
    <x v="0"/>
    <x v="0"/>
    <x v="0"/>
    <m/>
    <x v="0"/>
    <x v="0"/>
    <n v="-2.8556307000000003"/>
    <m/>
    <x v="1"/>
    <x v="1"/>
    <x v="0"/>
    <x v="1"/>
    <x v="0"/>
  </r>
  <r>
    <s v="Singapore"/>
    <x v="4"/>
    <s v="SG2"/>
    <m/>
    <x v="3"/>
    <x v="3"/>
    <x v="0"/>
    <x v="0"/>
    <x v="0"/>
    <x v="0"/>
    <x v="0"/>
    <m/>
    <x v="0"/>
    <x v="0"/>
    <n v="-0.74467620000000001"/>
    <m/>
    <x v="1"/>
    <x v="3"/>
    <x v="0"/>
    <x v="1"/>
    <x v="2"/>
  </r>
  <r>
    <s v="Singapore"/>
    <x v="4"/>
    <s v="SG2"/>
    <m/>
    <x v="1"/>
    <x v="2"/>
    <x v="2"/>
    <x v="2"/>
    <x v="0"/>
    <x v="0"/>
    <x v="0"/>
    <m/>
    <x v="0"/>
    <x v="0"/>
    <n v="-4.2842250000000002"/>
    <m/>
    <x v="4"/>
    <x v="3"/>
    <x v="0"/>
    <x v="4"/>
    <x v="1"/>
  </r>
  <r>
    <s v="Singapore"/>
    <x v="1"/>
    <s v="SG2"/>
    <m/>
    <x v="5"/>
    <x v="0"/>
    <x v="2"/>
    <x v="3"/>
    <x v="0"/>
    <x v="0"/>
    <x v="0"/>
    <m/>
    <x v="0"/>
    <x v="0"/>
    <n v="-0.70105499999999998"/>
    <m/>
    <x v="4"/>
    <x v="2"/>
    <x v="0"/>
    <x v="5"/>
    <x v="2"/>
  </r>
  <r>
    <s v="Singapore"/>
    <x v="4"/>
    <s v="SG3"/>
    <m/>
    <x v="0"/>
    <x v="4"/>
    <x v="2"/>
    <x v="1"/>
    <x v="0"/>
    <x v="0"/>
    <x v="0"/>
    <m/>
    <x v="0"/>
    <x v="0"/>
    <n v="10.095192000000001"/>
    <m/>
    <x v="7"/>
    <x v="0"/>
    <x v="0"/>
    <x v="5"/>
    <x v="2"/>
  </r>
  <r>
    <s v="Singapore"/>
    <x v="0"/>
    <s v="SG3"/>
    <m/>
    <x v="5"/>
    <x v="4"/>
    <x v="0"/>
    <x v="5"/>
    <x v="0"/>
    <x v="0"/>
    <x v="0"/>
    <m/>
    <x v="0"/>
    <x v="0"/>
    <n v="-0.15579000000000001"/>
    <m/>
    <x v="0"/>
    <x v="3"/>
    <x v="0"/>
    <x v="1"/>
    <x v="1"/>
  </r>
  <r>
    <s v="Singapore"/>
    <x v="3"/>
    <s v="SG1"/>
    <m/>
    <x v="5"/>
    <x v="0"/>
    <x v="1"/>
    <x v="2"/>
    <x v="0"/>
    <x v="0"/>
    <x v="0"/>
    <m/>
    <x v="0"/>
    <x v="0"/>
    <n v="-0.24926400000000001"/>
    <m/>
    <x v="0"/>
    <x v="3"/>
    <x v="0"/>
    <x v="4"/>
    <x v="2"/>
  </r>
  <r>
    <s v="Singapore"/>
    <x v="4"/>
    <s v="SG4"/>
    <m/>
    <x v="1"/>
    <x v="1"/>
    <x v="4"/>
    <x v="1"/>
    <x v="0"/>
    <x v="0"/>
    <x v="0"/>
    <m/>
    <x v="0"/>
    <x v="0"/>
    <n v="-22.397679036000003"/>
    <m/>
    <x v="4"/>
    <x v="1"/>
    <x v="0"/>
    <x v="0"/>
    <x v="2"/>
  </r>
  <r>
    <s v="Singapore"/>
    <x v="5"/>
    <s v="SG4"/>
    <m/>
    <x v="2"/>
    <x v="0"/>
    <x v="4"/>
    <x v="5"/>
    <x v="0"/>
    <x v="0"/>
    <x v="0"/>
    <m/>
    <x v="0"/>
    <x v="0"/>
    <n v="2.2901130000000003"/>
    <m/>
    <x v="1"/>
    <x v="0"/>
    <x v="0"/>
    <x v="0"/>
    <x v="2"/>
  </r>
  <r>
    <s v="Singapore"/>
    <x v="2"/>
    <s v="SG2"/>
    <m/>
    <x v="1"/>
    <x v="4"/>
    <x v="2"/>
    <x v="0"/>
    <x v="0"/>
    <x v="0"/>
    <x v="0"/>
    <m/>
    <x v="0"/>
    <x v="0"/>
    <n v="8.7709770000000002"/>
    <m/>
    <x v="0"/>
    <x v="0"/>
    <x v="0"/>
    <x v="0"/>
    <x v="0"/>
  </r>
  <r>
    <s v="Singapore"/>
    <x v="4"/>
    <s v="SG3"/>
    <m/>
    <x v="3"/>
    <x v="0"/>
    <x v="4"/>
    <x v="4"/>
    <x v="0"/>
    <x v="0"/>
    <x v="0"/>
    <m/>
    <x v="0"/>
    <x v="0"/>
    <n v="-3.8947500000000003E-2"/>
    <m/>
    <x v="0"/>
    <x v="0"/>
    <x v="0"/>
    <x v="0"/>
    <x v="0"/>
  </r>
  <r>
    <s v="Singapore"/>
    <x v="1"/>
    <s v="SG4"/>
    <m/>
    <x v="5"/>
    <x v="4"/>
    <x v="2"/>
    <x v="3"/>
    <x v="0"/>
    <x v="0"/>
    <x v="0"/>
    <m/>
    <x v="0"/>
    <x v="0"/>
    <n v="-9.2305575000000001E-2"/>
    <m/>
    <x v="0"/>
    <x v="1"/>
    <x v="0"/>
    <x v="3"/>
    <x v="1"/>
  </r>
  <r>
    <s v="Singapore"/>
    <x v="2"/>
    <s v="SG2"/>
    <m/>
    <x v="2"/>
    <x v="3"/>
    <x v="3"/>
    <x v="2"/>
    <x v="0"/>
    <x v="0"/>
    <x v="0"/>
    <m/>
    <x v="0"/>
    <x v="0"/>
    <n v="2.6484300000000003"/>
    <m/>
    <x v="1"/>
    <x v="2"/>
    <x v="0"/>
    <x v="3"/>
    <x v="0"/>
  </r>
  <r>
    <s v="Singapore"/>
    <x v="4"/>
    <s v="SG2"/>
    <m/>
    <x v="0"/>
    <x v="0"/>
    <x v="2"/>
    <x v="3"/>
    <x v="0"/>
    <x v="0"/>
    <x v="0"/>
    <m/>
    <x v="0"/>
    <x v="0"/>
    <n v="-0.21810600000000002"/>
    <m/>
    <x v="4"/>
    <x v="2"/>
    <x v="0"/>
    <x v="1"/>
    <x v="0"/>
  </r>
  <r>
    <s v="Singapore"/>
    <x v="3"/>
    <s v="SG3"/>
    <m/>
    <x v="4"/>
    <x v="4"/>
    <x v="1"/>
    <x v="4"/>
    <x v="0"/>
    <x v="0"/>
    <x v="0"/>
    <m/>
    <x v="0"/>
    <x v="0"/>
    <n v="49.589561637000003"/>
    <m/>
    <x v="2"/>
    <x v="2"/>
    <x v="0"/>
    <x v="4"/>
    <x v="0"/>
  </r>
  <r>
    <s v="Singapore"/>
    <x v="3"/>
    <s v="SG4"/>
    <m/>
    <x v="1"/>
    <x v="1"/>
    <x v="1"/>
    <x v="4"/>
    <x v="0"/>
    <x v="0"/>
    <x v="0"/>
    <m/>
    <x v="0"/>
    <x v="0"/>
    <n v="-0.65431800000000007"/>
    <m/>
    <x v="0"/>
    <x v="3"/>
    <x v="0"/>
    <x v="2"/>
    <x v="2"/>
  </r>
  <r>
    <s v="Singapore"/>
    <x v="3"/>
    <s v="SG1"/>
    <m/>
    <x v="1"/>
    <x v="1"/>
    <x v="1"/>
    <x v="5"/>
    <x v="0"/>
    <x v="0"/>
    <x v="0"/>
    <m/>
    <x v="0"/>
    <x v="0"/>
    <n v="-0.233685"/>
    <m/>
    <x v="0"/>
    <x v="3"/>
    <x v="0"/>
    <x v="2"/>
    <x v="2"/>
  </r>
  <r>
    <s v="Singapore"/>
    <x v="2"/>
    <s v="SG3"/>
    <m/>
    <x v="5"/>
    <x v="0"/>
    <x v="0"/>
    <x v="1"/>
    <x v="0"/>
    <x v="0"/>
    <x v="0"/>
    <m/>
    <x v="0"/>
    <x v="0"/>
    <n v="-0.60758100000000004"/>
    <m/>
    <x v="3"/>
    <x v="0"/>
    <x v="0"/>
    <x v="1"/>
    <x v="2"/>
  </r>
  <r>
    <s v="Singapore"/>
    <x v="5"/>
    <s v="SG3"/>
    <m/>
    <x v="2"/>
    <x v="0"/>
    <x v="4"/>
    <x v="4"/>
    <x v="0"/>
    <x v="0"/>
    <x v="0"/>
    <m/>
    <x v="0"/>
    <x v="0"/>
    <n v="2.8758834000000002"/>
    <m/>
    <x v="8"/>
    <x v="0"/>
    <x v="0"/>
    <x v="0"/>
    <x v="2"/>
  </r>
  <r>
    <s v="Singapore"/>
    <x v="2"/>
    <s v="SG2"/>
    <m/>
    <x v="3"/>
    <x v="1"/>
    <x v="1"/>
    <x v="3"/>
    <x v="0"/>
    <x v="0"/>
    <x v="0"/>
    <m/>
    <x v="0"/>
    <x v="0"/>
    <n v="-7.5386781000000003"/>
    <m/>
    <x v="3"/>
    <x v="0"/>
    <x v="0"/>
    <x v="0"/>
    <x v="1"/>
  </r>
  <r>
    <s v="Singapore"/>
    <x v="3"/>
    <s v="SG2"/>
    <m/>
    <x v="3"/>
    <x v="3"/>
    <x v="3"/>
    <x v="5"/>
    <x v="0"/>
    <x v="0"/>
    <x v="0"/>
    <m/>
    <x v="0"/>
    <x v="0"/>
    <n v="4.6737000000000001E-2"/>
    <m/>
    <x v="0"/>
    <x v="0"/>
    <x v="0"/>
    <x v="3"/>
    <x v="2"/>
  </r>
  <r>
    <s v="Singapore"/>
    <x v="4"/>
    <s v="SG3"/>
    <m/>
    <x v="4"/>
    <x v="3"/>
    <x v="2"/>
    <x v="4"/>
    <x v="0"/>
    <x v="0"/>
    <x v="0"/>
    <m/>
    <x v="0"/>
    <x v="0"/>
    <n v="-7.7895000000000004E-3"/>
    <m/>
    <x v="0"/>
    <x v="1"/>
    <x v="0"/>
    <x v="1"/>
    <x v="0"/>
  </r>
  <r>
    <s v="Singapore"/>
    <x v="2"/>
    <s v="SG4"/>
    <m/>
    <x v="2"/>
    <x v="2"/>
    <x v="3"/>
    <x v="1"/>
    <x v="0"/>
    <x v="0"/>
    <x v="0"/>
    <m/>
    <x v="0"/>
    <x v="0"/>
    <n v="0.35138434500000004"/>
    <m/>
    <x v="6"/>
    <x v="0"/>
    <x v="0"/>
    <x v="2"/>
    <x v="0"/>
  </r>
  <r>
    <s v="Singapore"/>
    <x v="3"/>
    <s v="SG3"/>
    <m/>
    <x v="0"/>
    <x v="0"/>
    <x v="1"/>
    <x v="4"/>
    <x v="0"/>
    <x v="0"/>
    <x v="0"/>
    <m/>
    <x v="0"/>
    <x v="0"/>
    <n v="4.855210929000001"/>
    <m/>
    <x v="1"/>
    <x v="0"/>
    <x v="0"/>
    <x v="4"/>
    <x v="1"/>
  </r>
  <r>
    <s v="Singapore"/>
    <x v="0"/>
    <s v="SG4"/>
    <m/>
    <x v="0"/>
    <x v="0"/>
    <x v="2"/>
    <x v="0"/>
    <x v="0"/>
    <x v="0"/>
    <x v="0"/>
    <m/>
    <x v="0"/>
    <x v="0"/>
    <n v="-4.2842250000000002"/>
    <m/>
    <x v="4"/>
    <x v="2"/>
    <x v="0"/>
    <x v="0"/>
    <x v="0"/>
  </r>
  <r>
    <s v="Singapore"/>
    <x v="3"/>
    <s v="SG1"/>
    <m/>
    <x v="1"/>
    <x v="0"/>
    <x v="2"/>
    <x v="4"/>
    <x v="0"/>
    <x v="0"/>
    <x v="0"/>
    <m/>
    <x v="0"/>
    <x v="0"/>
    <n v="-0.14307753600000001"/>
    <m/>
    <x v="0"/>
    <x v="0"/>
    <x v="0"/>
    <x v="0"/>
    <x v="0"/>
  </r>
  <r>
    <s v="Singapore"/>
    <x v="1"/>
    <s v="SG4"/>
    <m/>
    <x v="4"/>
    <x v="1"/>
    <x v="0"/>
    <x v="2"/>
    <x v="0"/>
    <x v="0"/>
    <x v="0"/>
    <m/>
    <x v="0"/>
    <x v="0"/>
    <n v="-7.7895000000000006E-2"/>
    <m/>
    <x v="4"/>
    <x v="0"/>
    <x v="0"/>
    <x v="5"/>
    <x v="0"/>
  </r>
  <r>
    <s v="Singapore"/>
    <x v="1"/>
    <s v="SG3"/>
    <m/>
    <x v="2"/>
    <x v="1"/>
    <x v="0"/>
    <x v="3"/>
    <x v="0"/>
    <x v="0"/>
    <x v="0"/>
    <m/>
    <x v="0"/>
    <x v="0"/>
    <n v="-3.256011"/>
    <m/>
    <x v="4"/>
    <x v="1"/>
    <x v="0"/>
    <x v="2"/>
    <x v="0"/>
  </r>
  <r>
    <s v="Singapore"/>
    <x v="1"/>
    <s v="SG3"/>
    <m/>
    <x v="4"/>
    <x v="1"/>
    <x v="4"/>
    <x v="1"/>
    <x v="0"/>
    <x v="0"/>
    <x v="0"/>
    <m/>
    <x v="0"/>
    <x v="0"/>
    <n v="-8.7787664999999997"/>
    <m/>
    <x v="1"/>
    <x v="0"/>
    <x v="0"/>
    <x v="4"/>
    <x v="1"/>
  </r>
  <r>
    <s v="Singapore"/>
    <x v="0"/>
    <s v="SG3"/>
    <m/>
    <x v="3"/>
    <x v="3"/>
    <x v="3"/>
    <x v="4"/>
    <x v="0"/>
    <x v="0"/>
    <x v="0"/>
    <m/>
    <x v="0"/>
    <x v="0"/>
    <n v="-0.12463200000000001"/>
    <m/>
    <x v="4"/>
    <x v="2"/>
    <x v="0"/>
    <x v="3"/>
    <x v="2"/>
  </r>
  <r>
    <s v="Singapore"/>
    <x v="3"/>
    <s v="SG3"/>
    <m/>
    <x v="5"/>
    <x v="1"/>
    <x v="0"/>
    <x v="1"/>
    <x v="0"/>
    <x v="0"/>
    <x v="0"/>
    <m/>
    <x v="0"/>
    <x v="0"/>
    <n v="0.60460541099999998"/>
    <m/>
    <x v="7"/>
    <x v="3"/>
    <x v="0"/>
    <x v="0"/>
    <x v="0"/>
  </r>
  <r>
    <s v="Singapore"/>
    <x v="5"/>
    <s v="SG3"/>
    <m/>
    <x v="2"/>
    <x v="1"/>
    <x v="3"/>
    <x v="0"/>
    <x v="0"/>
    <x v="0"/>
    <x v="0"/>
    <m/>
    <x v="0"/>
    <x v="0"/>
    <n v="-0.233685"/>
    <m/>
    <x v="0"/>
    <x v="2"/>
    <x v="0"/>
    <x v="4"/>
    <x v="1"/>
  </r>
  <r>
    <s v="Singapore"/>
    <x v="4"/>
    <s v="SG4"/>
    <m/>
    <x v="1"/>
    <x v="0"/>
    <x v="1"/>
    <x v="1"/>
    <x v="0"/>
    <x v="0"/>
    <x v="0"/>
    <m/>
    <x v="0"/>
    <x v="0"/>
    <n v="2.6484300000000003"/>
    <m/>
    <x v="1"/>
    <x v="3"/>
    <x v="0"/>
    <x v="4"/>
    <x v="1"/>
  </r>
  <r>
    <s v="Singapore"/>
    <x v="0"/>
    <s v="SG4"/>
    <m/>
    <x v="1"/>
    <x v="1"/>
    <x v="2"/>
    <x v="3"/>
    <x v="0"/>
    <x v="0"/>
    <x v="0"/>
    <m/>
    <x v="0"/>
    <x v="0"/>
    <n v="0.93474000000000002"/>
    <m/>
    <x v="3"/>
    <x v="1"/>
    <x v="0"/>
    <x v="5"/>
    <x v="2"/>
  </r>
  <r>
    <s v="Singapore"/>
    <x v="2"/>
    <s v="SG1"/>
    <m/>
    <x v="0"/>
    <x v="2"/>
    <x v="2"/>
    <x v="0"/>
    <x v="0"/>
    <x v="0"/>
    <x v="0"/>
    <m/>
    <x v="0"/>
    <x v="0"/>
    <n v="-4.6737000000000001E-2"/>
    <m/>
    <x v="0"/>
    <x v="3"/>
    <x v="0"/>
    <x v="3"/>
    <x v="0"/>
  </r>
  <r>
    <s v="Singapore"/>
    <x v="1"/>
    <s v="SG4"/>
    <m/>
    <x v="1"/>
    <x v="0"/>
    <x v="0"/>
    <x v="1"/>
    <x v="0"/>
    <x v="0"/>
    <x v="0"/>
    <m/>
    <x v="0"/>
    <x v="0"/>
    <n v="-0.280422"/>
    <m/>
    <x v="0"/>
    <x v="3"/>
    <x v="0"/>
    <x v="3"/>
    <x v="2"/>
  </r>
  <r>
    <s v="Singapore"/>
    <x v="3"/>
    <s v="SG3"/>
    <m/>
    <x v="2"/>
    <x v="4"/>
    <x v="3"/>
    <x v="2"/>
    <x v="0"/>
    <x v="0"/>
    <x v="0"/>
    <m/>
    <x v="0"/>
    <x v="0"/>
    <n v="-1.09053E-2"/>
    <m/>
    <x v="8"/>
    <x v="3"/>
    <x v="0"/>
    <x v="4"/>
    <x v="1"/>
  </r>
  <r>
    <s v="Singapore"/>
    <x v="2"/>
    <s v="SG2"/>
    <m/>
    <x v="4"/>
    <x v="4"/>
    <x v="2"/>
    <x v="5"/>
    <x v="0"/>
    <x v="0"/>
    <x v="0"/>
    <m/>
    <x v="0"/>
    <x v="0"/>
    <n v="-1.6797122010000001"/>
    <m/>
    <x v="4"/>
    <x v="2"/>
    <x v="0"/>
    <x v="1"/>
    <x v="1"/>
  </r>
  <r>
    <s v="Singapore"/>
    <x v="3"/>
    <s v="SG3"/>
    <m/>
    <x v="3"/>
    <x v="2"/>
    <x v="4"/>
    <x v="1"/>
    <x v="0"/>
    <x v="0"/>
    <x v="0"/>
    <m/>
    <x v="0"/>
    <x v="0"/>
    <n v="0.15968475000000001"/>
    <m/>
    <x v="7"/>
    <x v="0"/>
    <x v="0"/>
    <x v="3"/>
    <x v="1"/>
  </r>
  <r>
    <s v="Singapore"/>
    <x v="0"/>
    <s v="SG4"/>
    <m/>
    <x v="0"/>
    <x v="0"/>
    <x v="4"/>
    <x v="3"/>
    <x v="0"/>
    <x v="0"/>
    <x v="0"/>
    <m/>
    <x v="0"/>
    <x v="0"/>
    <n v="1.152846"/>
    <m/>
    <x v="1"/>
    <x v="1"/>
    <x v="0"/>
    <x v="2"/>
    <x v="1"/>
  </r>
  <r>
    <s v="Singapore"/>
    <x v="5"/>
    <s v="SG4"/>
    <m/>
    <x v="4"/>
    <x v="1"/>
    <x v="1"/>
    <x v="2"/>
    <x v="0"/>
    <x v="0"/>
    <x v="0"/>
    <m/>
    <x v="0"/>
    <x v="0"/>
    <n v="7.7895000000000003"/>
    <m/>
    <x v="1"/>
    <x v="0"/>
    <x v="0"/>
    <x v="2"/>
    <x v="2"/>
  </r>
  <r>
    <s v="Singapore"/>
    <x v="0"/>
    <s v="SG2"/>
    <m/>
    <x v="1"/>
    <x v="3"/>
    <x v="0"/>
    <x v="5"/>
    <x v="0"/>
    <x v="0"/>
    <x v="0"/>
    <m/>
    <x v="0"/>
    <x v="0"/>
    <n v="-0.545265"/>
    <m/>
    <x v="1"/>
    <x v="0"/>
    <x v="0"/>
    <x v="5"/>
    <x v="2"/>
  </r>
  <r>
    <s v="Singapore"/>
    <x v="4"/>
    <s v="SG1"/>
    <m/>
    <x v="5"/>
    <x v="3"/>
    <x v="4"/>
    <x v="2"/>
    <x v="0"/>
    <x v="0"/>
    <x v="0"/>
    <m/>
    <x v="0"/>
    <x v="0"/>
    <n v="0.1838322"/>
    <m/>
    <x v="4"/>
    <x v="3"/>
    <x v="0"/>
    <x v="0"/>
    <x v="1"/>
  </r>
  <r>
    <s v="Singapore"/>
    <x v="5"/>
    <s v="SG2"/>
    <m/>
    <x v="2"/>
    <x v="2"/>
    <x v="2"/>
    <x v="0"/>
    <x v="0"/>
    <x v="0"/>
    <x v="0"/>
    <m/>
    <x v="0"/>
    <x v="0"/>
    <n v="0.62316000000000005"/>
    <m/>
    <x v="1"/>
    <x v="2"/>
    <x v="0"/>
    <x v="0"/>
    <x v="2"/>
  </r>
  <r>
    <s v="Singapore"/>
    <x v="4"/>
    <s v="SG4"/>
    <m/>
    <x v="4"/>
    <x v="0"/>
    <x v="1"/>
    <x v="5"/>
    <x v="0"/>
    <x v="0"/>
    <x v="0"/>
    <m/>
    <x v="0"/>
    <x v="0"/>
    <n v="0.27842788800000001"/>
    <m/>
    <x v="8"/>
    <x v="3"/>
    <x v="0"/>
    <x v="2"/>
    <x v="0"/>
  </r>
  <r>
    <s v="Singapore"/>
    <x v="3"/>
    <s v="SG3"/>
    <m/>
    <x v="5"/>
    <x v="1"/>
    <x v="3"/>
    <x v="1"/>
    <x v="0"/>
    <x v="0"/>
    <x v="0"/>
    <m/>
    <x v="0"/>
    <x v="0"/>
    <n v="139.75400561400002"/>
    <m/>
    <x v="5"/>
    <x v="2"/>
    <x v="0"/>
    <x v="0"/>
    <x v="2"/>
  </r>
  <r>
    <s v="Singapore"/>
    <x v="0"/>
    <s v="SG1"/>
    <m/>
    <x v="4"/>
    <x v="3"/>
    <x v="3"/>
    <x v="5"/>
    <x v="0"/>
    <x v="0"/>
    <x v="0"/>
    <m/>
    <x v="0"/>
    <x v="0"/>
    <n v="1.4566365000000001"/>
    <m/>
    <x v="1"/>
    <x v="2"/>
    <x v="0"/>
    <x v="2"/>
    <x v="1"/>
  </r>
  <r>
    <s v="Singapore"/>
    <x v="5"/>
    <s v="SG4"/>
    <m/>
    <x v="1"/>
    <x v="3"/>
    <x v="0"/>
    <x v="5"/>
    <x v="0"/>
    <x v="0"/>
    <x v="0"/>
    <m/>
    <x v="0"/>
    <x v="0"/>
    <n v="-2.0971826640000004"/>
    <m/>
    <x v="4"/>
    <x v="0"/>
    <x v="0"/>
    <x v="3"/>
    <x v="1"/>
  </r>
  <r>
    <s v="Singapore"/>
    <x v="2"/>
    <s v="SG2"/>
    <m/>
    <x v="4"/>
    <x v="1"/>
    <x v="1"/>
    <x v="2"/>
    <x v="0"/>
    <x v="0"/>
    <x v="0"/>
    <m/>
    <x v="0"/>
    <x v="0"/>
    <n v="-4.6737000000000001E-2"/>
    <m/>
    <x v="0"/>
    <x v="0"/>
    <x v="0"/>
    <x v="2"/>
    <x v="1"/>
  </r>
  <r>
    <s v="Singapore"/>
    <x v="5"/>
    <s v="SG2"/>
    <m/>
    <x v="0"/>
    <x v="2"/>
    <x v="3"/>
    <x v="0"/>
    <x v="0"/>
    <x v="0"/>
    <x v="0"/>
    <m/>
    <x v="0"/>
    <x v="0"/>
    <n v="-0.15579000000000001"/>
    <m/>
    <x v="1"/>
    <x v="0"/>
    <x v="0"/>
    <x v="4"/>
    <x v="0"/>
  </r>
  <r>
    <s v="Singapore"/>
    <x v="3"/>
    <s v="SG3"/>
    <m/>
    <x v="0"/>
    <x v="1"/>
    <x v="3"/>
    <x v="4"/>
    <x v="0"/>
    <x v="0"/>
    <x v="0"/>
    <m/>
    <x v="0"/>
    <x v="0"/>
    <n v="0.29600100000000001"/>
    <m/>
    <x v="1"/>
    <x v="1"/>
    <x v="0"/>
    <x v="4"/>
    <x v="1"/>
  </r>
  <r>
    <s v="Singapore"/>
    <x v="3"/>
    <s v="SG2"/>
    <m/>
    <x v="2"/>
    <x v="0"/>
    <x v="4"/>
    <x v="1"/>
    <x v="0"/>
    <x v="0"/>
    <x v="0"/>
    <m/>
    <x v="0"/>
    <x v="0"/>
    <n v="-9.8147700000000004E-2"/>
    <m/>
    <x v="3"/>
    <x v="1"/>
    <x v="0"/>
    <x v="3"/>
    <x v="2"/>
  </r>
  <r>
    <s v="Singapore"/>
    <x v="3"/>
    <s v="SG3"/>
    <m/>
    <x v="1"/>
    <x v="0"/>
    <x v="3"/>
    <x v="3"/>
    <x v="0"/>
    <x v="0"/>
    <x v="0"/>
    <m/>
    <x v="0"/>
    <x v="0"/>
    <n v="-878.96540399399998"/>
    <m/>
    <x v="2"/>
    <x v="2"/>
    <x v="0"/>
    <x v="5"/>
    <x v="1"/>
  </r>
  <r>
    <s v="Singapore"/>
    <x v="0"/>
    <s v="SG4"/>
    <m/>
    <x v="3"/>
    <x v="4"/>
    <x v="1"/>
    <x v="5"/>
    <x v="0"/>
    <x v="0"/>
    <x v="0"/>
    <m/>
    <x v="0"/>
    <x v="0"/>
    <n v="-0.10905300000000001"/>
    <m/>
    <x v="4"/>
    <x v="0"/>
    <x v="0"/>
    <x v="5"/>
    <x v="0"/>
  </r>
  <r>
    <s v="Singapore"/>
    <x v="3"/>
    <s v="SG2"/>
    <m/>
    <x v="3"/>
    <x v="3"/>
    <x v="2"/>
    <x v="2"/>
    <x v="0"/>
    <x v="0"/>
    <x v="0"/>
    <m/>
    <x v="0"/>
    <x v="0"/>
    <n v="0.86214186000000004"/>
    <m/>
    <x v="1"/>
    <x v="1"/>
    <x v="0"/>
    <x v="3"/>
    <x v="0"/>
  </r>
  <r>
    <s v="Singapore"/>
    <x v="1"/>
    <s v="SG1"/>
    <m/>
    <x v="3"/>
    <x v="2"/>
    <x v="4"/>
    <x v="1"/>
    <x v="0"/>
    <x v="0"/>
    <x v="0"/>
    <m/>
    <x v="0"/>
    <x v="0"/>
    <n v="2.6484300000000003"/>
    <m/>
    <x v="1"/>
    <x v="0"/>
    <x v="0"/>
    <x v="3"/>
    <x v="1"/>
  </r>
  <r>
    <s v="Singapore"/>
    <x v="4"/>
    <s v="SG2"/>
    <m/>
    <x v="3"/>
    <x v="4"/>
    <x v="3"/>
    <x v="1"/>
    <x v="0"/>
    <x v="0"/>
    <x v="0"/>
    <m/>
    <x v="0"/>
    <x v="0"/>
    <n v="40.339935441000002"/>
    <m/>
    <x v="5"/>
    <x v="1"/>
    <x v="0"/>
    <x v="1"/>
    <x v="1"/>
  </r>
  <r>
    <s v="Singapore"/>
    <x v="1"/>
    <s v="SG2"/>
    <m/>
    <x v="0"/>
    <x v="2"/>
    <x v="1"/>
    <x v="0"/>
    <x v="0"/>
    <x v="0"/>
    <x v="0"/>
    <m/>
    <x v="0"/>
    <x v="0"/>
    <n v="-0.42063300000000003"/>
    <m/>
    <x v="4"/>
    <x v="0"/>
    <x v="0"/>
    <x v="0"/>
    <x v="1"/>
  </r>
  <r>
    <s v="Singapore"/>
    <x v="0"/>
    <s v="SG1"/>
    <m/>
    <x v="5"/>
    <x v="0"/>
    <x v="4"/>
    <x v="2"/>
    <x v="0"/>
    <x v="0"/>
    <x v="0"/>
    <m/>
    <x v="0"/>
    <x v="0"/>
    <n v="-7.7895000000000006E-2"/>
    <m/>
    <x v="0"/>
    <x v="0"/>
    <x v="0"/>
    <x v="4"/>
    <x v="0"/>
  </r>
  <r>
    <s v="Singapore"/>
    <x v="1"/>
    <s v="SG1"/>
    <m/>
    <x v="4"/>
    <x v="3"/>
    <x v="4"/>
    <x v="2"/>
    <x v="0"/>
    <x v="0"/>
    <x v="0"/>
    <m/>
    <x v="0"/>
    <x v="0"/>
    <n v="-0.233685"/>
    <m/>
    <x v="0"/>
    <x v="2"/>
    <x v="0"/>
    <x v="3"/>
    <x v="2"/>
  </r>
  <r>
    <s v="Singapore"/>
    <x v="3"/>
    <s v="SG3"/>
    <m/>
    <x v="0"/>
    <x v="2"/>
    <x v="4"/>
    <x v="3"/>
    <x v="0"/>
    <x v="0"/>
    <x v="0"/>
    <m/>
    <x v="0"/>
    <x v="0"/>
    <n v="-0.37389600000000001"/>
    <m/>
    <x v="4"/>
    <x v="1"/>
    <x v="0"/>
    <x v="0"/>
    <x v="1"/>
  </r>
  <r>
    <s v="Singapore"/>
    <x v="0"/>
    <s v="SG3"/>
    <m/>
    <x v="1"/>
    <x v="2"/>
    <x v="3"/>
    <x v="4"/>
    <x v="0"/>
    <x v="0"/>
    <x v="0"/>
    <m/>
    <x v="0"/>
    <x v="0"/>
    <n v="2.7263250000000001"/>
    <m/>
    <x v="1"/>
    <x v="3"/>
    <x v="0"/>
    <x v="0"/>
    <x v="0"/>
  </r>
  <r>
    <s v="Singapore"/>
    <x v="5"/>
    <s v="SG2"/>
    <m/>
    <x v="3"/>
    <x v="0"/>
    <x v="2"/>
    <x v="4"/>
    <x v="0"/>
    <x v="0"/>
    <x v="0"/>
    <m/>
    <x v="0"/>
    <x v="0"/>
    <n v="-35.146224000000004"/>
    <m/>
    <x v="2"/>
    <x v="2"/>
    <x v="0"/>
    <x v="1"/>
    <x v="0"/>
  </r>
  <r>
    <s v="Singapore"/>
    <x v="3"/>
    <s v="SG2"/>
    <m/>
    <x v="1"/>
    <x v="4"/>
    <x v="1"/>
    <x v="5"/>
    <x v="0"/>
    <x v="0"/>
    <x v="0"/>
    <m/>
    <x v="0"/>
    <x v="0"/>
    <n v="2.1343230000000002"/>
    <m/>
    <x v="1"/>
    <x v="1"/>
    <x v="0"/>
    <x v="0"/>
    <x v="2"/>
  </r>
  <r>
    <s v="Singapore"/>
    <x v="2"/>
    <s v="SG2"/>
    <m/>
    <x v="2"/>
    <x v="0"/>
    <x v="1"/>
    <x v="2"/>
    <x v="0"/>
    <x v="0"/>
    <x v="0"/>
    <m/>
    <x v="0"/>
    <x v="0"/>
    <n v="-0.77895000000000003"/>
    <m/>
    <x v="4"/>
    <x v="2"/>
    <x v="0"/>
    <x v="2"/>
    <x v="2"/>
  </r>
  <r>
    <s v="Singapore"/>
    <x v="3"/>
    <s v="SG4"/>
    <m/>
    <x v="4"/>
    <x v="0"/>
    <x v="4"/>
    <x v="0"/>
    <x v="0"/>
    <x v="0"/>
    <x v="0"/>
    <m/>
    <x v="0"/>
    <x v="0"/>
    <n v="246.07030500000002"/>
    <m/>
    <x v="2"/>
    <x v="1"/>
    <x v="0"/>
    <x v="1"/>
    <x v="2"/>
  </r>
  <r>
    <s v="Singapore"/>
    <x v="1"/>
    <s v="SG3"/>
    <m/>
    <x v="0"/>
    <x v="1"/>
    <x v="3"/>
    <x v="5"/>
    <x v="0"/>
    <x v="0"/>
    <x v="0"/>
    <m/>
    <x v="0"/>
    <x v="0"/>
    <n v="-18.434708595"/>
    <m/>
    <x v="7"/>
    <x v="3"/>
    <x v="0"/>
    <x v="0"/>
    <x v="1"/>
  </r>
  <r>
    <s v="Singapore"/>
    <x v="1"/>
    <s v="SG3"/>
    <m/>
    <x v="3"/>
    <x v="1"/>
    <x v="0"/>
    <x v="0"/>
    <x v="0"/>
    <x v="0"/>
    <x v="0"/>
    <m/>
    <x v="0"/>
    <x v="0"/>
    <n v="-1.5579000000000001E-2"/>
    <m/>
    <x v="0"/>
    <x v="3"/>
    <x v="0"/>
    <x v="4"/>
    <x v="2"/>
  </r>
  <r>
    <s v="Singapore"/>
    <x v="0"/>
    <s v="SG4"/>
    <m/>
    <x v="5"/>
    <x v="4"/>
    <x v="2"/>
    <x v="4"/>
    <x v="0"/>
    <x v="0"/>
    <x v="0"/>
    <m/>
    <x v="0"/>
    <x v="0"/>
    <n v="-0.280141578"/>
    <m/>
    <x v="0"/>
    <x v="0"/>
    <x v="0"/>
    <x v="2"/>
    <x v="0"/>
  </r>
  <r>
    <s v="Singapore"/>
    <x v="3"/>
    <s v="SG3"/>
    <m/>
    <x v="5"/>
    <x v="2"/>
    <x v="0"/>
    <x v="5"/>
    <x v="0"/>
    <x v="0"/>
    <x v="0"/>
    <m/>
    <x v="0"/>
    <x v="0"/>
    <n v="-4.6737000000000001E-2"/>
    <m/>
    <x v="0"/>
    <x v="2"/>
    <x v="0"/>
    <x v="3"/>
    <x v="1"/>
  </r>
  <r>
    <s v="Singapore"/>
    <x v="2"/>
    <s v="SG2"/>
    <m/>
    <x v="3"/>
    <x v="4"/>
    <x v="3"/>
    <x v="0"/>
    <x v="0"/>
    <x v="0"/>
    <x v="0"/>
    <m/>
    <x v="0"/>
    <x v="0"/>
    <n v="-0.51410699999999998"/>
    <m/>
    <x v="8"/>
    <x v="0"/>
    <x v="0"/>
    <x v="1"/>
    <x v="2"/>
  </r>
  <r>
    <s v="Singapore"/>
    <x v="5"/>
    <s v="SG2"/>
    <m/>
    <x v="1"/>
    <x v="1"/>
    <x v="3"/>
    <x v="1"/>
    <x v="0"/>
    <x v="0"/>
    <x v="0"/>
    <m/>
    <x v="0"/>
    <x v="0"/>
    <n v="0.70105499999999998"/>
    <m/>
    <x v="1"/>
    <x v="3"/>
    <x v="0"/>
    <x v="0"/>
    <x v="1"/>
  </r>
  <r>
    <s v="Singapore"/>
    <x v="4"/>
    <s v="SG1"/>
    <m/>
    <x v="3"/>
    <x v="2"/>
    <x v="4"/>
    <x v="3"/>
    <x v="0"/>
    <x v="0"/>
    <x v="0"/>
    <m/>
    <x v="0"/>
    <x v="0"/>
    <n v="-0.15579000000000001"/>
    <m/>
    <x v="0"/>
    <x v="3"/>
    <x v="0"/>
    <x v="2"/>
    <x v="0"/>
  </r>
  <r>
    <s v="Singapore"/>
    <x v="4"/>
    <s v="SG4"/>
    <m/>
    <x v="5"/>
    <x v="1"/>
    <x v="4"/>
    <x v="0"/>
    <x v="0"/>
    <x v="0"/>
    <x v="0"/>
    <m/>
    <x v="0"/>
    <x v="0"/>
    <n v="1.137267"/>
    <m/>
    <x v="1"/>
    <x v="0"/>
    <x v="0"/>
    <x v="3"/>
    <x v="2"/>
  </r>
  <r>
    <s v="Singapore"/>
    <x v="1"/>
    <s v="SG3"/>
    <m/>
    <x v="4"/>
    <x v="1"/>
    <x v="1"/>
    <x v="0"/>
    <x v="0"/>
    <x v="0"/>
    <x v="0"/>
    <m/>
    <x v="0"/>
    <x v="0"/>
    <n v="0.46737000000000001"/>
    <m/>
    <x v="1"/>
    <x v="3"/>
    <x v="0"/>
    <x v="3"/>
    <x v="1"/>
  </r>
  <r>
    <s v="Singapore"/>
    <x v="0"/>
    <s v="SG3"/>
    <m/>
    <x v="1"/>
    <x v="0"/>
    <x v="1"/>
    <x v="5"/>
    <x v="0"/>
    <x v="0"/>
    <x v="0"/>
    <m/>
    <x v="0"/>
    <x v="0"/>
    <n v="1.0603846350000001"/>
    <m/>
    <x v="8"/>
    <x v="0"/>
    <x v="0"/>
    <x v="2"/>
    <x v="1"/>
  </r>
  <r>
    <s v="Singapore"/>
    <x v="1"/>
    <s v="SG1"/>
    <m/>
    <x v="4"/>
    <x v="1"/>
    <x v="1"/>
    <x v="2"/>
    <x v="0"/>
    <x v="0"/>
    <x v="0"/>
    <m/>
    <x v="0"/>
    <x v="0"/>
    <n v="-2.6484300000000003"/>
    <m/>
    <x v="1"/>
    <x v="1"/>
    <x v="0"/>
    <x v="3"/>
    <x v="1"/>
  </r>
  <r>
    <s v="Singapore"/>
    <x v="1"/>
    <s v="SG4"/>
    <m/>
    <x v="0"/>
    <x v="1"/>
    <x v="3"/>
    <x v="4"/>
    <x v="0"/>
    <x v="0"/>
    <x v="0"/>
    <m/>
    <x v="0"/>
    <x v="0"/>
    <n v="1.0801232280000002"/>
    <m/>
    <x v="1"/>
    <x v="1"/>
    <x v="0"/>
    <x v="0"/>
    <x v="2"/>
  </r>
  <r>
    <s v="Singapore"/>
    <x v="5"/>
    <s v="SG1"/>
    <m/>
    <x v="5"/>
    <x v="0"/>
    <x v="1"/>
    <x v="4"/>
    <x v="0"/>
    <x v="0"/>
    <x v="0"/>
    <m/>
    <x v="0"/>
    <x v="0"/>
    <n v="-0.12463200000000001"/>
    <m/>
    <x v="4"/>
    <x v="2"/>
    <x v="0"/>
    <x v="0"/>
    <x v="0"/>
  </r>
  <r>
    <s v="Singapore"/>
    <x v="2"/>
    <s v="SG4"/>
    <m/>
    <x v="3"/>
    <x v="2"/>
    <x v="1"/>
    <x v="2"/>
    <x v="0"/>
    <x v="0"/>
    <x v="0"/>
    <m/>
    <x v="0"/>
    <x v="0"/>
    <n v="-1.2463200000000001E-2"/>
    <m/>
    <x v="6"/>
    <x v="3"/>
    <x v="0"/>
    <x v="3"/>
    <x v="2"/>
  </r>
  <r>
    <s v="Singapore"/>
    <x v="5"/>
    <s v="SG2"/>
    <m/>
    <x v="0"/>
    <x v="3"/>
    <x v="2"/>
    <x v="2"/>
    <x v="0"/>
    <x v="0"/>
    <x v="0"/>
    <m/>
    <x v="0"/>
    <x v="0"/>
    <n v="-4.6737000000000001E-2"/>
    <m/>
    <x v="0"/>
    <x v="1"/>
    <x v="0"/>
    <x v="0"/>
    <x v="1"/>
  </r>
  <r>
    <s v="Singapore"/>
    <x v="1"/>
    <s v="SG1"/>
    <m/>
    <x v="5"/>
    <x v="3"/>
    <x v="2"/>
    <x v="5"/>
    <x v="0"/>
    <x v="0"/>
    <x v="0"/>
    <m/>
    <x v="0"/>
    <x v="0"/>
    <n v="-0.20252700000000001"/>
    <m/>
    <x v="0"/>
    <x v="0"/>
    <x v="0"/>
    <x v="4"/>
    <x v="1"/>
  </r>
  <r>
    <s v="Singapore"/>
    <x v="2"/>
    <s v="SG3"/>
    <m/>
    <x v="1"/>
    <x v="4"/>
    <x v="3"/>
    <x v="5"/>
    <x v="0"/>
    <x v="0"/>
    <x v="0"/>
    <m/>
    <x v="0"/>
    <x v="0"/>
    <n v="10.317317382000001"/>
    <m/>
    <x v="7"/>
    <x v="3"/>
    <x v="0"/>
    <x v="4"/>
    <x v="1"/>
  </r>
  <r>
    <s v="Singapore"/>
    <x v="0"/>
    <s v="SG4"/>
    <m/>
    <x v="1"/>
    <x v="2"/>
    <x v="2"/>
    <x v="5"/>
    <x v="0"/>
    <x v="0"/>
    <x v="0"/>
    <m/>
    <x v="0"/>
    <x v="0"/>
    <n v="-5.8221215639999997"/>
    <m/>
    <x v="2"/>
    <x v="2"/>
    <x v="0"/>
    <x v="3"/>
    <x v="1"/>
  </r>
  <r>
    <s v="Singapore"/>
    <x v="2"/>
    <s v="SG3"/>
    <m/>
    <x v="1"/>
    <x v="4"/>
    <x v="2"/>
    <x v="3"/>
    <x v="0"/>
    <x v="0"/>
    <x v="0"/>
    <m/>
    <x v="0"/>
    <x v="0"/>
    <n v="-13.366782000000001"/>
    <m/>
    <x v="1"/>
    <x v="1"/>
    <x v="0"/>
    <x v="0"/>
    <x v="0"/>
  </r>
  <r>
    <s v="Singapore"/>
    <x v="5"/>
    <s v="SG3"/>
    <m/>
    <x v="5"/>
    <x v="3"/>
    <x v="3"/>
    <x v="5"/>
    <x v="0"/>
    <x v="0"/>
    <x v="0"/>
    <m/>
    <x v="0"/>
    <x v="0"/>
    <n v="1.3008465"/>
    <m/>
    <x v="1"/>
    <x v="1"/>
    <x v="0"/>
    <x v="5"/>
    <x v="2"/>
  </r>
  <r>
    <s v="Singapore"/>
    <x v="0"/>
    <s v="SG1"/>
    <m/>
    <x v="4"/>
    <x v="1"/>
    <x v="4"/>
    <x v="0"/>
    <x v="0"/>
    <x v="0"/>
    <x v="0"/>
    <m/>
    <x v="0"/>
    <x v="0"/>
    <n v="0.12463200000000001"/>
    <m/>
    <x v="0"/>
    <x v="1"/>
    <x v="0"/>
    <x v="0"/>
    <x v="1"/>
  </r>
  <r>
    <s v="Singapore"/>
    <x v="0"/>
    <s v="SG1"/>
    <m/>
    <x v="5"/>
    <x v="4"/>
    <x v="0"/>
    <x v="1"/>
    <x v="0"/>
    <x v="0"/>
    <x v="0"/>
    <m/>
    <x v="0"/>
    <x v="0"/>
    <n v="-1.09053"/>
    <m/>
    <x v="4"/>
    <x v="1"/>
    <x v="0"/>
    <x v="5"/>
    <x v="1"/>
  </r>
  <r>
    <s v="Singapore"/>
    <x v="5"/>
    <s v="SG1"/>
    <m/>
    <x v="5"/>
    <x v="4"/>
    <x v="3"/>
    <x v="2"/>
    <x v="0"/>
    <x v="0"/>
    <x v="0"/>
    <m/>
    <x v="0"/>
    <x v="0"/>
    <n v="-4.6737000000000001E-2"/>
    <m/>
    <x v="0"/>
    <x v="3"/>
    <x v="0"/>
    <x v="4"/>
    <x v="0"/>
  </r>
  <r>
    <s v="Singapore"/>
    <x v="0"/>
    <s v="SG1"/>
    <m/>
    <x v="2"/>
    <x v="4"/>
    <x v="1"/>
    <x v="2"/>
    <x v="0"/>
    <x v="0"/>
    <x v="0"/>
    <m/>
    <x v="0"/>
    <x v="0"/>
    <n v="-0.12463200000000001"/>
    <m/>
    <x v="0"/>
    <x v="1"/>
    <x v="0"/>
    <x v="0"/>
    <x v="0"/>
  </r>
  <r>
    <s v="Singapore"/>
    <x v="3"/>
    <s v="SG4"/>
    <m/>
    <x v="1"/>
    <x v="1"/>
    <x v="1"/>
    <x v="3"/>
    <x v="0"/>
    <x v="0"/>
    <x v="0"/>
    <m/>
    <x v="0"/>
    <x v="0"/>
    <n v="-0.15579000000000001"/>
    <m/>
    <x v="0"/>
    <x v="0"/>
    <x v="0"/>
    <x v="4"/>
    <x v="0"/>
  </r>
  <r>
    <s v="Singapore"/>
    <x v="3"/>
    <s v="SG1"/>
    <m/>
    <x v="4"/>
    <x v="4"/>
    <x v="4"/>
    <x v="4"/>
    <x v="0"/>
    <x v="0"/>
    <x v="0"/>
    <m/>
    <x v="0"/>
    <x v="0"/>
    <n v="-0.98147700000000004"/>
    <m/>
    <x v="0"/>
    <x v="2"/>
    <x v="0"/>
    <x v="2"/>
    <x v="2"/>
  </r>
  <r>
    <s v="Singapore"/>
    <x v="5"/>
    <s v="SG3"/>
    <m/>
    <x v="5"/>
    <x v="1"/>
    <x v="3"/>
    <x v="5"/>
    <x v="0"/>
    <x v="0"/>
    <x v="0"/>
    <m/>
    <x v="0"/>
    <x v="0"/>
    <n v="-0.15579000000000001"/>
    <m/>
    <x v="0"/>
    <x v="3"/>
    <x v="0"/>
    <x v="2"/>
    <x v="0"/>
  </r>
  <r>
    <s v="Singapore"/>
    <x v="1"/>
    <s v="SG4"/>
    <m/>
    <x v="5"/>
    <x v="0"/>
    <x v="3"/>
    <x v="5"/>
    <x v="0"/>
    <x v="0"/>
    <x v="0"/>
    <m/>
    <x v="0"/>
    <x v="0"/>
    <n v="-0.18373872600000002"/>
    <m/>
    <x v="0"/>
    <x v="3"/>
    <x v="0"/>
    <x v="0"/>
    <x v="1"/>
  </r>
  <r>
    <s v="Singapore"/>
    <x v="1"/>
    <s v="SG2"/>
    <m/>
    <x v="5"/>
    <x v="0"/>
    <x v="2"/>
    <x v="2"/>
    <x v="0"/>
    <x v="0"/>
    <x v="0"/>
    <m/>
    <x v="0"/>
    <x v="0"/>
    <n v="-0.358317"/>
    <m/>
    <x v="1"/>
    <x v="2"/>
    <x v="0"/>
    <x v="2"/>
    <x v="1"/>
  </r>
  <r>
    <s v="Singapore"/>
    <x v="2"/>
    <s v="SG4"/>
    <m/>
    <x v="3"/>
    <x v="3"/>
    <x v="1"/>
    <x v="1"/>
    <x v="0"/>
    <x v="0"/>
    <x v="0"/>
    <m/>
    <x v="0"/>
    <x v="0"/>
    <n v="-2.33685E-2"/>
    <m/>
    <x v="0"/>
    <x v="3"/>
    <x v="0"/>
    <x v="4"/>
    <x v="1"/>
  </r>
  <r>
    <s v="Singapore"/>
    <x v="1"/>
    <s v="SG2"/>
    <m/>
    <x v="3"/>
    <x v="0"/>
    <x v="0"/>
    <x v="5"/>
    <x v="0"/>
    <x v="0"/>
    <x v="0"/>
    <m/>
    <x v="0"/>
    <x v="0"/>
    <n v="-2.775180744"/>
    <m/>
    <x v="4"/>
    <x v="1"/>
    <x v="0"/>
    <x v="1"/>
    <x v="0"/>
  </r>
  <r>
    <s v="Singapore"/>
    <x v="2"/>
    <s v="SG3"/>
    <m/>
    <x v="5"/>
    <x v="1"/>
    <x v="3"/>
    <x v="2"/>
    <x v="0"/>
    <x v="0"/>
    <x v="0"/>
    <m/>
    <x v="0"/>
    <x v="0"/>
    <n v="-1.5579000000000001E-2"/>
    <m/>
    <x v="6"/>
    <x v="2"/>
    <x v="0"/>
    <x v="3"/>
    <x v="0"/>
  </r>
  <r>
    <s v="Singapore"/>
    <x v="1"/>
    <s v="SG1"/>
    <m/>
    <x v="4"/>
    <x v="3"/>
    <x v="4"/>
    <x v="5"/>
    <x v="0"/>
    <x v="0"/>
    <x v="0"/>
    <m/>
    <x v="0"/>
    <x v="0"/>
    <n v="0.233685"/>
    <m/>
    <x v="0"/>
    <x v="2"/>
    <x v="0"/>
    <x v="4"/>
    <x v="0"/>
  </r>
  <r>
    <s v="Singapore"/>
    <x v="5"/>
    <s v="SG2"/>
    <m/>
    <x v="3"/>
    <x v="0"/>
    <x v="2"/>
    <x v="2"/>
    <x v="0"/>
    <x v="0"/>
    <x v="0"/>
    <m/>
    <x v="0"/>
    <x v="0"/>
    <n v="-4.855210929000001"/>
    <m/>
    <x v="1"/>
    <x v="3"/>
    <x v="0"/>
    <x v="4"/>
    <x v="1"/>
  </r>
  <r>
    <s v="Singapore"/>
    <x v="2"/>
    <s v="SG3"/>
    <m/>
    <x v="2"/>
    <x v="2"/>
    <x v="4"/>
    <x v="4"/>
    <x v="0"/>
    <x v="0"/>
    <x v="0"/>
    <m/>
    <x v="0"/>
    <x v="0"/>
    <n v="4.751595"/>
    <m/>
    <x v="11"/>
    <x v="1"/>
    <x v="0"/>
    <x v="3"/>
    <x v="0"/>
  </r>
  <r>
    <s v="Singapore"/>
    <x v="3"/>
    <s v="SG2"/>
    <m/>
    <x v="0"/>
    <x v="1"/>
    <x v="3"/>
    <x v="0"/>
    <x v="0"/>
    <x v="0"/>
    <x v="0"/>
    <m/>
    <x v="0"/>
    <x v="0"/>
    <n v="-9.3474000000000002E-2"/>
    <m/>
    <x v="0"/>
    <x v="1"/>
    <x v="0"/>
    <x v="3"/>
    <x v="0"/>
  </r>
  <r>
    <s v="Singapore"/>
    <x v="0"/>
    <s v="SG2"/>
    <m/>
    <x v="2"/>
    <x v="3"/>
    <x v="0"/>
    <x v="2"/>
    <x v="0"/>
    <x v="0"/>
    <x v="0"/>
    <m/>
    <x v="0"/>
    <x v="0"/>
    <n v="-6.2316000000000003"/>
    <m/>
    <x v="4"/>
    <x v="3"/>
    <x v="0"/>
    <x v="0"/>
    <x v="2"/>
  </r>
  <r>
    <s v="Singapore"/>
    <x v="1"/>
    <s v="SG2"/>
    <m/>
    <x v="4"/>
    <x v="0"/>
    <x v="0"/>
    <x v="4"/>
    <x v="0"/>
    <x v="0"/>
    <x v="0"/>
    <m/>
    <x v="0"/>
    <x v="0"/>
    <n v="-0.12463200000000001"/>
    <m/>
    <x v="0"/>
    <x v="0"/>
    <x v="0"/>
    <x v="1"/>
    <x v="2"/>
  </r>
  <r>
    <s v="Singapore"/>
    <x v="2"/>
    <s v="SG3"/>
    <m/>
    <x v="5"/>
    <x v="3"/>
    <x v="1"/>
    <x v="4"/>
    <x v="0"/>
    <x v="0"/>
    <x v="0"/>
    <m/>
    <x v="0"/>
    <x v="0"/>
    <n v="-13.988103678"/>
    <m/>
    <x v="0"/>
    <x v="1"/>
    <x v="0"/>
    <x v="3"/>
    <x v="0"/>
  </r>
  <r>
    <s v="Singapore"/>
    <x v="3"/>
    <s v="SG4"/>
    <m/>
    <x v="1"/>
    <x v="3"/>
    <x v="0"/>
    <x v="1"/>
    <x v="0"/>
    <x v="0"/>
    <x v="0"/>
    <m/>
    <x v="0"/>
    <x v="0"/>
    <n v="-7.0105500000000001E-2"/>
    <m/>
    <x v="1"/>
    <x v="1"/>
    <x v="0"/>
    <x v="1"/>
    <x v="1"/>
  </r>
  <r>
    <s v="Singapore"/>
    <x v="1"/>
    <s v="SG1"/>
    <m/>
    <x v="3"/>
    <x v="2"/>
    <x v="2"/>
    <x v="0"/>
    <x v="0"/>
    <x v="0"/>
    <x v="0"/>
    <m/>
    <x v="0"/>
    <x v="0"/>
    <n v="0.46737000000000001"/>
    <m/>
    <x v="1"/>
    <x v="1"/>
    <x v="0"/>
    <x v="5"/>
    <x v="1"/>
  </r>
  <r>
    <s v="Singapore"/>
    <x v="5"/>
    <s v="SG2"/>
    <m/>
    <x v="5"/>
    <x v="0"/>
    <x v="3"/>
    <x v="0"/>
    <x v="0"/>
    <x v="0"/>
    <x v="0"/>
    <m/>
    <x v="0"/>
    <x v="0"/>
    <n v="-1.5579000000000001E-2"/>
    <m/>
    <x v="0"/>
    <x v="3"/>
    <x v="0"/>
    <x v="0"/>
    <x v="2"/>
  </r>
  <r>
    <s v="Singapore"/>
    <x v="4"/>
    <s v="SG1"/>
    <m/>
    <x v="3"/>
    <x v="0"/>
    <x v="1"/>
    <x v="4"/>
    <x v="0"/>
    <x v="0"/>
    <x v="0"/>
    <m/>
    <x v="0"/>
    <x v="0"/>
    <n v="-1.5579000000000001E-2"/>
    <m/>
    <x v="4"/>
    <x v="3"/>
    <x v="0"/>
    <x v="5"/>
    <x v="2"/>
  </r>
  <r>
    <s v="Singapore"/>
    <x v="4"/>
    <s v="SG4"/>
    <m/>
    <x v="5"/>
    <x v="2"/>
    <x v="3"/>
    <x v="2"/>
    <x v="0"/>
    <x v="0"/>
    <x v="0"/>
    <m/>
    <x v="0"/>
    <x v="0"/>
    <n v="-0.10905300000000001"/>
    <m/>
    <x v="4"/>
    <x v="2"/>
    <x v="0"/>
    <x v="4"/>
    <x v="1"/>
  </r>
  <r>
    <s v="Singapore"/>
    <x v="1"/>
    <s v="SG2"/>
    <m/>
    <x v="1"/>
    <x v="2"/>
    <x v="3"/>
    <x v="5"/>
    <x v="0"/>
    <x v="0"/>
    <x v="0"/>
    <m/>
    <x v="0"/>
    <x v="0"/>
    <n v="-7.0105500000000001E-2"/>
    <m/>
    <x v="4"/>
    <x v="1"/>
    <x v="0"/>
    <x v="5"/>
    <x v="1"/>
  </r>
  <r>
    <s v="Singapore"/>
    <x v="5"/>
    <s v="SG4"/>
    <m/>
    <x v="2"/>
    <x v="2"/>
    <x v="4"/>
    <x v="3"/>
    <x v="0"/>
    <x v="0"/>
    <x v="0"/>
    <m/>
    <x v="0"/>
    <x v="0"/>
    <n v="-4.6737000000000003E-3"/>
    <m/>
    <x v="3"/>
    <x v="1"/>
    <x v="0"/>
    <x v="4"/>
    <x v="1"/>
  </r>
  <r>
    <s v="Singapore"/>
    <x v="4"/>
    <s v="SG3"/>
    <m/>
    <x v="1"/>
    <x v="2"/>
    <x v="4"/>
    <x v="5"/>
    <x v="0"/>
    <x v="0"/>
    <x v="0"/>
    <m/>
    <x v="0"/>
    <x v="0"/>
    <n v="-105.00246"/>
    <m/>
    <x v="4"/>
    <x v="0"/>
    <x v="0"/>
    <x v="1"/>
    <x v="0"/>
  </r>
  <r>
    <s v="Singapore"/>
    <x v="5"/>
    <s v="SG1"/>
    <m/>
    <x v="1"/>
    <x v="0"/>
    <x v="1"/>
    <x v="2"/>
    <x v="0"/>
    <x v="0"/>
    <x v="0"/>
    <m/>
    <x v="0"/>
    <x v="0"/>
    <n v="-34.316548775999998"/>
    <m/>
    <x v="6"/>
    <x v="1"/>
    <x v="0"/>
    <x v="4"/>
    <x v="1"/>
  </r>
  <r>
    <s v="Singapore"/>
    <x v="3"/>
    <s v="SG4"/>
    <m/>
    <x v="4"/>
    <x v="4"/>
    <x v="4"/>
    <x v="5"/>
    <x v="0"/>
    <x v="0"/>
    <x v="0"/>
    <m/>
    <x v="0"/>
    <x v="0"/>
    <n v="1.121688"/>
    <m/>
    <x v="0"/>
    <x v="2"/>
    <x v="0"/>
    <x v="3"/>
    <x v="0"/>
  </r>
  <r>
    <s v="Singapore"/>
    <x v="2"/>
    <s v="SG1"/>
    <m/>
    <x v="2"/>
    <x v="4"/>
    <x v="4"/>
    <x v="2"/>
    <x v="0"/>
    <x v="0"/>
    <x v="0"/>
    <m/>
    <x v="0"/>
    <x v="0"/>
    <n v="-10.2759084"/>
    <m/>
    <x v="7"/>
    <x v="0"/>
    <x v="0"/>
    <x v="1"/>
    <x v="1"/>
  </r>
  <r>
    <s v="Singapore"/>
    <x v="4"/>
    <s v="SG2"/>
    <m/>
    <x v="0"/>
    <x v="1"/>
    <x v="3"/>
    <x v="0"/>
    <x v="0"/>
    <x v="0"/>
    <x v="0"/>
    <m/>
    <x v="0"/>
    <x v="0"/>
    <n v="-0.24926400000000001"/>
    <m/>
    <x v="0"/>
    <x v="0"/>
    <x v="0"/>
    <x v="0"/>
    <x v="0"/>
  </r>
  <r>
    <s v="Singapore"/>
    <x v="0"/>
    <s v="SG3"/>
    <m/>
    <x v="4"/>
    <x v="1"/>
    <x v="0"/>
    <x v="4"/>
    <x v="0"/>
    <x v="0"/>
    <x v="0"/>
    <m/>
    <x v="0"/>
    <x v="0"/>
    <n v="-0.70105499999999998"/>
    <m/>
    <x v="1"/>
    <x v="2"/>
    <x v="0"/>
    <x v="4"/>
    <x v="1"/>
  </r>
  <r>
    <s v="Singapore"/>
    <x v="2"/>
    <s v="SG4"/>
    <m/>
    <x v="2"/>
    <x v="3"/>
    <x v="3"/>
    <x v="1"/>
    <x v="0"/>
    <x v="0"/>
    <x v="0"/>
    <m/>
    <x v="0"/>
    <x v="0"/>
    <n v="-0.62316000000000005"/>
    <m/>
    <x v="4"/>
    <x v="0"/>
    <x v="0"/>
    <x v="4"/>
    <x v="1"/>
  </r>
  <r>
    <s v="Singapore"/>
    <x v="3"/>
    <s v="SG2"/>
    <m/>
    <x v="5"/>
    <x v="1"/>
    <x v="3"/>
    <x v="2"/>
    <x v="0"/>
    <x v="0"/>
    <x v="0"/>
    <m/>
    <x v="0"/>
    <x v="0"/>
    <n v="92.820383054999994"/>
    <m/>
    <x v="2"/>
    <x v="1"/>
    <x v="0"/>
    <x v="2"/>
    <x v="1"/>
  </r>
  <r>
    <s v="Singapore"/>
    <x v="4"/>
    <s v="SG2"/>
    <m/>
    <x v="5"/>
    <x v="4"/>
    <x v="1"/>
    <x v="3"/>
    <x v="0"/>
    <x v="0"/>
    <x v="0"/>
    <m/>
    <x v="0"/>
    <x v="0"/>
    <n v="0.37389600000000001"/>
    <m/>
    <x v="4"/>
    <x v="2"/>
    <x v="0"/>
    <x v="3"/>
    <x v="1"/>
  </r>
  <r>
    <s v="Singapore"/>
    <x v="5"/>
    <s v="SG2"/>
    <m/>
    <x v="5"/>
    <x v="1"/>
    <x v="3"/>
    <x v="4"/>
    <x v="0"/>
    <x v="0"/>
    <x v="0"/>
    <m/>
    <x v="0"/>
    <x v="0"/>
    <n v="-0.10905300000000001"/>
    <m/>
    <x v="4"/>
    <x v="0"/>
    <x v="0"/>
    <x v="5"/>
    <x v="0"/>
  </r>
  <r>
    <s v="Singapore"/>
    <x v="5"/>
    <s v="SG2"/>
    <m/>
    <x v="4"/>
    <x v="3"/>
    <x v="3"/>
    <x v="2"/>
    <x v="0"/>
    <x v="0"/>
    <x v="0"/>
    <m/>
    <x v="0"/>
    <x v="0"/>
    <n v="-4.6737000000000001E-2"/>
    <m/>
    <x v="0"/>
    <x v="0"/>
    <x v="0"/>
    <x v="5"/>
    <x v="2"/>
  </r>
  <r>
    <s v="Singapore"/>
    <x v="3"/>
    <s v="SG1"/>
    <m/>
    <x v="4"/>
    <x v="2"/>
    <x v="3"/>
    <x v="0"/>
    <x v="0"/>
    <x v="0"/>
    <x v="0"/>
    <m/>
    <x v="0"/>
    <x v="0"/>
    <n v="-0.21810600000000002"/>
    <m/>
    <x v="1"/>
    <x v="2"/>
    <x v="0"/>
    <x v="4"/>
    <x v="1"/>
  </r>
  <r>
    <s v="Singapore"/>
    <x v="4"/>
    <s v="SG2"/>
    <m/>
    <x v="4"/>
    <x v="0"/>
    <x v="3"/>
    <x v="0"/>
    <x v="0"/>
    <x v="0"/>
    <x v="0"/>
    <m/>
    <x v="0"/>
    <x v="0"/>
    <n v="3.1158000000000001"/>
    <m/>
    <x v="11"/>
    <x v="3"/>
    <x v="0"/>
    <x v="5"/>
    <x v="0"/>
  </r>
  <r>
    <s v="Singapore"/>
    <x v="4"/>
    <s v="SG3"/>
    <m/>
    <x v="0"/>
    <x v="2"/>
    <x v="2"/>
    <x v="1"/>
    <x v="0"/>
    <x v="0"/>
    <x v="0"/>
    <m/>
    <x v="0"/>
    <x v="0"/>
    <n v="0.12463200000000001"/>
    <m/>
    <x v="0"/>
    <x v="2"/>
    <x v="0"/>
    <x v="3"/>
    <x v="1"/>
  </r>
  <r>
    <s v="Singapore"/>
    <x v="4"/>
    <s v="SG1"/>
    <m/>
    <x v="2"/>
    <x v="2"/>
    <x v="1"/>
    <x v="2"/>
    <x v="0"/>
    <x v="0"/>
    <x v="0"/>
    <m/>
    <x v="0"/>
    <x v="0"/>
    <n v="3.9375922500000002"/>
    <m/>
    <x v="7"/>
    <x v="2"/>
    <x v="0"/>
    <x v="5"/>
    <x v="2"/>
  </r>
  <r>
    <s v="Singapore"/>
    <x v="3"/>
    <s v="SG4"/>
    <m/>
    <x v="0"/>
    <x v="2"/>
    <x v="3"/>
    <x v="0"/>
    <x v="0"/>
    <x v="0"/>
    <x v="0"/>
    <m/>
    <x v="0"/>
    <x v="0"/>
    <n v="-77.89500000000001"/>
    <m/>
    <x v="7"/>
    <x v="0"/>
    <x v="0"/>
    <x v="2"/>
    <x v="1"/>
  </r>
  <r>
    <s v="Singapore"/>
    <x v="5"/>
    <s v="SG1"/>
    <m/>
    <x v="3"/>
    <x v="2"/>
    <x v="4"/>
    <x v="2"/>
    <x v="0"/>
    <x v="0"/>
    <x v="0"/>
    <m/>
    <x v="0"/>
    <x v="0"/>
    <n v="-0.12463200000000001"/>
    <m/>
    <x v="4"/>
    <x v="3"/>
    <x v="0"/>
    <x v="3"/>
    <x v="0"/>
  </r>
  <r>
    <s v="Singapore"/>
    <x v="5"/>
    <s v="SG2"/>
    <m/>
    <x v="5"/>
    <x v="0"/>
    <x v="1"/>
    <x v="3"/>
    <x v="0"/>
    <x v="0"/>
    <x v="0"/>
    <m/>
    <x v="0"/>
    <x v="0"/>
    <n v="-2.3056920000000001"/>
    <m/>
    <x v="0"/>
    <x v="1"/>
    <x v="0"/>
    <x v="5"/>
    <x v="2"/>
  </r>
  <r>
    <s v="Singapore"/>
    <x v="2"/>
    <s v="SG3"/>
    <m/>
    <x v="1"/>
    <x v="1"/>
    <x v="0"/>
    <x v="5"/>
    <x v="0"/>
    <x v="0"/>
    <x v="0"/>
    <m/>
    <x v="0"/>
    <x v="0"/>
    <n v="-2883.2796860400003"/>
    <m/>
    <x v="2"/>
    <x v="0"/>
    <x v="0"/>
    <x v="2"/>
    <x v="0"/>
  </r>
  <r>
    <s v="Singapore"/>
    <x v="0"/>
    <s v="SG2"/>
    <m/>
    <x v="2"/>
    <x v="0"/>
    <x v="3"/>
    <x v="1"/>
    <x v="0"/>
    <x v="0"/>
    <x v="0"/>
    <m/>
    <x v="0"/>
    <x v="0"/>
    <n v="1.121688"/>
    <m/>
    <x v="10"/>
    <x v="1"/>
    <x v="0"/>
    <x v="3"/>
    <x v="2"/>
  </r>
  <r>
    <s v="Singapore"/>
    <x v="1"/>
    <s v="SG1"/>
    <m/>
    <x v="3"/>
    <x v="2"/>
    <x v="3"/>
    <x v="0"/>
    <x v="0"/>
    <x v="0"/>
    <x v="0"/>
    <m/>
    <x v="0"/>
    <x v="0"/>
    <n v="0.15579000000000001"/>
    <m/>
    <x v="1"/>
    <x v="0"/>
    <x v="0"/>
    <x v="1"/>
    <x v="2"/>
  </r>
  <r>
    <s v="Singapore"/>
    <x v="5"/>
    <s v="SG1"/>
    <m/>
    <x v="4"/>
    <x v="0"/>
    <x v="4"/>
    <x v="2"/>
    <x v="0"/>
    <x v="0"/>
    <x v="0"/>
    <m/>
    <x v="0"/>
    <x v="0"/>
    <n v="0.12463200000000001"/>
    <m/>
    <x v="1"/>
    <x v="2"/>
    <x v="0"/>
    <x v="2"/>
    <x v="1"/>
  </r>
  <r>
    <s v="Singapore"/>
    <x v="3"/>
    <s v="SG4"/>
    <m/>
    <x v="4"/>
    <x v="1"/>
    <x v="4"/>
    <x v="4"/>
    <x v="0"/>
    <x v="0"/>
    <x v="0"/>
    <m/>
    <x v="0"/>
    <x v="0"/>
    <n v="1.2432042000000001"/>
    <m/>
    <x v="3"/>
    <x v="0"/>
    <x v="0"/>
    <x v="5"/>
    <x v="0"/>
  </r>
  <r>
    <s v="Singapore"/>
    <x v="4"/>
    <s v="SG4"/>
    <m/>
    <x v="1"/>
    <x v="0"/>
    <x v="2"/>
    <x v="3"/>
    <x v="0"/>
    <x v="0"/>
    <x v="0"/>
    <m/>
    <x v="0"/>
    <x v="0"/>
    <n v="-1.121688"/>
    <m/>
    <x v="10"/>
    <x v="3"/>
    <x v="0"/>
    <x v="2"/>
    <x v="2"/>
  </r>
  <r>
    <s v="Singapore"/>
    <x v="5"/>
    <s v="SG2"/>
    <m/>
    <x v="0"/>
    <x v="0"/>
    <x v="2"/>
    <x v="5"/>
    <x v="0"/>
    <x v="0"/>
    <x v="0"/>
    <m/>
    <x v="0"/>
    <x v="0"/>
    <n v="-0.903582"/>
    <m/>
    <x v="1"/>
    <x v="2"/>
    <x v="0"/>
    <x v="0"/>
    <x v="1"/>
  </r>
  <r>
    <s v="Singapore"/>
    <x v="4"/>
    <s v="SG4"/>
    <m/>
    <x v="5"/>
    <x v="2"/>
    <x v="1"/>
    <x v="5"/>
    <x v="0"/>
    <x v="0"/>
    <x v="0"/>
    <m/>
    <x v="0"/>
    <x v="0"/>
    <n v="0.27842788800000001"/>
    <m/>
    <x v="8"/>
    <x v="2"/>
    <x v="0"/>
    <x v="0"/>
    <x v="1"/>
  </r>
  <r>
    <s v="Singapore"/>
    <x v="0"/>
    <s v="SG3"/>
    <m/>
    <x v="1"/>
    <x v="1"/>
    <x v="1"/>
    <x v="3"/>
    <x v="0"/>
    <x v="0"/>
    <x v="0"/>
    <m/>
    <x v="0"/>
    <x v="0"/>
    <n v="-0.12463200000000001"/>
    <m/>
    <x v="4"/>
    <x v="2"/>
    <x v="0"/>
    <x v="0"/>
    <x v="2"/>
  </r>
  <r>
    <s v="Singapore"/>
    <x v="4"/>
    <s v="SG1"/>
    <m/>
    <x v="3"/>
    <x v="3"/>
    <x v="1"/>
    <x v="0"/>
    <x v="0"/>
    <x v="0"/>
    <x v="0"/>
    <m/>
    <x v="0"/>
    <x v="0"/>
    <n v="0.15968475000000001"/>
    <m/>
    <x v="7"/>
    <x v="2"/>
    <x v="0"/>
    <x v="1"/>
    <x v="1"/>
  </r>
  <r>
    <s v="Singapore"/>
    <x v="0"/>
    <s v="SG1"/>
    <m/>
    <x v="5"/>
    <x v="1"/>
    <x v="4"/>
    <x v="1"/>
    <x v="0"/>
    <x v="0"/>
    <x v="0"/>
    <m/>
    <x v="0"/>
    <x v="0"/>
    <n v="-0.37389600000000001"/>
    <m/>
    <x v="4"/>
    <x v="3"/>
    <x v="0"/>
    <x v="4"/>
    <x v="0"/>
  </r>
  <r>
    <s v="Singapore"/>
    <x v="4"/>
    <s v="SG2"/>
    <m/>
    <x v="3"/>
    <x v="1"/>
    <x v="2"/>
    <x v="1"/>
    <x v="0"/>
    <x v="0"/>
    <x v="0"/>
    <m/>
    <x v="0"/>
    <x v="0"/>
    <n v="-9.3474000000000002E-2"/>
    <m/>
    <x v="6"/>
    <x v="2"/>
    <x v="0"/>
    <x v="0"/>
    <x v="2"/>
  </r>
  <r>
    <s v="Singapore"/>
    <x v="0"/>
    <s v="SG4"/>
    <m/>
    <x v="0"/>
    <x v="1"/>
    <x v="4"/>
    <x v="5"/>
    <x v="0"/>
    <x v="0"/>
    <x v="0"/>
    <m/>
    <x v="0"/>
    <x v="0"/>
    <n v="-1.2151620000000001"/>
    <m/>
    <x v="4"/>
    <x v="1"/>
    <x v="0"/>
    <x v="3"/>
    <x v="0"/>
  </r>
  <r>
    <s v="Singapore"/>
    <x v="5"/>
    <s v="SG1"/>
    <m/>
    <x v="2"/>
    <x v="1"/>
    <x v="0"/>
    <x v="4"/>
    <x v="0"/>
    <x v="0"/>
    <x v="0"/>
    <m/>
    <x v="0"/>
    <x v="0"/>
    <n v="-0.93474000000000002"/>
    <m/>
    <x v="3"/>
    <x v="2"/>
    <x v="0"/>
    <x v="5"/>
    <x v="1"/>
  </r>
  <r>
    <s v="Singapore"/>
    <x v="4"/>
    <s v="SG3"/>
    <m/>
    <x v="1"/>
    <x v="3"/>
    <x v="3"/>
    <x v="5"/>
    <x v="0"/>
    <x v="0"/>
    <x v="0"/>
    <m/>
    <x v="0"/>
    <x v="0"/>
    <n v="-65.353827104999993"/>
    <m/>
    <x v="4"/>
    <x v="0"/>
    <x v="0"/>
    <x v="5"/>
    <x v="0"/>
  </r>
  <r>
    <s v="Singapore"/>
    <x v="1"/>
    <s v="SG2"/>
    <m/>
    <x v="0"/>
    <x v="3"/>
    <x v="4"/>
    <x v="1"/>
    <x v="0"/>
    <x v="0"/>
    <x v="0"/>
    <m/>
    <x v="0"/>
    <x v="0"/>
    <n v="-0.12463200000000001"/>
    <m/>
    <x v="0"/>
    <x v="3"/>
    <x v="0"/>
    <x v="2"/>
    <x v="1"/>
  </r>
  <r>
    <s v="Singapore"/>
    <x v="5"/>
    <s v="SG1"/>
    <m/>
    <x v="5"/>
    <x v="4"/>
    <x v="0"/>
    <x v="5"/>
    <x v="0"/>
    <x v="0"/>
    <x v="0"/>
    <m/>
    <x v="0"/>
    <x v="0"/>
    <n v="-4.6737000000000001E-2"/>
    <m/>
    <x v="0"/>
    <x v="0"/>
    <x v="0"/>
    <x v="0"/>
    <x v="2"/>
  </r>
  <r>
    <s v="Singapore"/>
    <x v="1"/>
    <s v="SG2"/>
    <m/>
    <x v="0"/>
    <x v="3"/>
    <x v="2"/>
    <x v="3"/>
    <x v="0"/>
    <x v="0"/>
    <x v="0"/>
    <m/>
    <x v="0"/>
    <x v="0"/>
    <n v="-1.0391193000000001"/>
    <m/>
    <x v="4"/>
    <x v="2"/>
    <x v="0"/>
    <x v="0"/>
    <x v="1"/>
  </r>
  <r>
    <s v="Singapore"/>
    <x v="0"/>
    <s v="SG4"/>
    <m/>
    <x v="3"/>
    <x v="1"/>
    <x v="1"/>
    <x v="4"/>
    <x v="0"/>
    <x v="0"/>
    <x v="0"/>
    <m/>
    <x v="0"/>
    <x v="0"/>
    <n v="-2.0252700000000002E-2"/>
    <m/>
    <x v="3"/>
    <x v="3"/>
    <x v="0"/>
    <x v="5"/>
    <x v="1"/>
  </r>
  <r>
    <s v="Singapore"/>
    <x v="2"/>
    <s v="SG3"/>
    <m/>
    <x v="5"/>
    <x v="2"/>
    <x v="1"/>
    <x v="0"/>
    <x v="0"/>
    <x v="0"/>
    <x v="0"/>
    <m/>
    <x v="0"/>
    <x v="0"/>
    <n v="1.0801232280000002"/>
    <m/>
    <x v="1"/>
    <x v="0"/>
    <x v="0"/>
    <x v="5"/>
    <x v="1"/>
  </r>
  <r>
    <s v="Singapore"/>
    <x v="4"/>
    <s v="SG1"/>
    <m/>
    <x v="5"/>
    <x v="1"/>
    <x v="1"/>
    <x v="5"/>
    <x v="0"/>
    <x v="0"/>
    <x v="0"/>
    <m/>
    <x v="0"/>
    <x v="0"/>
    <n v="2.7263250000000001"/>
    <m/>
    <x v="1"/>
    <x v="2"/>
    <x v="0"/>
    <x v="1"/>
    <x v="2"/>
  </r>
  <r>
    <s v="Singapore"/>
    <x v="2"/>
    <s v="SG3"/>
    <m/>
    <x v="2"/>
    <x v="3"/>
    <x v="1"/>
    <x v="4"/>
    <x v="0"/>
    <x v="0"/>
    <x v="0"/>
    <m/>
    <x v="0"/>
    <x v="0"/>
    <n v="1.137267"/>
    <m/>
    <x v="1"/>
    <x v="2"/>
    <x v="0"/>
    <x v="1"/>
    <x v="1"/>
  </r>
  <r>
    <s v="Singapore"/>
    <x v="0"/>
    <s v="SG4"/>
    <m/>
    <x v="1"/>
    <x v="0"/>
    <x v="3"/>
    <x v="0"/>
    <x v="0"/>
    <x v="0"/>
    <x v="0"/>
    <m/>
    <x v="0"/>
    <x v="0"/>
    <n v="-0.140288895"/>
    <m/>
    <x v="4"/>
    <x v="0"/>
    <x v="0"/>
    <x v="1"/>
    <x v="2"/>
  </r>
  <r>
    <s v="Singapore"/>
    <x v="5"/>
    <s v="SG2"/>
    <m/>
    <x v="4"/>
    <x v="4"/>
    <x v="3"/>
    <x v="3"/>
    <x v="0"/>
    <x v="0"/>
    <x v="0"/>
    <m/>
    <x v="0"/>
    <x v="0"/>
    <n v="1.0801232280000002"/>
    <m/>
    <x v="1"/>
    <x v="2"/>
    <x v="0"/>
    <x v="2"/>
    <x v="0"/>
  </r>
  <r>
    <s v="Singapore"/>
    <x v="3"/>
    <s v="SG4"/>
    <m/>
    <x v="1"/>
    <x v="1"/>
    <x v="1"/>
    <x v="0"/>
    <x v="0"/>
    <x v="0"/>
    <x v="0"/>
    <m/>
    <x v="0"/>
    <x v="0"/>
    <n v="0.70635186000000005"/>
    <m/>
    <x v="1"/>
    <x v="0"/>
    <x v="0"/>
    <x v="4"/>
    <x v="0"/>
  </r>
  <r>
    <s v="Singapore"/>
    <x v="4"/>
    <s v="SG3"/>
    <m/>
    <x v="3"/>
    <x v="0"/>
    <x v="4"/>
    <x v="1"/>
    <x v="0"/>
    <x v="0"/>
    <x v="0"/>
    <m/>
    <x v="0"/>
    <x v="0"/>
    <n v="0.1838322"/>
    <m/>
    <x v="4"/>
    <x v="1"/>
    <x v="0"/>
    <x v="0"/>
    <x v="1"/>
  </r>
  <r>
    <s v="Singapore"/>
    <x v="5"/>
    <s v="SG2"/>
    <m/>
    <x v="2"/>
    <x v="0"/>
    <x v="3"/>
    <x v="5"/>
    <x v="0"/>
    <x v="0"/>
    <x v="0"/>
    <m/>
    <x v="0"/>
    <x v="0"/>
    <n v="-3.1158000000000002E-2"/>
    <m/>
    <x v="0"/>
    <x v="0"/>
    <x v="0"/>
    <x v="5"/>
    <x v="2"/>
  </r>
  <r>
    <s v="Singapore"/>
    <x v="1"/>
    <s v="SG1"/>
    <m/>
    <x v="0"/>
    <x v="4"/>
    <x v="2"/>
    <x v="4"/>
    <x v="0"/>
    <x v="0"/>
    <x v="0"/>
    <m/>
    <x v="0"/>
    <x v="0"/>
    <n v="1.0022282280000001"/>
    <m/>
    <x v="1"/>
    <x v="3"/>
    <x v="0"/>
    <x v="0"/>
    <x v="0"/>
  </r>
  <r>
    <s v="Singapore"/>
    <x v="2"/>
    <s v="SG2"/>
    <m/>
    <x v="0"/>
    <x v="2"/>
    <x v="2"/>
    <x v="5"/>
    <x v="0"/>
    <x v="0"/>
    <x v="0"/>
    <m/>
    <x v="0"/>
    <x v="0"/>
    <n v="0.17136900000000002"/>
    <m/>
    <x v="8"/>
    <x v="0"/>
    <x v="0"/>
    <x v="1"/>
    <x v="2"/>
  </r>
  <r>
    <s v="Singapore"/>
    <x v="2"/>
    <s v="SG1"/>
    <m/>
    <x v="3"/>
    <x v="0"/>
    <x v="1"/>
    <x v="3"/>
    <x v="0"/>
    <x v="0"/>
    <x v="0"/>
    <m/>
    <x v="0"/>
    <x v="0"/>
    <n v="-0.35911152899999998"/>
    <m/>
    <x v="0"/>
    <x v="3"/>
    <x v="0"/>
    <x v="4"/>
    <x v="0"/>
  </r>
  <r>
    <s v="Singapore"/>
    <x v="3"/>
    <s v="SG1"/>
    <m/>
    <x v="0"/>
    <x v="0"/>
    <x v="0"/>
    <x v="5"/>
    <x v="0"/>
    <x v="0"/>
    <x v="0"/>
    <m/>
    <x v="0"/>
    <x v="0"/>
    <n v="-2.775180744"/>
    <m/>
    <x v="4"/>
    <x v="1"/>
    <x v="0"/>
    <x v="1"/>
    <x v="0"/>
  </r>
  <r>
    <s v="Singapore"/>
    <x v="1"/>
    <s v="SG1"/>
    <m/>
    <x v="2"/>
    <x v="1"/>
    <x v="4"/>
    <x v="4"/>
    <x v="0"/>
    <x v="0"/>
    <x v="0"/>
    <m/>
    <x v="0"/>
    <x v="0"/>
    <n v="-0.10126350000000001"/>
    <m/>
    <x v="0"/>
    <x v="0"/>
    <x v="0"/>
    <x v="0"/>
    <x v="2"/>
  </r>
  <r>
    <s v="Singapore"/>
    <x v="2"/>
    <s v="SG1"/>
    <m/>
    <x v="2"/>
    <x v="2"/>
    <x v="1"/>
    <x v="1"/>
    <x v="0"/>
    <x v="0"/>
    <x v="0"/>
    <m/>
    <x v="0"/>
    <x v="0"/>
    <n v="184.61115000000001"/>
    <m/>
    <x v="5"/>
    <x v="0"/>
    <x v="0"/>
    <x v="1"/>
    <x v="1"/>
  </r>
  <r>
    <s v="Singapore"/>
    <x v="2"/>
    <s v="SG4"/>
    <m/>
    <x v="0"/>
    <x v="2"/>
    <x v="0"/>
    <x v="0"/>
    <x v="0"/>
    <x v="0"/>
    <x v="0"/>
    <m/>
    <x v="0"/>
    <x v="0"/>
    <n v="-0.264843"/>
    <m/>
    <x v="0"/>
    <x v="3"/>
    <x v="0"/>
    <x v="4"/>
    <x v="0"/>
  </r>
  <r>
    <s v="Singapore"/>
    <x v="4"/>
    <s v="SG1"/>
    <m/>
    <x v="0"/>
    <x v="4"/>
    <x v="2"/>
    <x v="5"/>
    <x v="0"/>
    <x v="0"/>
    <x v="0"/>
    <m/>
    <x v="0"/>
    <x v="0"/>
    <n v="-0.18137071800000001"/>
    <m/>
    <x v="0"/>
    <x v="2"/>
    <x v="0"/>
    <x v="0"/>
    <x v="2"/>
  </r>
  <r>
    <s v="Singapore"/>
    <x v="2"/>
    <s v="SG1"/>
    <m/>
    <x v="2"/>
    <x v="4"/>
    <x v="1"/>
    <x v="0"/>
    <x v="0"/>
    <x v="0"/>
    <x v="0"/>
    <m/>
    <x v="0"/>
    <x v="0"/>
    <n v="-0.22433760000000003"/>
    <m/>
    <x v="3"/>
    <x v="0"/>
    <x v="0"/>
    <x v="0"/>
    <x v="2"/>
  </r>
  <r>
    <s v="Singapore"/>
    <x v="3"/>
    <s v="SG3"/>
    <m/>
    <x v="2"/>
    <x v="2"/>
    <x v="0"/>
    <x v="1"/>
    <x v="0"/>
    <x v="0"/>
    <x v="0"/>
    <m/>
    <x v="0"/>
    <x v="0"/>
    <n v="-4.6737000000000001E-2"/>
    <m/>
    <x v="0"/>
    <x v="2"/>
    <x v="0"/>
    <x v="3"/>
    <x v="0"/>
  </r>
  <r>
    <s v="Singapore"/>
    <x v="5"/>
    <s v="SG1"/>
    <m/>
    <x v="2"/>
    <x v="3"/>
    <x v="2"/>
    <x v="0"/>
    <x v="0"/>
    <x v="0"/>
    <x v="0"/>
    <m/>
    <x v="0"/>
    <x v="0"/>
    <n v="-0.12463200000000001"/>
    <m/>
    <x v="0"/>
    <x v="0"/>
    <x v="0"/>
    <x v="2"/>
    <x v="2"/>
  </r>
  <r>
    <s v="Singapore"/>
    <x v="3"/>
    <s v="SG2"/>
    <m/>
    <x v="3"/>
    <x v="2"/>
    <x v="0"/>
    <x v="2"/>
    <x v="0"/>
    <x v="0"/>
    <x v="0"/>
    <m/>
    <x v="0"/>
    <x v="0"/>
    <n v="0.280422"/>
    <m/>
    <x v="0"/>
    <x v="2"/>
    <x v="0"/>
    <x v="4"/>
    <x v="2"/>
  </r>
  <r>
    <s v="Singapore"/>
    <x v="1"/>
    <s v="SG2"/>
    <m/>
    <x v="0"/>
    <x v="0"/>
    <x v="4"/>
    <x v="5"/>
    <x v="0"/>
    <x v="0"/>
    <x v="0"/>
    <m/>
    <x v="0"/>
    <x v="0"/>
    <n v="-0.1838322"/>
    <m/>
    <x v="4"/>
    <x v="0"/>
    <x v="0"/>
    <x v="4"/>
    <x v="0"/>
  </r>
  <r>
    <s v="Singapore"/>
    <x v="0"/>
    <s v="SG2"/>
    <m/>
    <x v="4"/>
    <x v="4"/>
    <x v="4"/>
    <x v="5"/>
    <x v="0"/>
    <x v="0"/>
    <x v="0"/>
    <m/>
    <x v="0"/>
    <x v="0"/>
    <n v="-38.428096140000001"/>
    <m/>
    <x v="2"/>
    <x v="0"/>
    <x v="0"/>
    <x v="5"/>
    <x v="1"/>
  </r>
  <r>
    <s v="Singapore"/>
    <x v="0"/>
    <s v="SG3"/>
    <m/>
    <x v="3"/>
    <x v="2"/>
    <x v="0"/>
    <x v="1"/>
    <x v="0"/>
    <x v="0"/>
    <x v="0"/>
    <m/>
    <x v="0"/>
    <x v="0"/>
    <n v="67.181648859000006"/>
    <m/>
    <x v="0"/>
    <x v="2"/>
    <x v="0"/>
    <x v="1"/>
    <x v="2"/>
  </r>
  <r>
    <s v="Singapore"/>
    <x v="3"/>
    <s v="SG2"/>
    <m/>
    <x v="4"/>
    <x v="4"/>
    <x v="2"/>
    <x v="1"/>
    <x v="0"/>
    <x v="0"/>
    <x v="0"/>
    <m/>
    <x v="0"/>
    <x v="0"/>
    <n v="0.178410708"/>
    <m/>
    <x v="1"/>
    <x v="3"/>
    <x v="0"/>
    <x v="3"/>
    <x v="0"/>
  </r>
  <r>
    <s v="Singapore"/>
    <x v="3"/>
    <s v="SG3"/>
    <m/>
    <x v="3"/>
    <x v="2"/>
    <x v="0"/>
    <x v="0"/>
    <x v="0"/>
    <x v="0"/>
    <x v="0"/>
    <m/>
    <x v="0"/>
    <x v="0"/>
    <n v="6.2316000000000003E-3"/>
    <m/>
    <x v="6"/>
    <x v="2"/>
    <x v="0"/>
    <x v="1"/>
    <x v="0"/>
  </r>
  <r>
    <s v="Singapore"/>
    <x v="4"/>
    <s v="SG2"/>
    <m/>
    <x v="2"/>
    <x v="3"/>
    <x v="4"/>
    <x v="5"/>
    <x v="0"/>
    <x v="0"/>
    <x v="0"/>
    <m/>
    <x v="0"/>
    <x v="0"/>
    <n v="-0.15579000000000001"/>
    <m/>
    <x v="0"/>
    <x v="0"/>
    <x v="0"/>
    <x v="3"/>
    <x v="1"/>
  </r>
  <r>
    <s v="Singapore"/>
    <x v="2"/>
    <s v="SG4"/>
    <m/>
    <x v="2"/>
    <x v="0"/>
    <x v="1"/>
    <x v="4"/>
    <x v="0"/>
    <x v="0"/>
    <x v="0"/>
    <m/>
    <x v="0"/>
    <x v="0"/>
    <n v="-9.3474000000000002E-2"/>
    <m/>
    <x v="0"/>
    <x v="0"/>
    <x v="0"/>
    <x v="4"/>
    <x v="1"/>
  </r>
  <r>
    <s v="Singapore"/>
    <x v="3"/>
    <s v="SG1"/>
    <m/>
    <x v="0"/>
    <x v="3"/>
    <x v="2"/>
    <x v="3"/>
    <x v="0"/>
    <x v="0"/>
    <x v="0"/>
    <m/>
    <x v="0"/>
    <x v="0"/>
    <n v="20.147541750000002"/>
    <m/>
    <x v="7"/>
    <x v="2"/>
    <x v="0"/>
    <x v="0"/>
    <x v="2"/>
  </r>
  <r>
    <s v="Singapore"/>
    <x v="5"/>
    <s v="SG2"/>
    <m/>
    <x v="1"/>
    <x v="2"/>
    <x v="4"/>
    <x v="2"/>
    <x v="0"/>
    <x v="0"/>
    <x v="0"/>
    <m/>
    <x v="0"/>
    <x v="0"/>
    <n v="-3.9897819000000001"/>
    <m/>
    <x v="3"/>
    <x v="2"/>
    <x v="0"/>
    <x v="1"/>
    <x v="1"/>
  </r>
  <r>
    <s v="Singapore"/>
    <x v="0"/>
    <s v="SG2"/>
    <m/>
    <x v="1"/>
    <x v="4"/>
    <x v="4"/>
    <x v="4"/>
    <x v="0"/>
    <x v="0"/>
    <x v="0"/>
    <m/>
    <x v="0"/>
    <x v="0"/>
    <n v="-2.2305389040000003"/>
    <m/>
    <x v="1"/>
    <x v="0"/>
    <x v="0"/>
    <x v="0"/>
    <x v="2"/>
  </r>
  <r>
    <s v="Singapore"/>
    <x v="2"/>
    <s v="SG2"/>
    <m/>
    <x v="2"/>
    <x v="1"/>
    <x v="3"/>
    <x v="2"/>
    <x v="0"/>
    <x v="0"/>
    <x v="0"/>
    <m/>
    <x v="0"/>
    <x v="0"/>
    <n v="2.2901130000000003"/>
    <m/>
    <x v="1"/>
    <x v="2"/>
    <x v="0"/>
    <x v="2"/>
    <x v="2"/>
  </r>
  <r>
    <s v="Singapore"/>
    <x v="1"/>
    <s v="SG3"/>
    <m/>
    <x v="2"/>
    <x v="3"/>
    <x v="3"/>
    <x v="5"/>
    <x v="0"/>
    <x v="0"/>
    <x v="0"/>
    <m/>
    <x v="0"/>
    <x v="0"/>
    <n v="-7.0105500000000001E-2"/>
    <m/>
    <x v="3"/>
    <x v="0"/>
    <x v="0"/>
    <x v="1"/>
    <x v="2"/>
  </r>
  <r>
    <s v="Singapore"/>
    <x v="1"/>
    <s v="SG2"/>
    <m/>
    <x v="4"/>
    <x v="2"/>
    <x v="1"/>
    <x v="3"/>
    <x v="0"/>
    <x v="0"/>
    <x v="0"/>
    <m/>
    <x v="0"/>
    <x v="0"/>
    <n v="1.1450565000000001"/>
    <m/>
    <x v="1"/>
    <x v="0"/>
    <x v="0"/>
    <x v="1"/>
    <x v="1"/>
  </r>
  <r>
    <s v="Singapore"/>
    <x v="0"/>
    <s v="SG4"/>
    <m/>
    <x v="2"/>
    <x v="2"/>
    <x v="0"/>
    <x v="2"/>
    <x v="0"/>
    <x v="0"/>
    <x v="0"/>
    <m/>
    <x v="0"/>
    <x v="0"/>
    <n v="-4.8606480000000003"/>
    <m/>
    <x v="0"/>
    <x v="0"/>
    <x v="0"/>
    <x v="3"/>
    <x v="0"/>
  </r>
  <r>
    <s v="Singapore"/>
    <x v="4"/>
    <s v="SG1"/>
    <m/>
    <x v="3"/>
    <x v="2"/>
    <x v="2"/>
    <x v="0"/>
    <x v="0"/>
    <x v="0"/>
    <x v="0"/>
    <m/>
    <x v="0"/>
    <x v="0"/>
    <n v="-0.15579000000000001"/>
    <m/>
    <x v="4"/>
    <x v="1"/>
    <x v="0"/>
    <x v="0"/>
    <x v="1"/>
  </r>
  <r>
    <s v="Singapore"/>
    <x v="1"/>
    <s v="SG4"/>
    <m/>
    <x v="3"/>
    <x v="1"/>
    <x v="4"/>
    <x v="5"/>
    <x v="0"/>
    <x v="0"/>
    <x v="0"/>
    <m/>
    <x v="0"/>
    <x v="0"/>
    <n v="0.17839512900000001"/>
    <m/>
    <x v="1"/>
    <x v="1"/>
    <x v="0"/>
    <x v="1"/>
    <x v="2"/>
  </r>
  <r>
    <s v="Singapore"/>
    <x v="0"/>
    <s v="SG1"/>
    <m/>
    <x v="2"/>
    <x v="4"/>
    <x v="3"/>
    <x v="5"/>
    <x v="0"/>
    <x v="0"/>
    <x v="0"/>
    <m/>
    <x v="0"/>
    <x v="0"/>
    <n v="-0.12463200000000001"/>
    <m/>
    <x v="0"/>
    <x v="0"/>
    <x v="0"/>
    <x v="3"/>
    <x v="1"/>
  </r>
  <r>
    <s v="Singapore"/>
    <x v="3"/>
    <s v="SG4"/>
    <m/>
    <x v="5"/>
    <x v="2"/>
    <x v="1"/>
    <x v="3"/>
    <x v="0"/>
    <x v="0"/>
    <x v="0"/>
    <m/>
    <x v="0"/>
    <x v="0"/>
    <n v="0.46737000000000001"/>
    <m/>
    <x v="8"/>
    <x v="3"/>
    <x v="0"/>
    <x v="1"/>
    <x v="0"/>
  </r>
  <r>
    <s v="Singapore"/>
    <x v="0"/>
    <s v="SG2"/>
    <m/>
    <x v="0"/>
    <x v="2"/>
    <x v="2"/>
    <x v="0"/>
    <x v="0"/>
    <x v="0"/>
    <x v="0"/>
    <m/>
    <x v="0"/>
    <x v="0"/>
    <n v="-0.42063300000000003"/>
    <m/>
    <x v="4"/>
    <x v="2"/>
    <x v="0"/>
    <x v="4"/>
    <x v="0"/>
  </r>
  <r>
    <s v="Singapore"/>
    <x v="1"/>
    <s v="SG4"/>
    <m/>
    <x v="4"/>
    <x v="0"/>
    <x v="4"/>
    <x v="4"/>
    <x v="0"/>
    <x v="0"/>
    <x v="0"/>
    <m/>
    <x v="0"/>
    <x v="0"/>
    <n v="2.8042199999999999"/>
    <m/>
    <x v="1"/>
    <x v="0"/>
    <x v="0"/>
    <x v="2"/>
    <x v="2"/>
  </r>
  <r>
    <s v="Singapore"/>
    <x v="3"/>
    <s v="SG1"/>
    <m/>
    <x v="0"/>
    <x v="3"/>
    <x v="3"/>
    <x v="0"/>
    <x v="0"/>
    <x v="0"/>
    <x v="0"/>
    <m/>
    <x v="0"/>
    <x v="0"/>
    <n v="-0.93474000000000002"/>
    <m/>
    <x v="4"/>
    <x v="3"/>
    <x v="0"/>
    <x v="4"/>
    <x v="2"/>
  </r>
  <r>
    <s v="Singapore"/>
    <x v="0"/>
    <s v="SG3"/>
    <m/>
    <x v="1"/>
    <x v="2"/>
    <x v="4"/>
    <x v="3"/>
    <x v="0"/>
    <x v="0"/>
    <x v="0"/>
    <m/>
    <x v="0"/>
    <x v="0"/>
    <n v="-0.42063300000000003"/>
    <m/>
    <x v="4"/>
    <x v="3"/>
    <x v="0"/>
    <x v="4"/>
    <x v="0"/>
  </r>
  <r>
    <s v="Singapore"/>
    <x v="5"/>
    <s v="SG4"/>
    <m/>
    <x v="5"/>
    <x v="3"/>
    <x v="3"/>
    <x v="5"/>
    <x v="0"/>
    <x v="0"/>
    <x v="0"/>
    <m/>
    <x v="0"/>
    <x v="0"/>
    <n v="-0.1838322"/>
    <m/>
    <x v="4"/>
    <x v="0"/>
    <x v="0"/>
    <x v="0"/>
    <x v="2"/>
  </r>
  <r>
    <s v="Singapore"/>
    <x v="4"/>
    <s v="SG1"/>
    <m/>
    <x v="2"/>
    <x v="2"/>
    <x v="1"/>
    <x v="2"/>
    <x v="0"/>
    <x v="0"/>
    <x v="0"/>
    <m/>
    <x v="0"/>
    <x v="0"/>
    <n v="-18.000615338999999"/>
    <m/>
    <x v="3"/>
    <x v="1"/>
    <x v="0"/>
    <x v="3"/>
    <x v="0"/>
  </r>
  <r>
    <s v="Singapore"/>
    <x v="5"/>
    <s v="SG4"/>
    <m/>
    <x v="1"/>
    <x v="4"/>
    <x v="0"/>
    <x v="0"/>
    <x v="0"/>
    <x v="0"/>
    <x v="0"/>
    <m/>
    <x v="0"/>
    <x v="0"/>
    <n v="-1.168425"/>
    <m/>
    <x v="4"/>
    <x v="3"/>
    <x v="0"/>
    <x v="0"/>
    <x v="0"/>
  </r>
  <r>
    <s v="Singapore"/>
    <x v="1"/>
    <s v="SG2"/>
    <m/>
    <x v="4"/>
    <x v="1"/>
    <x v="4"/>
    <x v="3"/>
    <x v="0"/>
    <x v="0"/>
    <x v="0"/>
    <m/>
    <x v="0"/>
    <x v="0"/>
    <n v="1.40211"/>
    <m/>
    <x v="7"/>
    <x v="3"/>
    <x v="0"/>
    <x v="1"/>
    <x v="2"/>
  </r>
  <r>
    <s v="Singapore"/>
    <x v="3"/>
    <s v="SG4"/>
    <m/>
    <x v="1"/>
    <x v="3"/>
    <x v="3"/>
    <x v="5"/>
    <x v="0"/>
    <x v="0"/>
    <x v="0"/>
    <m/>
    <x v="0"/>
    <x v="0"/>
    <n v="159.68475000000001"/>
    <m/>
    <x v="5"/>
    <x v="2"/>
    <x v="0"/>
    <x v="4"/>
    <x v="2"/>
  </r>
  <r>
    <s v="Singapore"/>
    <x v="5"/>
    <s v="SG3"/>
    <m/>
    <x v="4"/>
    <x v="1"/>
    <x v="3"/>
    <x v="2"/>
    <x v="0"/>
    <x v="0"/>
    <x v="0"/>
    <m/>
    <x v="0"/>
    <x v="0"/>
    <n v="0.17984397600000002"/>
    <m/>
    <x v="1"/>
    <x v="1"/>
    <x v="0"/>
    <x v="4"/>
    <x v="0"/>
  </r>
  <r>
    <s v="Singapore"/>
    <x v="5"/>
    <s v="SG2"/>
    <m/>
    <x v="3"/>
    <x v="1"/>
    <x v="3"/>
    <x v="3"/>
    <x v="0"/>
    <x v="0"/>
    <x v="0"/>
    <m/>
    <x v="0"/>
    <x v="0"/>
    <n v="-1.2463200000000001"/>
    <m/>
    <x v="4"/>
    <x v="0"/>
    <x v="0"/>
    <x v="3"/>
    <x v="0"/>
  </r>
  <r>
    <s v="Singapore"/>
    <x v="3"/>
    <s v="SG4"/>
    <m/>
    <x v="0"/>
    <x v="1"/>
    <x v="0"/>
    <x v="1"/>
    <x v="0"/>
    <x v="0"/>
    <x v="0"/>
    <m/>
    <x v="0"/>
    <x v="0"/>
    <n v="9.3474000000000004"/>
    <m/>
    <x v="1"/>
    <x v="2"/>
    <x v="0"/>
    <x v="5"/>
    <x v="2"/>
  </r>
  <r>
    <s v="Singapore"/>
    <x v="2"/>
    <s v="SG1"/>
    <m/>
    <x v="0"/>
    <x v="3"/>
    <x v="2"/>
    <x v="0"/>
    <x v="0"/>
    <x v="0"/>
    <x v="0"/>
    <m/>
    <x v="0"/>
    <x v="0"/>
    <n v="-0.186948"/>
    <m/>
    <x v="0"/>
    <x v="1"/>
    <x v="0"/>
    <x v="3"/>
    <x v="2"/>
  </r>
  <r>
    <s v="Singapore"/>
    <x v="4"/>
    <s v="SG4"/>
    <m/>
    <x v="2"/>
    <x v="2"/>
    <x v="4"/>
    <x v="2"/>
    <x v="0"/>
    <x v="0"/>
    <x v="0"/>
    <m/>
    <x v="0"/>
    <x v="0"/>
    <n v="-0.32715900000000003"/>
    <m/>
    <x v="0"/>
    <x v="2"/>
    <x v="0"/>
    <x v="2"/>
    <x v="1"/>
  </r>
  <r>
    <s v="Singapore"/>
    <x v="3"/>
    <s v="SG3"/>
    <m/>
    <x v="0"/>
    <x v="3"/>
    <x v="3"/>
    <x v="5"/>
    <x v="0"/>
    <x v="0"/>
    <x v="0"/>
    <m/>
    <x v="0"/>
    <x v="0"/>
    <n v="-0.12463200000000001"/>
    <m/>
    <x v="4"/>
    <x v="1"/>
    <x v="0"/>
    <x v="1"/>
    <x v="1"/>
  </r>
  <r>
    <s v="Singapore"/>
    <x v="0"/>
    <s v="SG3"/>
    <m/>
    <x v="0"/>
    <x v="4"/>
    <x v="3"/>
    <x v="2"/>
    <x v="0"/>
    <x v="0"/>
    <x v="0"/>
    <m/>
    <x v="0"/>
    <x v="0"/>
    <n v="-0.498559158"/>
    <m/>
    <x v="0"/>
    <x v="1"/>
    <x v="0"/>
    <x v="5"/>
    <x v="0"/>
  </r>
  <r>
    <s v="Singapore"/>
    <x v="2"/>
    <s v="SG1"/>
    <m/>
    <x v="3"/>
    <x v="0"/>
    <x v="4"/>
    <x v="5"/>
    <x v="0"/>
    <x v="0"/>
    <x v="0"/>
    <m/>
    <x v="0"/>
    <x v="0"/>
    <n v="-0.15579000000000001"/>
    <m/>
    <x v="0"/>
    <x v="3"/>
    <x v="0"/>
    <x v="5"/>
    <x v="0"/>
  </r>
  <r>
    <s v="Singapore"/>
    <x v="0"/>
    <s v="SG3"/>
    <m/>
    <x v="2"/>
    <x v="3"/>
    <x v="3"/>
    <x v="2"/>
    <x v="0"/>
    <x v="0"/>
    <x v="0"/>
    <m/>
    <x v="0"/>
    <x v="0"/>
    <n v="-0.15579000000000001"/>
    <m/>
    <x v="4"/>
    <x v="0"/>
    <x v="0"/>
    <x v="5"/>
    <x v="1"/>
  </r>
  <r>
    <s v="Singapore"/>
    <x v="3"/>
    <s v="SG4"/>
    <m/>
    <x v="2"/>
    <x v="0"/>
    <x v="3"/>
    <x v="2"/>
    <x v="0"/>
    <x v="0"/>
    <x v="0"/>
    <m/>
    <x v="0"/>
    <x v="0"/>
    <n v="19.467861138"/>
    <m/>
    <x v="7"/>
    <x v="2"/>
    <x v="0"/>
    <x v="3"/>
    <x v="2"/>
  </r>
  <r>
    <s v="Singapore"/>
    <x v="5"/>
    <s v="SG4"/>
    <m/>
    <x v="2"/>
    <x v="1"/>
    <x v="4"/>
    <x v="5"/>
    <x v="0"/>
    <x v="0"/>
    <x v="0"/>
    <m/>
    <x v="0"/>
    <x v="0"/>
    <n v="0.89914198499999998"/>
    <m/>
    <x v="8"/>
    <x v="3"/>
    <x v="0"/>
    <x v="1"/>
    <x v="0"/>
  </r>
  <r>
    <s v="Singapore"/>
    <x v="0"/>
    <s v="SG3"/>
    <m/>
    <x v="4"/>
    <x v="1"/>
    <x v="3"/>
    <x v="1"/>
    <x v="0"/>
    <x v="0"/>
    <x v="0"/>
    <m/>
    <x v="0"/>
    <x v="0"/>
    <n v="-0.82880280000000006"/>
    <m/>
    <x v="3"/>
    <x v="0"/>
    <x v="0"/>
    <x v="3"/>
    <x v="1"/>
  </r>
  <r>
    <s v="Singapore"/>
    <x v="1"/>
    <s v="SG3"/>
    <m/>
    <x v="5"/>
    <x v="1"/>
    <x v="4"/>
    <x v="3"/>
    <x v="0"/>
    <x v="0"/>
    <x v="0"/>
    <m/>
    <x v="0"/>
    <x v="0"/>
    <n v="-7.7895000000000006E-2"/>
    <m/>
    <x v="0"/>
    <x v="2"/>
    <x v="0"/>
    <x v="0"/>
    <x v="1"/>
  </r>
  <r>
    <s v="Singapore"/>
    <x v="5"/>
    <s v="SG2"/>
    <m/>
    <x v="1"/>
    <x v="0"/>
    <x v="1"/>
    <x v="4"/>
    <x v="0"/>
    <x v="0"/>
    <x v="0"/>
    <m/>
    <x v="0"/>
    <x v="0"/>
    <n v="-0.15579000000000001"/>
    <m/>
    <x v="0"/>
    <x v="0"/>
    <x v="0"/>
    <x v="4"/>
    <x v="1"/>
  </r>
  <r>
    <s v="Singapore"/>
    <x v="3"/>
    <s v="SG1"/>
    <m/>
    <x v="4"/>
    <x v="2"/>
    <x v="1"/>
    <x v="4"/>
    <x v="0"/>
    <x v="0"/>
    <x v="0"/>
    <m/>
    <x v="0"/>
    <x v="0"/>
    <n v="-0.12463200000000001"/>
    <m/>
    <x v="0"/>
    <x v="3"/>
    <x v="0"/>
    <x v="3"/>
    <x v="2"/>
  </r>
  <r>
    <s v="Singapore"/>
    <x v="4"/>
    <s v="SG4"/>
    <m/>
    <x v="1"/>
    <x v="2"/>
    <x v="0"/>
    <x v="4"/>
    <x v="0"/>
    <x v="0"/>
    <x v="0"/>
    <m/>
    <x v="0"/>
    <x v="0"/>
    <n v="-0.15579000000000001"/>
    <m/>
    <x v="0"/>
    <x v="3"/>
    <x v="0"/>
    <x v="3"/>
    <x v="1"/>
  </r>
  <r>
    <s v="Singapore"/>
    <x v="0"/>
    <s v="SG3"/>
    <m/>
    <x v="5"/>
    <x v="3"/>
    <x v="4"/>
    <x v="0"/>
    <x v="0"/>
    <x v="0"/>
    <x v="0"/>
    <m/>
    <x v="0"/>
    <x v="0"/>
    <n v="-2.775180744"/>
    <m/>
    <x v="4"/>
    <x v="1"/>
    <x v="0"/>
    <x v="1"/>
    <x v="1"/>
  </r>
  <r>
    <s v="Singapore"/>
    <x v="5"/>
    <s v="SG1"/>
    <m/>
    <x v="0"/>
    <x v="3"/>
    <x v="1"/>
    <x v="2"/>
    <x v="0"/>
    <x v="0"/>
    <x v="0"/>
    <m/>
    <x v="0"/>
    <x v="0"/>
    <n v="-2.3695659"/>
    <m/>
    <x v="3"/>
    <x v="3"/>
    <x v="0"/>
    <x v="4"/>
    <x v="1"/>
  </r>
  <r>
    <s v="Singapore"/>
    <x v="2"/>
    <s v="SG4"/>
    <m/>
    <x v="5"/>
    <x v="3"/>
    <x v="3"/>
    <x v="1"/>
    <x v="0"/>
    <x v="0"/>
    <x v="0"/>
    <m/>
    <x v="0"/>
    <x v="0"/>
    <n v="0.82568700000000006"/>
    <m/>
    <x v="1"/>
    <x v="0"/>
    <x v="0"/>
    <x v="0"/>
    <x v="2"/>
  </r>
  <r>
    <s v="Singapore"/>
    <x v="1"/>
    <s v="SG4"/>
    <m/>
    <x v="0"/>
    <x v="0"/>
    <x v="2"/>
    <x v="3"/>
    <x v="0"/>
    <x v="0"/>
    <x v="0"/>
    <m/>
    <x v="0"/>
    <x v="0"/>
    <n v="-2.3368500000000001"/>
    <m/>
    <x v="4"/>
    <x v="1"/>
    <x v="0"/>
    <x v="1"/>
    <x v="0"/>
  </r>
  <r>
    <s v="Singapore"/>
    <x v="0"/>
    <s v="SG4"/>
    <m/>
    <x v="4"/>
    <x v="2"/>
    <x v="0"/>
    <x v="4"/>
    <x v="0"/>
    <x v="0"/>
    <x v="0"/>
    <m/>
    <x v="0"/>
    <x v="0"/>
    <n v="-0.57642300000000002"/>
    <m/>
    <x v="0"/>
    <x v="1"/>
    <x v="0"/>
    <x v="3"/>
    <x v="2"/>
  </r>
  <r>
    <s v="Singapore"/>
    <x v="0"/>
    <s v="SG3"/>
    <m/>
    <x v="2"/>
    <x v="0"/>
    <x v="3"/>
    <x v="1"/>
    <x v="0"/>
    <x v="0"/>
    <x v="0"/>
    <m/>
    <x v="0"/>
    <x v="0"/>
    <n v="-4.6737000000000001E-2"/>
    <m/>
    <x v="0"/>
    <x v="0"/>
    <x v="0"/>
    <x v="5"/>
    <x v="0"/>
  </r>
  <r>
    <s v="Singapore"/>
    <x v="1"/>
    <s v="SG1"/>
    <m/>
    <x v="1"/>
    <x v="3"/>
    <x v="3"/>
    <x v="0"/>
    <x v="0"/>
    <x v="0"/>
    <x v="0"/>
    <m/>
    <x v="0"/>
    <x v="0"/>
    <n v="0.86214186000000004"/>
    <m/>
    <x v="1"/>
    <x v="0"/>
    <x v="0"/>
    <x v="4"/>
    <x v="1"/>
  </r>
  <r>
    <s v="Singapore"/>
    <x v="3"/>
    <s v="SG1"/>
    <m/>
    <x v="3"/>
    <x v="0"/>
    <x v="1"/>
    <x v="3"/>
    <x v="0"/>
    <x v="0"/>
    <x v="0"/>
    <m/>
    <x v="0"/>
    <x v="0"/>
    <n v="1.137267"/>
    <m/>
    <x v="1"/>
    <x v="3"/>
    <x v="0"/>
    <x v="3"/>
    <x v="1"/>
  </r>
  <r>
    <s v="Singapore"/>
    <x v="4"/>
    <s v="SG3"/>
    <m/>
    <x v="5"/>
    <x v="0"/>
    <x v="2"/>
    <x v="1"/>
    <x v="0"/>
    <x v="0"/>
    <x v="0"/>
    <m/>
    <x v="0"/>
    <x v="0"/>
    <n v="1.2208483350000001"/>
    <m/>
    <x v="1"/>
    <x v="3"/>
    <x v="0"/>
    <x v="2"/>
    <x v="1"/>
  </r>
  <r>
    <s v="Singapore"/>
    <x v="4"/>
    <s v="SG3"/>
    <m/>
    <x v="3"/>
    <x v="1"/>
    <x v="0"/>
    <x v="2"/>
    <x v="0"/>
    <x v="0"/>
    <x v="0"/>
    <m/>
    <x v="0"/>
    <x v="0"/>
    <n v="0.12463200000000001"/>
    <m/>
    <x v="0"/>
    <x v="3"/>
    <x v="0"/>
    <x v="2"/>
    <x v="2"/>
  </r>
  <r>
    <s v="Singapore"/>
    <x v="1"/>
    <s v="SG3"/>
    <m/>
    <x v="1"/>
    <x v="0"/>
    <x v="4"/>
    <x v="4"/>
    <x v="0"/>
    <x v="0"/>
    <x v="0"/>
    <m/>
    <x v="0"/>
    <x v="0"/>
    <n v="-2.0252700000000002E-2"/>
    <m/>
    <x v="2"/>
    <x v="3"/>
    <x v="0"/>
    <x v="4"/>
    <x v="0"/>
  </r>
  <r>
    <s v="Singapore"/>
    <x v="4"/>
    <s v="SG2"/>
    <m/>
    <x v="1"/>
    <x v="2"/>
    <x v="3"/>
    <x v="1"/>
    <x v="0"/>
    <x v="0"/>
    <x v="0"/>
    <m/>
    <x v="0"/>
    <x v="0"/>
    <n v="-0.1822743"/>
    <m/>
    <x v="2"/>
    <x v="0"/>
    <x v="0"/>
    <x v="2"/>
    <x v="2"/>
  </r>
  <r>
    <s v="Singapore"/>
    <x v="2"/>
    <s v="SG2"/>
    <m/>
    <x v="4"/>
    <x v="1"/>
    <x v="3"/>
    <x v="2"/>
    <x v="0"/>
    <x v="0"/>
    <x v="0"/>
    <m/>
    <x v="0"/>
    <x v="0"/>
    <n v="0.15579000000000001"/>
    <m/>
    <x v="1"/>
    <x v="0"/>
    <x v="0"/>
    <x v="1"/>
    <x v="2"/>
  </r>
  <r>
    <s v="Singapore"/>
    <x v="4"/>
    <s v="SG2"/>
    <m/>
    <x v="0"/>
    <x v="1"/>
    <x v="3"/>
    <x v="3"/>
    <x v="0"/>
    <x v="0"/>
    <x v="0"/>
    <m/>
    <x v="0"/>
    <x v="0"/>
    <n v="-0.10905300000000001"/>
    <m/>
    <x v="4"/>
    <x v="1"/>
    <x v="0"/>
    <x v="0"/>
    <x v="1"/>
  </r>
  <r>
    <s v="Singapore"/>
    <x v="4"/>
    <s v="SG4"/>
    <m/>
    <x v="5"/>
    <x v="2"/>
    <x v="0"/>
    <x v="3"/>
    <x v="0"/>
    <x v="0"/>
    <x v="0"/>
    <m/>
    <x v="0"/>
    <x v="0"/>
    <n v="0.62865938700000001"/>
    <m/>
    <x v="3"/>
    <x v="0"/>
    <x v="0"/>
    <x v="4"/>
    <x v="1"/>
  </r>
  <r>
    <s v="Singapore"/>
    <x v="5"/>
    <s v="SG1"/>
    <m/>
    <x v="3"/>
    <x v="2"/>
    <x v="0"/>
    <x v="5"/>
    <x v="0"/>
    <x v="0"/>
    <x v="0"/>
    <m/>
    <x v="0"/>
    <x v="0"/>
    <n v="-0.21810600000000002"/>
    <m/>
    <x v="4"/>
    <x v="2"/>
    <x v="0"/>
    <x v="3"/>
    <x v="1"/>
  </r>
  <r>
    <s v="Singapore"/>
    <x v="2"/>
    <s v="SG1"/>
    <m/>
    <x v="0"/>
    <x v="0"/>
    <x v="3"/>
    <x v="4"/>
    <x v="0"/>
    <x v="0"/>
    <x v="0"/>
    <m/>
    <x v="0"/>
    <x v="0"/>
    <n v="-1.5579000000000001E-2"/>
    <m/>
    <x v="0"/>
    <x v="0"/>
    <x v="0"/>
    <x v="5"/>
    <x v="0"/>
  </r>
  <r>
    <s v="Singapore"/>
    <x v="5"/>
    <s v="SG4"/>
    <m/>
    <x v="3"/>
    <x v="0"/>
    <x v="2"/>
    <x v="5"/>
    <x v="0"/>
    <x v="0"/>
    <x v="0"/>
    <m/>
    <x v="0"/>
    <x v="0"/>
    <n v="-3.1158000000000002E-2"/>
    <m/>
    <x v="0"/>
    <x v="1"/>
    <x v="0"/>
    <x v="0"/>
    <x v="0"/>
  </r>
  <r>
    <s v="Singapore"/>
    <x v="2"/>
    <s v="SG2"/>
    <m/>
    <x v="3"/>
    <x v="1"/>
    <x v="2"/>
    <x v="5"/>
    <x v="0"/>
    <x v="0"/>
    <x v="0"/>
    <m/>
    <x v="0"/>
    <x v="0"/>
    <n v="-0.14800050000000001"/>
    <m/>
    <x v="4"/>
    <x v="2"/>
    <x v="0"/>
    <x v="5"/>
    <x v="0"/>
  </r>
  <r>
    <s v="Singapore"/>
    <x v="2"/>
    <s v="SG4"/>
    <m/>
    <x v="3"/>
    <x v="2"/>
    <x v="0"/>
    <x v="3"/>
    <x v="0"/>
    <x v="0"/>
    <x v="0"/>
    <m/>
    <x v="0"/>
    <x v="0"/>
    <n v="1.1450565000000001"/>
    <m/>
    <x v="1"/>
    <x v="2"/>
    <x v="0"/>
    <x v="4"/>
    <x v="0"/>
  </r>
  <r>
    <s v="Singapore"/>
    <x v="4"/>
    <s v="SG2"/>
    <m/>
    <x v="1"/>
    <x v="0"/>
    <x v="0"/>
    <x v="0"/>
    <x v="0"/>
    <x v="0"/>
    <x v="0"/>
    <m/>
    <x v="0"/>
    <x v="0"/>
    <n v="-0.24926400000000001"/>
    <m/>
    <x v="0"/>
    <x v="0"/>
    <x v="0"/>
    <x v="2"/>
    <x v="0"/>
  </r>
  <r>
    <s v="Singapore"/>
    <x v="5"/>
    <s v="SG3"/>
    <m/>
    <x v="0"/>
    <x v="4"/>
    <x v="0"/>
    <x v="0"/>
    <x v="0"/>
    <x v="0"/>
    <x v="0"/>
    <m/>
    <x v="0"/>
    <x v="0"/>
    <n v="35.153203392000002"/>
    <m/>
    <x v="7"/>
    <x v="0"/>
    <x v="0"/>
    <x v="1"/>
    <x v="2"/>
  </r>
  <r>
    <s v="Singapore"/>
    <x v="3"/>
    <s v="SG1"/>
    <m/>
    <x v="3"/>
    <x v="0"/>
    <x v="2"/>
    <x v="1"/>
    <x v="0"/>
    <x v="0"/>
    <x v="0"/>
    <m/>
    <x v="0"/>
    <x v="0"/>
    <n v="-4.6737000000000001E-2"/>
    <m/>
    <x v="0"/>
    <x v="2"/>
    <x v="0"/>
    <x v="0"/>
    <x v="0"/>
  </r>
  <r>
    <s v="Singapore"/>
    <x v="0"/>
    <s v="SG3"/>
    <m/>
    <x v="0"/>
    <x v="1"/>
    <x v="0"/>
    <x v="0"/>
    <x v="0"/>
    <x v="0"/>
    <x v="0"/>
    <m/>
    <x v="0"/>
    <x v="0"/>
    <n v="-5.8421250000000002"/>
    <m/>
    <x v="4"/>
    <x v="1"/>
    <x v="0"/>
    <x v="5"/>
    <x v="1"/>
  </r>
  <r>
    <s v="Singapore"/>
    <x v="0"/>
    <s v="SG2"/>
    <m/>
    <x v="0"/>
    <x v="4"/>
    <x v="0"/>
    <x v="2"/>
    <x v="0"/>
    <x v="0"/>
    <x v="0"/>
    <m/>
    <x v="0"/>
    <x v="0"/>
    <n v="0.85759279200000005"/>
    <m/>
    <x v="0"/>
    <x v="0"/>
    <x v="0"/>
    <x v="1"/>
    <x v="0"/>
  </r>
  <r>
    <s v="Singapore"/>
    <x v="2"/>
    <s v="SG2"/>
    <m/>
    <x v="2"/>
    <x v="4"/>
    <x v="3"/>
    <x v="4"/>
    <x v="0"/>
    <x v="0"/>
    <x v="0"/>
    <m/>
    <x v="0"/>
    <x v="0"/>
    <n v="10.954965852000001"/>
    <m/>
    <x v="7"/>
    <x v="1"/>
    <x v="0"/>
    <x v="1"/>
    <x v="0"/>
  </r>
  <r>
    <s v="Singapore"/>
    <x v="1"/>
    <s v="SG1"/>
    <m/>
    <x v="3"/>
    <x v="1"/>
    <x v="1"/>
    <x v="2"/>
    <x v="0"/>
    <x v="0"/>
    <x v="0"/>
    <m/>
    <x v="0"/>
    <x v="0"/>
    <n v="2.9132730000000002"/>
    <m/>
    <x v="1"/>
    <x v="2"/>
    <x v="0"/>
    <x v="5"/>
    <x v="0"/>
  </r>
  <r>
    <s v="Singapore"/>
    <x v="5"/>
    <s v="SG1"/>
    <m/>
    <x v="1"/>
    <x v="4"/>
    <x v="0"/>
    <x v="4"/>
    <x v="0"/>
    <x v="0"/>
    <x v="0"/>
    <m/>
    <x v="0"/>
    <x v="0"/>
    <n v="0.15579000000000001"/>
    <m/>
    <x v="1"/>
    <x v="2"/>
    <x v="0"/>
    <x v="5"/>
    <x v="1"/>
  </r>
  <r>
    <s v="Singapore"/>
    <x v="3"/>
    <s v="SG2"/>
    <m/>
    <x v="3"/>
    <x v="0"/>
    <x v="1"/>
    <x v="0"/>
    <x v="0"/>
    <x v="0"/>
    <x v="0"/>
    <m/>
    <x v="0"/>
    <x v="0"/>
    <n v="-0.31158000000000002"/>
    <m/>
    <x v="1"/>
    <x v="2"/>
    <x v="0"/>
    <x v="3"/>
    <x v="1"/>
  </r>
  <r>
    <s v="Singapore"/>
    <x v="4"/>
    <s v="SG3"/>
    <m/>
    <x v="4"/>
    <x v="2"/>
    <x v="3"/>
    <x v="2"/>
    <x v="0"/>
    <x v="0"/>
    <x v="0"/>
    <m/>
    <x v="0"/>
    <x v="0"/>
    <n v="-10.940960331000001"/>
    <m/>
    <x v="7"/>
    <x v="1"/>
    <x v="0"/>
    <x v="4"/>
    <x v="1"/>
  </r>
  <r>
    <s v="Singapore"/>
    <x v="2"/>
    <s v="SG1"/>
    <m/>
    <x v="0"/>
    <x v="4"/>
    <x v="4"/>
    <x v="0"/>
    <x v="0"/>
    <x v="0"/>
    <x v="0"/>
    <m/>
    <x v="0"/>
    <x v="0"/>
    <n v="0.1838322"/>
    <m/>
    <x v="4"/>
    <x v="1"/>
    <x v="0"/>
    <x v="0"/>
    <x v="1"/>
  </r>
  <r>
    <s v="Singapore"/>
    <x v="0"/>
    <s v="SG2"/>
    <m/>
    <x v="0"/>
    <x v="1"/>
    <x v="1"/>
    <x v="3"/>
    <x v="0"/>
    <x v="0"/>
    <x v="0"/>
    <m/>
    <x v="0"/>
    <x v="0"/>
    <n v="-0.186948"/>
    <m/>
    <x v="4"/>
    <x v="1"/>
    <x v="0"/>
    <x v="3"/>
    <x v="2"/>
  </r>
  <r>
    <s v="Singapore"/>
    <x v="3"/>
    <s v="SG3"/>
    <m/>
    <x v="1"/>
    <x v="1"/>
    <x v="1"/>
    <x v="3"/>
    <x v="0"/>
    <x v="0"/>
    <x v="0"/>
    <m/>
    <x v="0"/>
    <x v="0"/>
    <n v="1.3779781290000002"/>
    <m/>
    <x v="9"/>
    <x v="1"/>
    <x v="0"/>
    <x v="2"/>
    <x v="1"/>
  </r>
  <r>
    <s v="Singapore"/>
    <x v="2"/>
    <s v="SG2"/>
    <m/>
    <x v="0"/>
    <x v="4"/>
    <x v="4"/>
    <x v="1"/>
    <x v="0"/>
    <x v="0"/>
    <x v="0"/>
    <m/>
    <x v="0"/>
    <x v="0"/>
    <n v="-1.09053"/>
    <m/>
    <x v="0"/>
    <x v="1"/>
    <x v="0"/>
    <x v="0"/>
    <x v="0"/>
  </r>
  <r>
    <s v="Singapore"/>
    <x v="2"/>
    <s v="SG4"/>
    <m/>
    <x v="4"/>
    <x v="0"/>
    <x v="0"/>
    <x v="3"/>
    <x v="0"/>
    <x v="0"/>
    <x v="0"/>
    <m/>
    <x v="0"/>
    <x v="0"/>
    <n v="-190.68696"/>
    <m/>
    <x v="2"/>
    <x v="2"/>
    <x v="0"/>
    <x v="0"/>
    <x v="1"/>
  </r>
  <r>
    <s v="Singapore"/>
    <x v="1"/>
    <s v="SG1"/>
    <m/>
    <x v="5"/>
    <x v="0"/>
    <x v="2"/>
    <x v="0"/>
    <x v="0"/>
    <x v="0"/>
    <x v="0"/>
    <m/>
    <x v="0"/>
    <x v="0"/>
    <n v="-0.280422"/>
    <m/>
    <x v="0"/>
    <x v="0"/>
    <x v="0"/>
    <x v="4"/>
    <x v="2"/>
  </r>
  <r>
    <s v="Singapore"/>
    <x v="3"/>
    <s v="SG4"/>
    <m/>
    <x v="3"/>
    <x v="0"/>
    <x v="3"/>
    <x v="0"/>
    <x v="0"/>
    <x v="0"/>
    <x v="0"/>
    <m/>
    <x v="0"/>
    <x v="0"/>
    <n v="0.7290972"/>
    <m/>
    <x v="2"/>
    <x v="2"/>
    <x v="0"/>
    <x v="5"/>
    <x v="0"/>
  </r>
  <r>
    <s v="Singapore"/>
    <x v="3"/>
    <s v="SG1"/>
    <m/>
    <x v="1"/>
    <x v="1"/>
    <x v="3"/>
    <x v="0"/>
    <x v="0"/>
    <x v="0"/>
    <x v="0"/>
    <m/>
    <x v="0"/>
    <x v="0"/>
    <n v="-0.46737000000000001"/>
    <m/>
    <x v="4"/>
    <x v="0"/>
    <x v="0"/>
    <x v="3"/>
    <x v="2"/>
  </r>
  <r>
    <s v="Singapore"/>
    <x v="5"/>
    <s v="SG1"/>
    <m/>
    <x v="1"/>
    <x v="1"/>
    <x v="1"/>
    <x v="0"/>
    <x v="0"/>
    <x v="0"/>
    <x v="0"/>
    <m/>
    <x v="0"/>
    <x v="0"/>
    <n v="1.9027255860000001"/>
    <m/>
    <x v="1"/>
    <x v="3"/>
    <x v="0"/>
    <x v="2"/>
    <x v="1"/>
  </r>
  <r>
    <s v="Singapore"/>
    <x v="1"/>
    <s v="SG4"/>
    <m/>
    <x v="3"/>
    <x v="4"/>
    <x v="1"/>
    <x v="2"/>
    <x v="0"/>
    <x v="0"/>
    <x v="0"/>
    <m/>
    <x v="0"/>
    <x v="0"/>
    <n v="-1.1799534600000001"/>
    <m/>
    <x v="4"/>
    <x v="2"/>
    <x v="0"/>
    <x v="0"/>
    <x v="2"/>
  </r>
  <r>
    <s v="Singapore"/>
    <x v="1"/>
    <s v="SG1"/>
    <m/>
    <x v="2"/>
    <x v="3"/>
    <x v="0"/>
    <x v="4"/>
    <x v="0"/>
    <x v="0"/>
    <x v="0"/>
    <m/>
    <x v="0"/>
    <x v="0"/>
    <n v="0.12463200000000001"/>
    <m/>
    <x v="0"/>
    <x v="1"/>
    <x v="0"/>
    <x v="0"/>
    <x v="0"/>
  </r>
  <r>
    <s v="Singapore"/>
    <x v="5"/>
    <s v="SG1"/>
    <m/>
    <x v="3"/>
    <x v="1"/>
    <x v="2"/>
    <x v="3"/>
    <x v="0"/>
    <x v="0"/>
    <x v="0"/>
    <m/>
    <x v="0"/>
    <x v="0"/>
    <n v="1.6797122010000001"/>
    <m/>
    <x v="4"/>
    <x v="2"/>
    <x v="0"/>
    <x v="1"/>
    <x v="1"/>
  </r>
  <r>
    <s v="Singapore"/>
    <x v="2"/>
    <s v="SG1"/>
    <m/>
    <x v="2"/>
    <x v="1"/>
    <x v="4"/>
    <x v="4"/>
    <x v="0"/>
    <x v="0"/>
    <x v="0"/>
    <m/>
    <x v="0"/>
    <x v="0"/>
    <n v="-4.9906391760000002"/>
    <m/>
    <x v="7"/>
    <x v="3"/>
    <x v="0"/>
    <x v="4"/>
    <x v="2"/>
  </r>
  <r>
    <s v="Singapore"/>
    <x v="0"/>
    <s v="SG2"/>
    <m/>
    <x v="2"/>
    <x v="4"/>
    <x v="0"/>
    <x v="3"/>
    <x v="0"/>
    <x v="0"/>
    <x v="0"/>
    <m/>
    <x v="0"/>
    <x v="0"/>
    <n v="-4.6737000000000001E-2"/>
    <m/>
    <x v="0"/>
    <x v="0"/>
    <x v="0"/>
    <x v="4"/>
    <x v="1"/>
  </r>
  <r>
    <s v="Singapore"/>
    <x v="3"/>
    <s v="SG4"/>
    <m/>
    <x v="5"/>
    <x v="2"/>
    <x v="1"/>
    <x v="4"/>
    <x v="0"/>
    <x v="0"/>
    <x v="0"/>
    <m/>
    <x v="0"/>
    <x v="0"/>
    <n v="-0.12463200000000001"/>
    <m/>
    <x v="4"/>
    <x v="0"/>
    <x v="0"/>
    <x v="4"/>
    <x v="2"/>
  </r>
  <r>
    <s v="Singapore"/>
    <x v="0"/>
    <s v="SG1"/>
    <m/>
    <x v="2"/>
    <x v="4"/>
    <x v="2"/>
    <x v="4"/>
    <x v="0"/>
    <x v="0"/>
    <x v="0"/>
    <m/>
    <x v="0"/>
    <x v="0"/>
    <n v="-4.6737000000000001E-2"/>
    <m/>
    <x v="0"/>
    <x v="2"/>
    <x v="0"/>
    <x v="5"/>
    <x v="2"/>
  </r>
  <r>
    <s v="Singapore"/>
    <x v="0"/>
    <s v="SG3"/>
    <m/>
    <x v="1"/>
    <x v="4"/>
    <x v="3"/>
    <x v="0"/>
    <x v="0"/>
    <x v="0"/>
    <x v="0"/>
    <m/>
    <x v="0"/>
    <x v="0"/>
    <n v="-1.40211"/>
    <m/>
    <x v="0"/>
    <x v="1"/>
    <x v="0"/>
    <x v="0"/>
    <x v="2"/>
  </r>
  <r>
    <s v="Singapore"/>
    <x v="3"/>
    <s v="SG1"/>
    <m/>
    <x v="0"/>
    <x v="3"/>
    <x v="0"/>
    <x v="1"/>
    <x v="0"/>
    <x v="0"/>
    <x v="0"/>
    <m/>
    <x v="0"/>
    <x v="0"/>
    <n v="-0.21810600000000002"/>
    <m/>
    <x v="4"/>
    <x v="1"/>
    <x v="0"/>
    <x v="5"/>
    <x v="1"/>
  </r>
  <r>
    <s v="Singapore"/>
    <x v="4"/>
    <s v="SG4"/>
    <m/>
    <x v="1"/>
    <x v="3"/>
    <x v="1"/>
    <x v="4"/>
    <x v="0"/>
    <x v="0"/>
    <x v="0"/>
    <m/>
    <x v="0"/>
    <x v="0"/>
    <n v="-7.0105500000000003"/>
    <m/>
    <x v="4"/>
    <x v="3"/>
    <x v="0"/>
    <x v="1"/>
    <x v="2"/>
  </r>
  <r>
    <s v="Singapore"/>
    <x v="2"/>
    <s v="SG1"/>
    <m/>
    <x v="2"/>
    <x v="0"/>
    <x v="1"/>
    <x v="5"/>
    <x v="0"/>
    <x v="0"/>
    <x v="0"/>
    <m/>
    <x v="0"/>
    <x v="0"/>
    <n v="-0.186948"/>
    <m/>
    <x v="6"/>
    <x v="3"/>
    <x v="0"/>
    <x v="0"/>
    <x v="0"/>
  </r>
  <r>
    <s v="Singapore"/>
    <x v="1"/>
    <s v="SG3"/>
    <m/>
    <x v="4"/>
    <x v="0"/>
    <x v="0"/>
    <x v="2"/>
    <x v="0"/>
    <x v="0"/>
    <x v="0"/>
    <m/>
    <x v="0"/>
    <x v="0"/>
    <n v="-0.62316000000000005"/>
    <m/>
    <x v="4"/>
    <x v="1"/>
    <x v="0"/>
    <x v="4"/>
    <x v="1"/>
  </r>
  <r>
    <s v="Singapore"/>
    <x v="4"/>
    <s v="SG1"/>
    <m/>
    <x v="0"/>
    <x v="4"/>
    <x v="0"/>
    <x v="3"/>
    <x v="0"/>
    <x v="0"/>
    <x v="0"/>
    <m/>
    <x v="0"/>
    <x v="0"/>
    <n v="-0.60758100000000004"/>
    <m/>
    <x v="4"/>
    <x v="3"/>
    <x v="0"/>
    <x v="2"/>
    <x v="0"/>
  </r>
  <r>
    <s v="Singapore"/>
    <x v="4"/>
    <s v="SG3"/>
    <m/>
    <x v="5"/>
    <x v="2"/>
    <x v="1"/>
    <x v="5"/>
    <x v="0"/>
    <x v="0"/>
    <x v="0"/>
    <m/>
    <x v="0"/>
    <x v="0"/>
    <n v="-0.12463200000000001"/>
    <m/>
    <x v="0"/>
    <x v="2"/>
    <x v="0"/>
    <x v="0"/>
    <x v="1"/>
  </r>
  <r>
    <s v="Singapore"/>
    <x v="4"/>
    <s v="SG3"/>
    <m/>
    <x v="2"/>
    <x v="2"/>
    <x v="0"/>
    <x v="0"/>
    <x v="0"/>
    <x v="0"/>
    <x v="0"/>
    <m/>
    <x v="0"/>
    <x v="0"/>
    <n v="-0.12463200000000001"/>
    <m/>
    <x v="0"/>
    <x v="2"/>
    <x v="0"/>
    <x v="2"/>
    <x v="1"/>
  </r>
  <r>
    <s v="Singapore"/>
    <x v="5"/>
    <s v="SG2"/>
    <m/>
    <x v="5"/>
    <x v="0"/>
    <x v="3"/>
    <x v="2"/>
    <x v="0"/>
    <x v="0"/>
    <x v="0"/>
    <m/>
    <x v="0"/>
    <x v="0"/>
    <n v="-0.30690630000000002"/>
    <m/>
    <x v="0"/>
    <x v="2"/>
    <x v="0"/>
    <x v="4"/>
    <x v="2"/>
  </r>
  <r>
    <s v="Singapore"/>
    <x v="2"/>
    <s v="SG2"/>
    <m/>
    <x v="5"/>
    <x v="0"/>
    <x v="4"/>
    <x v="4"/>
    <x v="0"/>
    <x v="0"/>
    <x v="0"/>
    <m/>
    <x v="0"/>
    <x v="0"/>
    <n v="0.12463200000000001"/>
    <m/>
    <x v="0"/>
    <x v="0"/>
    <x v="0"/>
    <x v="5"/>
    <x v="0"/>
  </r>
  <r>
    <s v="Singapore"/>
    <x v="3"/>
    <s v="SG1"/>
    <m/>
    <x v="4"/>
    <x v="1"/>
    <x v="0"/>
    <x v="0"/>
    <x v="0"/>
    <x v="0"/>
    <x v="0"/>
    <m/>
    <x v="0"/>
    <x v="0"/>
    <n v="1.1450565000000001"/>
    <m/>
    <x v="1"/>
    <x v="1"/>
    <x v="0"/>
    <x v="0"/>
    <x v="2"/>
  </r>
  <r>
    <s v="Singapore"/>
    <x v="1"/>
    <s v="SG3"/>
    <m/>
    <x v="2"/>
    <x v="3"/>
    <x v="3"/>
    <x v="3"/>
    <x v="0"/>
    <x v="0"/>
    <x v="0"/>
    <m/>
    <x v="0"/>
    <x v="0"/>
    <n v="-0.17136900000000002"/>
    <m/>
    <x v="0"/>
    <x v="3"/>
    <x v="0"/>
    <x v="4"/>
    <x v="2"/>
  </r>
  <r>
    <s v="Singapore"/>
    <x v="2"/>
    <s v="SG3"/>
    <m/>
    <x v="3"/>
    <x v="2"/>
    <x v="4"/>
    <x v="0"/>
    <x v="0"/>
    <x v="0"/>
    <x v="0"/>
    <m/>
    <x v="0"/>
    <x v="0"/>
    <n v="13.613958414000001"/>
    <m/>
    <x v="1"/>
    <x v="1"/>
    <x v="0"/>
    <x v="5"/>
    <x v="0"/>
  </r>
  <r>
    <s v="Singapore"/>
    <x v="0"/>
    <s v="SG4"/>
    <m/>
    <x v="2"/>
    <x v="2"/>
    <x v="1"/>
    <x v="5"/>
    <x v="0"/>
    <x v="0"/>
    <x v="0"/>
    <m/>
    <x v="0"/>
    <x v="0"/>
    <n v="0.59150347200000009"/>
    <m/>
    <x v="7"/>
    <x v="1"/>
    <x v="0"/>
    <x v="4"/>
    <x v="0"/>
  </r>
  <r>
    <s v="Singapore"/>
    <x v="5"/>
    <s v="SG1"/>
    <m/>
    <x v="1"/>
    <x v="4"/>
    <x v="0"/>
    <x v="2"/>
    <x v="0"/>
    <x v="0"/>
    <x v="0"/>
    <m/>
    <x v="0"/>
    <x v="0"/>
    <n v="-1.121688"/>
    <m/>
    <x v="0"/>
    <x v="2"/>
    <x v="0"/>
    <x v="1"/>
    <x v="2"/>
  </r>
  <r>
    <s v="Singapore"/>
    <x v="5"/>
    <s v="SG4"/>
    <m/>
    <x v="0"/>
    <x v="2"/>
    <x v="0"/>
    <x v="4"/>
    <x v="0"/>
    <x v="0"/>
    <x v="0"/>
    <m/>
    <x v="0"/>
    <x v="0"/>
    <n v="-0.31158000000000002"/>
    <m/>
    <x v="4"/>
    <x v="2"/>
    <x v="0"/>
    <x v="3"/>
    <x v="2"/>
  </r>
  <r>
    <s v="Singapore"/>
    <x v="5"/>
    <s v="SG2"/>
    <m/>
    <x v="5"/>
    <x v="2"/>
    <x v="4"/>
    <x v="0"/>
    <x v="0"/>
    <x v="0"/>
    <x v="0"/>
    <m/>
    <x v="0"/>
    <x v="0"/>
    <n v="-0.70105499999999998"/>
    <m/>
    <x v="1"/>
    <x v="1"/>
    <x v="0"/>
    <x v="1"/>
    <x v="1"/>
  </r>
  <r>
    <s v="Singapore"/>
    <x v="5"/>
    <s v="SG3"/>
    <m/>
    <x v="1"/>
    <x v="2"/>
    <x v="4"/>
    <x v="0"/>
    <x v="0"/>
    <x v="0"/>
    <x v="0"/>
    <m/>
    <x v="0"/>
    <x v="0"/>
    <n v="-6.2316000000000003E-2"/>
    <m/>
    <x v="0"/>
    <x v="1"/>
    <x v="0"/>
    <x v="1"/>
    <x v="0"/>
  </r>
  <r>
    <s v="Singapore"/>
    <x v="1"/>
    <s v="SG3"/>
    <m/>
    <x v="4"/>
    <x v="3"/>
    <x v="4"/>
    <x v="0"/>
    <x v="0"/>
    <x v="0"/>
    <x v="0"/>
    <m/>
    <x v="0"/>
    <x v="0"/>
    <n v="-0.15579000000000001"/>
    <m/>
    <x v="4"/>
    <x v="3"/>
    <x v="0"/>
    <x v="0"/>
    <x v="1"/>
  </r>
  <r>
    <s v="Singapore"/>
    <x v="4"/>
    <s v="SG3"/>
    <m/>
    <x v="5"/>
    <x v="3"/>
    <x v="3"/>
    <x v="0"/>
    <x v="0"/>
    <x v="0"/>
    <x v="0"/>
    <m/>
    <x v="0"/>
    <x v="0"/>
    <n v="2.3602185000000002"/>
    <m/>
    <x v="1"/>
    <x v="1"/>
    <x v="0"/>
    <x v="4"/>
    <x v="2"/>
  </r>
  <r>
    <s v="Singapore"/>
    <x v="3"/>
    <s v="SG4"/>
    <m/>
    <x v="5"/>
    <x v="4"/>
    <x v="1"/>
    <x v="0"/>
    <x v="0"/>
    <x v="0"/>
    <x v="0"/>
    <m/>
    <x v="0"/>
    <x v="0"/>
    <n v="-1.5579000000000001E-2"/>
    <m/>
    <x v="0"/>
    <x v="2"/>
    <x v="0"/>
    <x v="3"/>
    <x v="0"/>
  </r>
  <r>
    <s v="Singapore"/>
    <x v="1"/>
    <s v="SG3"/>
    <m/>
    <x v="1"/>
    <x v="4"/>
    <x v="0"/>
    <x v="1"/>
    <x v="0"/>
    <x v="0"/>
    <x v="0"/>
    <m/>
    <x v="0"/>
    <x v="0"/>
    <n v="1.137267"/>
    <m/>
    <x v="1"/>
    <x v="0"/>
    <x v="0"/>
    <x v="0"/>
    <x v="1"/>
  </r>
  <r>
    <s v="Singapore"/>
    <x v="4"/>
    <s v="SG2"/>
    <m/>
    <x v="5"/>
    <x v="1"/>
    <x v="1"/>
    <x v="1"/>
    <x v="0"/>
    <x v="0"/>
    <x v="0"/>
    <m/>
    <x v="0"/>
    <x v="0"/>
    <n v="-1.5579000000000001E-2"/>
    <m/>
    <x v="0"/>
    <x v="2"/>
    <x v="0"/>
    <x v="3"/>
    <x v="0"/>
  </r>
  <r>
    <s v="Singapore"/>
    <x v="2"/>
    <s v="SG4"/>
    <m/>
    <x v="1"/>
    <x v="2"/>
    <x v="1"/>
    <x v="0"/>
    <x v="0"/>
    <x v="0"/>
    <x v="0"/>
    <m/>
    <x v="0"/>
    <x v="0"/>
    <n v="0.17136900000000002"/>
    <m/>
    <x v="8"/>
    <x v="3"/>
    <x v="0"/>
    <x v="2"/>
    <x v="0"/>
  </r>
  <r>
    <s v="Singapore"/>
    <x v="5"/>
    <s v="SG1"/>
    <m/>
    <x v="4"/>
    <x v="0"/>
    <x v="4"/>
    <x v="2"/>
    <x v="0"/>
    <x v="0"/>
    <x v="0"/>
    <m/>
    <x v="0"/>
    <x v="0"/>
    <n v="-0.140211"/>
    <m/>
    <x v="0"/>
    <x v="0"/>
    <x v="0"/>
    <x v="3"/>
    <x v="1"/>
  </r>
  <r>
    <s v="Singapore"/>
    <x v="4"/>
    <s v="SG3"/>
    <m/>
    <x v="2"/>
    <x v="0"/>
    <x v="0"/>
    <x v="2"/>
    <x v="0"/>
    <x v="0"/>
    <x v="0"/>
    <m/>
    <x v="0"/>
    <x v="0"/>
    <n v="0.15579000000000001"/>
    <m/>
    <x v="1"/>
    <x v="1"/>
    <x v="0"/>
    <x v="1"/>
    <x v="2"/>
  </r>
  <r>
    <s v="Singapore"/>
    <x v="4"/>
    <s v="SG4"/>
    <m/>
    <x v="0"/>
    <x v="2"/>
    <x v="3"/>
    <x v="0"/>
    <x v="0"/>
    <x v="0"/>
    <x v="0"/>
    <m/>
    <x v="0"/>
    <x v="0"/>
    <n v="-4.4337834000000003"/>
    <m/>
    <x v="4"/>
    <x v="1"/>
    <x v="0"/>
    <x v="1"/>
    <x v="2"/>
  </r>
  <r>
    <s v="Singapore"/>
    <x v="0"/>
    <s v="SG3"/>
    <m/>
    <x v="0"/>
    <x v="4"/>
    <x v="1"/>
    <x v="0"/>
    <x v="0"/>
    <x v="0"/>
    <x v="0"/>
    <m/>
    <x v="0"/>
    <x v="0"/>
    <n v="-3.8947500000000003E-2"/>
    <m/>
    <x v="0"/>
    <x v="0"/>
    <x v="0"/>
    <x v="0"/>
    <x v="2"/>
  </r>
  <r>
    <s v="Singapore"/>
    <x v="1"/>
    <s v="SG2"/>
    <m/>
    <x v="1"/>
    <x v="2"/>
    <x v="4"/>
    <x v="2"/>
    <x v="0"/>
    <x v="0"/>
    <x v="0"/>
    <m/>
    <x v="0"/>
    <x v="0"/>
    <n v="-0.140211"/>
    <m/>
    <x v="1"/>
    <x v="3"/>
    <x v="0"/>
    <x v="3"/>
    <x v="0"/>
  </r>
  <r>
    <s v="Singapore"/>
    <x v="5"/>
    <s v="SG4"/>
    <m/>
    <x v="4"/>
    <x v="3"/>
    <x v="0"/>
    <x v="3"/>
    <x v="0"/>
    <x v="0"/>
    <x v="0"/>
    <m/>
    <x v="0"/>
    <x v="0"/>
    <n v="-0.24926400000000001"/>
    <m/>
    <x v="0"/>
    <x v="0"/>
    <x v="0"/>
    <x v="0"/>
    <x v="2"/>
  </r>
  <r>
    <s v="Singapore"/>
    <x v="4"/>
    <s v="SG4"/>
    <m/>
    <x v="1"/>
    <x v="1"/>
    <x v="1"/>
    <x v="5"/>
    <x v="0"/>
    <x v="0"/>
    <x v="0"/>
    <m/>
    <x v="0"/>
    <x v="0"/>
    <n v="0.98147700000000004"/>
    <m/>
    <x v="1"/>
    <x v="1"/>
    <x v="0"/>
    <x v="5"/>
    <x v="1"/>
  </r>
  <r>
    <s v="Singapore"/>
    <x v="2"/>
    <s v="SG2"/>
    <m/>
    <x v="4"/>
    <x v="4"/>
    <x v="2"/>
    <x v="1"/>
    <x v="0"/>
    <x v="0"/>
    <x v="0"/>
    <m/>
    <x v="0"/>
    <x v="0"/>
    <n v="-17.60427"/>
    <m/>
    <x v="4"/>
    <x v="3"/>
    <x v="0"/>
    <x v="4"/>
    <x v="2"/>
  </r>
  <r>
    <s v="Singapore"/>
    <x v="2"/>
    <s v="SG2"/>
    <m/>
    <x v="3"/>
    <x v="2"/>
    <x v="1"/>
    <x v="3"/>
    <x v="0"/>
    <x v="0"/>
    <x v="0"/>
    <m/>
    <x v="0"/>
    <x v="0"/>
    <n v="-0.99705600000000005"/>
    <m/>
    <x v="0"/>
    <x v="1"/>
    <x v="0"/>
    <x v="0"/>
    <x v="2"/>
  </r>
  <r>
    <s v="Singapore"/>
    <x v="2"/>
    <s v="SG1"/>
    <m/>
    <x v="1"/>
    <x v="4"/>
    <x v="1"/>
    <x v="4"/>
    <x v="0"/>
    <x v="0"/>
    <x v="0"/>
    <m/>
    <x v="0"/>
    <x v="0"/>
    <n v="-0.71663399999999999"/>
    <m/>
    <x v="4"/>
    <x v="0"/>
    <x v="0"/>
    <x v="4"/>
    <x v="1"/>
  </r>
  <r>
    <s v="Singapore"/>
    <x v="5"/>
    <s v="SG4"/>
    <m/>
    <x v="1"/>
    <x v="1"/>
    <x v="4"/>
    <x v="2"/>
    <x v="0"/>
    <x v="0"/>
    <x v="0"/>
    <m/>
    <x v="0"/>
    <x v="0"/>
    <n v="0.15579000000000001"/>
    <m/>
    <x v="1"/>
    <x v="3"/>
    <x v="0"/>
    <x v="3"/>
    <x v="2"/>
  </r>
  <r>
    <s v="Singapore"/>
    <x v="2"/>
    <s v="SG2"/>
    <m/>
    <x v="3"/>
    <x v="4"/>
    <x v="0"/>
    <x v="0"/>
    <x v="0"/>
    <x v="0"/>
    <x v="0"/>
    <m/>
    <x v="0"/>
    <x v="0"/>
    <n v="-0.29600100000000001"/>
    <m/>
    <x v="0"/>
    <x v="1"/>
    <x v="0"/>
    <x v="1"/>
    <x v="1"/>
  </r>
  <r>
    <s v="Singapore"/>
    <x v="4"/>
    <s v="SG2"/>
    <m/>
    <x v="3"/>
    <x v="4"/>
    <x v="1"/>
    <x v="2"/>
    <x v="0"/>
    <x v="0"/>
    <x v="0"/>
    <m/>
    <x v="0"/>
    <x v="0"/>
    <n v="-0.15579000000000001"/>
    <m/>
    <x v="4"/>
    <x v="2"/>
    <x v="0"/>
    <x v="5"/>
    <x v="1"/>
  </r>
  <r>
    <s v="Singapore"/>
    <x v="4"/>
    <s v="SG4"/>
    <m/>
    <x v="5"/>
    <x v="0"/>
    <x v="3"/>
    <x v="4"/>
    <x v="0"/>
    <x v="0"/>
    <x v="0"/>
    <m/>
    <x v="0"/>
    <x v="0"/>
    <n v="4.7725954920000007"/>
    <m/>
    <x v="1"/>
    <x v="3"/>
    <x v="0"/>
    <x v="2"/>
    <x v="0"/>
  </r>
  <r>
    <s v="Singapore"/>
    <x v="1"/>
    <s v="SG4"/>
    <m/>
    <x v="1"/>
    <x v="4"/>
    <x v="2"/>
    <x v="4"/>
    <x v="0"/>
    <x v="0"/>
    <x v="0"/>
    <m/>
    <x v="0"/>
    <x v="0"/>
    <n v="252.64479879000001"/>
    <m/>
    <x v="5"/>
    <x v="1"/>
    <x v="0"/>
    <x v="4"/>
    <x v="1"/>
  </r>
  <r>
    <s v="Singapore"/>
    <x v="3"/>
    <s v="SG1"/>
    <m/>
    <x v="0"/>
    <x v="2"/>
    <x v="1"/>
    <x v="1"/>
    <x v="0"/>
    <x v="0"/>
    <x v="0"/>
    <m/>
    <x v="0"/>
    <x v="0"/>
    <n v="-16.32024882"/>
    <m/>
    <x v="3"/>
    <x v="3"/>
    <x v="0"/>
    <x v="2"/>
    <x v="0"/>
  </r>
  <r>
    <s v="Singapore"/>
    <x v="3"/>
    <s v="SG4"/>
    <m/>
    <x v="3"/>
    <x v="3"/>
    <x v="1"/>
    <x v="0"/>
    <x v="0"/>
    <x v="0"/>
    <x v="0"/>
    <m/>
    <x v="0"/>
    <x v="0"/>
    <n v="0.17136900000000002"/>
    <m/>
    <x v="8"/>
    <x v="2"/>
    <x v="0"/>
    <x v="3"/>
    <x v="1"/>
  </r>
  <r>
    <s v="Singapore"/>
    <x v="3"/>
    <s v="SG1"/>
    <m/>
    <x v="4"/>
    <x v="1"/>
    <x v="4"/>
    <x v="2"/>
    <x v="0"/>
    <x v="0"/>
    <x v="0"/>
    <m/>
    <x v="0"/>
    <x v="0"/>
    <n v="-7.0105500000000001E-2"/>
    <m/>
    <x v="4"/>
    <x v="3"/>
    <x v="0"/>
    <x v="1"/>
    <x v="0"/>
  </r>
  <r>
    <s v="Singapore"/>
    <x v="0"/>
    <s v="SG3"/>
    <m/>
    <x v="1"/>
    <x v="4"/>
    <x v="3"/>
    <x v="0"/>
    <x v="0"/>
    <x v="0"/>
    <x v="0"/>
    <m/>
    <x v="0"/>
    <x v="0"/>
    <n v="-8.5684500000000011E-2"/>
    <m/>
    <x v="0"/>
    <x v="0"/>
    <x v="0"/>
    <x v="0"/>
    <x v="0"/>
  </r>
  <r>
    <s v="Singapore"/>
    <x v="4"/>
    <s v="SG4"/>
    <m/>
    <x v="2"/>
    <x v="3"/>
    <x v="4"/>
    <x v="2"/>
    <x v="0"/>
    <x v="0"/>
    <x v="0"/>
    <m/>
    <x v="0"/>
    <x v="0"/>
    <n v="-0.1838322"/>
    <m/>
    <x v="4"/>
    <x v="3"/>
    <x v="0"/>
    <x v="2"/>
    <x v="0"/>
  </r>
  <r>
    <s v="Singapore"/>
    <x v="4"/>
    <s v="SG2"/>
    <m/>
    <x v="3"/>
    <x v="1"/>
    <x v="3"/>
    <x v="1"/>
    <x v="0"/>
    <x v="0"/>
    <x v="0"/>
    <m/>
    <x v="0"/>
    <x v="0"/>
    <n v="-1.5875001000000002"/>
    <m/>
    <x v="1"/>
    <x v="0"/>
    <x v="0"/>
    <x v="4"/>
    <x v="1"/>
  </r>
  <r>
    <s v="Singapore"/>
    <x v="1"/>
    <s v="SG4"/>
    <m/>
    <x v="2"/>
    <x v="1"/>
    <x v="1"/>
    <x v="3"/>
    <x v="0"/>
    <x v="0"/>
    <x v="0"/>
    <m/>
    <x v="0"/>
    <x v="0"/>
    <n v="-26.178842547000002"/>
    <m/>
    <x v="6"/>
    <x v="1"/>
    <x v="0"/>
    <x v="3"/>
    <x v="0"/>
  </r>
  <r>
    <s v="Singapore"/>
    <x v="2"/>
    <s v="SG3"/>
    <m/>
    <x v="2"/>
    <x v="2"/>
    <x v="4"/>
    <x v="4"/>
    <x v="0"/>
    <x v="0"/>
    <x v="0"/>
    <m/>
    <x v="0"/>
    <x v="0"/>
    <n v="0.41284350000000003"/>
    <m/>
    <x v="1"/>
    <x v="0"/>
    <x v="0"/>
    <x v="0"/>
    <x v="1"/>
  </r>
  <r>
    <s v="Singapore"/>
    <x v="2"/>
    <s v="SG1"/>
    <m/>
    <x v="5"/>
    <x v="1"/>
    <x v="2"/>
    <x v="5"/>
    <x v="0"/>
    <x v="0"/>
    <x v="0"/>
    <m/>
    <x v="0"/>
    <x v="0"/>
    <n v="2.9252065140000001"/>
    <m/>
    <x v="1"/>
    <x v="0"/>
    <x v="0"/>
    <x v="3"/>
    <x v="1"/>
  </r>
  <r>
    <s v="Singapore"/>
    <x v="0"/>
    <s v="SG3"/>
    <m/>
    <x v="3"/>
    <x v="2"/>
    <x v="2"/>
    <x v="3"/>
    <x v="0"/>
    <x v="0"/>
    <x v="0"/>
    <m/>
    <x v="0"/>
    <x v="0"/>
    <n v="1.3880889000000001"/>
    <m/>
    <x v="3"/>
    <x v="3"/>
    <x v="0"/>
    <x v="2"/>
    <x v="2"/>
  </r>
  <r>
    <s v="Singapore"/>
    <x v="1"/>
    <s v="SG2"/>
    <m/>
    <x v="4"/>
    <x v="0"/>
    <x v="3"/>
    <x v="5"/>
    <x v="0"/>
    <x v="0"/>
    <x v="0"/>
    <m/>
    <x v="0"/>
    <x v="0"/>
    <n v="-4.6737000000000001E-2"/>
    <m/>
    <x v="0"/>
    <x v="3"/>
    <x v="0"/>
    <x v="5"/>
    <x v="0"/>
  </r>
  <r>
    <s v="Singapore"/>
    <x v="1"/>
    <s v="SG4"/>
    <m/>
    <x v="2"/>
    <x v="1"/>
    <x v="4"/>
    <x v="5"/>
    <x v="0"/>
    <x v="0"/>
    <x v="0"/>
    <m/>
    <x v="0"/>
    <x v="0"/>
    <n v="-0.10905300000000001"/>
    <m/>
    <x v="4"/>
    <x v="3"/>
    <x v="0"/>
    <x v="5"/>
    <x v="1"/>
  </r>
  <r>
    <s v="Singapore"/>
    <x v="5"/>
    <s v="SG3"/>
    <m/>
    <x v="2"/>
    <x v="2"/>
    <x v="2"/>
    <x v="1"/>
    <x v="0"/>
    <x v="0"/>
    <x v="0"/>
    <m/>
    <x v="0"/>
    <x v="0"/>
    <n v="47.206457586000006"/>
    <m/>
    <x v="1"/>
    <x v="3"/>
    <x v="0"/>
    <x v="0"/>
    <x v="0"/>
  </r>
  <r>
    <s v="Singapore"/>
    <x v="5"/>
    <s v="SG2"/>
    <m/>
    <x v="0"/>
    <x v="0"/>
    <x v="4"/>
    <x v="5"/>
    <x v="0"/>
    <x v="0"/>
    <x v="0"/>
    <m/>
    <x v="0"/>
    <x v="0"/>
    <n v="-9.3474000000000002E-2"/>
    <m/>
    <x v="0"/>
    <x v="1"/>
    <x v="0"/>
    <x v="5"/>
    <x v="0"/>
  </r>
  <r>
    <s v="Singapore"/>
    <x v="2"/>
    <s v="SG4"/>
    <m/>
    <x v="0"/>
    <x v="4"/>
    <x v="4"/>
    <x v="0"/>
    <x v="0"/>
    <x v="0"/>
    <x v="0"/>
    <m/>
    <x v="0"/>
    <x v="0"/>
    <n v="19.473750000000003"/>
    <m/>
    <x v="7"/>
    <x v="2"/>
    <x v="0"/>
    <x v="3"/>
    <x v="1"/>
  </r>
  <r>
    <s v="Singapore"/>
    <x v="1"/>
    <s v="SG3"/>
    <m/>
    <x v="1"/>
    <x v="1"/>
    <x v="1"/>
    <x v="1"/>
    <x v="0"/>
    <x v="0"/>
    <x v="0"/>
    <m/>
    <x v="0"/>
    <x v="0"/>
    <n v="-0.77895000000000003"/>
    <m/>
    <x v="4"/>
    <x v="3"/>
    <x v="0"/>
    <x v="1"/>
    <x v="1"/>
  </r>
  <r>
    <s v="Singapore"/>
    <x v="5"/>
    <s v="SG2"/>
    <m/>
    <x v="2"/>
    <x v="3"/>
    <x v="3"/>
    <x v="4"/>
    <x v="0"/>
    <x v="0"/>
    <x v="0"/>
    <m/>
    <x v="0"/>
    <x v="0"/>
    <n v="-79.754042070000011"/>
    <m/>
    <x v="3"/>
    <x v="3"/>
    <x v="0"/>
    <x v="4"/>
    <x v="0"/>
  </r>
  <r>
    <s v="Singapore"/>
    <x v="1"/>
    <s v="SG3"/>
    <m/>
    <x v="4"/>
    <x v="4"/>
    <x v="2"/>
    <x v="3"/>
    <x v="0"/>
    <x v="0"/>
    <x v="0"/>
    <m/>
    <x v="0"/>
    <x v="0"/>
    <n v="-2.33685E-2"/>
    <m/>
    <x v="0"/>
    <x v="0"/>
    <x v="0"/>
    <x v="0"/>
    <x v="1"/>
  </r>
  <r>
    <s v="Singapore"/>
    <x v="0"/>
    <s v="SG2"/>
    <m/>
    <x v="0"/>
    <x v="0"/>
    <x v="3"/>
    <x v="1"/>
    <x v="0"/>
    <x v="0"/>
    <x v="0"/>
    <m/>
    <x v="0"/>
    <x v="0"/>
    <n v="1.168425"/>
    <m/>
    <x v="1"/>
    <x v="2"/>
    <x v="0"/>
    <x v="3"/>
    <x v="1"/>
  </r>
  <r>
    <s v="Singapore"/>
    <x v="4"/>
    <s v="SG2"/>
    <m/>
    <x v="0"/>
    <x v="0"/>
    <x v="2"/>
    <x v="4"/>
    <x v="0"/>
    <x v="0"/>
    <x v="0"/>
    <m/>
    <x v="0"/>
    <x v="0"/>
    <n v="4.3932780000000005"/>
    <m/>
    <x v="7"/>
    <x v="3"/>
    <x v="0"/>
    <x v="5"/>
    <x v="0"/>
  </r>
  <r>
    <s v="Singapore"/>
    <x v="2"/>
    <s v="SG2"/>
    <m/>
    <x v="0"/>
    <x v="1"/>
    <x v="4"/>
    <x v="0"/>
    <x v="0"/>
    <x v="0"/>
    <x v="0"/>
    <m/>
    <x v="0"/>
    <x v="0"/>
    <n v="-21.810600000000001"/>
    <m/>
    <x v="3"/>
    <x v="2"/>
    <x v="0"/>
    <x v="1"/>
    <x v="1"/>
  </r>
  <r>
    <s v="Singapore"/>
    <x v="5"/>
    <s v="SG1"/>
    <m/>
    <x v="1"/>
    <x v="2"/>
    <x v="1"/>
    <x v="0"/>
    <x v="0"/>
    <x v="0"/>
    <x v="0"/>
    <m/>
    <x v="0"/>
    <x v="0"/>
    <n v="0.15968475000000001"/>
    <m/>
    <x v="7"/>
    <x v="0"/>
    <x v="0"/>
    <x v="5"/>
    <x v="0"/>
  </r>
  <r>
    <s v="Singapore"/>
    <x v="3"/>
    <s v="SG3"/>
    <m/>
    <x v="0"/>
    <x v="0"/>
    <x v="3"/>
    <x v="3"/>
    <x v="0"/>
    <x v="0"/>
    <x v="0"/>
    <m/>
    <x v="0"/>
    <x v="0"/>
    <n v="3.6610650000000002E-2"/>
    <m/>
    <x v="6"/>
    <x v="3"/>
    <x v="0"/>
    <x v="1"/>
    <x v="0"/>
  </r>
  <r>
    <s v="Singapore"/>
    <x v="3"/>
    <s v="SG2"/>
    <m/>
    <x v="5"/>
    <x v="3"/>
    <x v="2"/>
    <x v="0"/>
    <x v="0"/>
    <x v="0"/>
    <x v="0"/>
    <m/>
    <x v="0"/>
    <x v="0"/>
    <n v="-4.6737000000000001E-2"/>
    <m/>
    <x v="0"/>
    <x v="0"/>
    <x v="0"/>
    <x v="1"/>
    <x v="1"/>
  </r>
  <r>
    <s v="Singapore"/>
    <x v="4"/>
    <s v="SG1"/>
    <m/>
    <x v="0"/>
    <x v="3"/>
    <x v="4"/>
    <x v="4"/>
    <x v="0"/>
    <x v="0"/>
    <x v="0"/>
    <m/>
    <x v="0"/>
    <x v="0"/>
    <n v="-1.2837096000000001"/>
    <m/>
    <x v="6"/>
    <x v="2"/>
    <x v="0"/>
    <x v="0"/>
    <x v="1"/>
  </r>
  <r>
    <s v="Singapore"/>
    <x v="1"/>
    <s v="SG2"/>
    <m/>
    <x v="2"/>
    <x v="1"/>
    <x v="3"/>
    <x v="3"/>
    <x v="0"/>
    <x v="0"/>
    <x v="0"/>
    <m/>
    <x v="0"/>
    <x v="0"/>
    <n v="-4.6737000000000001E-2"/>
    <m/>
    <x v="0"/>
    <x v="0"/>
    <x v="0"/>
    <x v="2"/>
    <x v="2"/>
  </r>
  <r>
    <s v="Singapore"/>
    <x v="1"/>
    <s v="SG4"/>
    <m/>
    <x v="5"/>
    <x v="4"/>
    <x v="0"/>
    <x v="1"/>
    <x v="0"/>
    <x v="0"/>
    <x v="0"/>
    <m/>
    <x v="0"/>
    <x v="0"/>
    <n v="0.10360035000000001"/>
    <m/>
    <x v="6"/>
    <x v="2"/>
    <x v="0"/>
    <x v="0"/>
    <x v="1"/>
  </r>
  <r>
    <s v="Singapore"/>
    <x v="1"/>
    <s v="SG4"/>
    <m/>
    <x v="2"/>
    <x v="1"/>
    <x v="2"/>
    <x v="1"/>
    <x v="0"/>
    <x v="0"/>
    <x v="0"/>
    <m/>
    <x v="0"/>
    <x v="0"/>
    <n v="-0.140211"/>
    <m/>
    <x v="0"/>
    <x v="3"/>
    <x v="0"/>
    <x v="2"/>
    <x v="1"/>
  </r>
  <r>
    <s v="Singapore"/>
    <x v="2"/>
    <s v="SG3"/>
    <m/>
    <x v="3"/>
    <x v="2"/>
    <x v="4"/>
    <x v="4"/>
    <x v="0"/>
    <x v="0"/>
    <x v="0"/>
    <m/>
    <x v="0"/>
    <x v="0"/>
    <n v="0.43621200000000004"/>
    <m/>
    <x v="1"/>
    <x v="1"/>
    <x v="0"/>
    <x v="1"/>
    <x v="0"/>
  </r>
  <r>
    <s v="Singapore"/>
    <x v="5"/>
    <s v="SG1"/>
    <m/>
    <x v="2"/>
    <x v="3"/>
    <x v="2"/>
    <x v="0"/>
    <x v="0"/>
    <x v="0"/>
    <x v="0"/>
    <m/>
    <x v="0"/>
    <x v="0"/>
    <n v="-4.6737000000000001E-2"/>
    <m/>
    <x v="0"/>
    <x v="1"/>
    <x v="0"/>
    <x v="4"/>
    <x v="1"/>
  </r>
  <r>
    <s v="Singapore"/>
    <x v="1"/>
    <s v="SG1"/>
    <m/>
    <x v="0"/>
    <x v="2"/>
    <x v="3"/>
    <x v="0"/>
    <x v="0"/>
    <x v="0"/>
    <x v="0"/>
    <m/>
    <x v="0"/>
    <x v="0"/>
    <n v="-0.15579000000000001"/>
    <m/>
    <x v="1"/>
    <x v="3"/>
    <x v="0"/>
    <x v="2"/>
    <x v="2"/>
  </r>
  <r>
    <s v="Singapore"/>
    <x v="3"/>
    <s v="SG4"/>
    <m/>
    <x v="1"/>
    <x v="3"/>
    <x v="0"/>
    <x v="5"/>
    <x v="0"/>
    <x v="0"/>
    <x v="0"/>
    <m/>
    <x v="0"/>
    <x v="0"/>
    <n v="-6.2316000000000003E-3"/>
    <m/>
    <x v="6"/>
    <x v="1"/>
    <x v="0"/>
    <x v="3"/>
    <x v="1"/>
  </r>
  <r>
    <s v="Singapore"/>
    <x v="2"/>
    <s v="SG3"/>
    <m/>
    <x v="4"/>
    <x v="3"/>
    <x v="3"/>
    <x v="1"/>
    <x v="0"/>
    <x v="0"/>
    <x v="0"/>
    <m/>
    <x v="0"/>
    <x v="0"/>
    <n v="-1003.5075287430001"/>
    <m/>
    <x v="3"/>
    <x v="3"/>
    <x v="0"/>
    <x v="0"/>
    <x v="0"/>
  </r>
  <r>
    <s v="Singapore"/>
    <x v="4"/>
    <s v="SG3"/>
    <m/>
    <x v="0"/>
    <x v="4"/>
    <x v="3"/>
    <x v="5"/>
    <x v="0"/>
    <x v="0"/>
    <x v="0"/>
    <m/>
    <x v="0"/>
    <x v="0"/>
    <n v="0.12463200000000001"/>
    <m/>
    <x v="1"/>
    <x v="0"/>
    <x v="0"/>
    <x v="3"/>
    <x v="1"/>
  </r>
  <r>
    <s v="Singapore"/>
    <x v="2"/>
    <s v="SG3"/>
    <m/>
    <x v="2"/>
    <x v="2"/>
    <x v="0"/>
    <x v="0"/>
    <x v="0"/>
    <x v="0"/>
    <x v="0"/>
    <m/>
    <x v="0"/>
    <x v="0"/>
    <n v="-0.15579000000000001"/>
    <m/>
    <x v="0"/>
    <x v="3"/>
    <x v="0"/>
    <x v="2"/>
    <x v="2"/>
  </r>
  <r>
    <s v="Singapore"/>
    <x v="4"/>
    <s v="SG1"/>
    <m/>
    <x v="0"/>
    <x v="1"/>
    <x v="0"/>
    <x v="5"/>
    <x v="0"/>
    <x v="0"/>
    <x v="0"/>
    <m/>
    <x v="0"/>
    <x v="0"/>
    <n v="-0.70105499999999998"/>
    <m/>
    <x v="4"/>
    <x v="2"/>
    <x v="0"/>
    <x v="5"/>
    <x v="2"/>
  </r>
  <r>
    <s v="Singapore"/>
    <x v="2"/>
    <s v="SG3"/>
    <m/>
    <x v="3"/>
    <x v="3"/>
    <x v="2"/>
    <x v="3"/>
    <x v="0"/>
    <x v="0"/>
    <x v="0"/>
    <m/>
    <x v="0"/>
    <x v="0"/>
    <n v="1.5787758600000001"/>
    <m/>
    <x v="1"/>
    <x v="1"/>
    <x v="0"/>
    <x v="5"/>
    <x v="1"/>
  </r>
  <r>
    <s v="Singapore"/>
    <x v="5"/>
    <s v="SG2"/>
    <m/>
    <x v="0"/>
    <x v="0"/>
    <x v="4"/>
    <x v="1"/>
    <x v="0"/>
    <x v="0"/>
    <x v="0"/>
    <m/>
    <x v="0"/>
    <x v="0"/>
    <n v="-0.19746382500000001"/>
    <m/>
    <x v="6"/>
    <x v="3"/>
    <x v="0"/>
    <x v="2"/>
    <x v="2"/>
  </r>
  <r>
    <s v="Singapore"/>
    <x v="1"/>
    <s v="SG4"/>
    <m/>
    <x v="0"/>
    <x v="3"/>
    <x v="0"/>
    <x v="3"/>
    <x v="0"/>
    <x v="0"/>
    <x v="0"/>
    <m/>
    <x v="0"/>
    <x v="0"/>
    <n v="0.15579000000000001"/>
    <m/>
    <x v="1"/>
    <x v="2"/>
    <x v="0"/>
    <x v="1"/>
    <x v="1"/>
  </r>
  <r>
    <s v="Singapore"/>
    <x v="3"/>
    <s v="SG3"/>
    <m/>
    <x v="0"/>
    <x v="0"/>
    <x v="0"/>
    <x v="4"/>
    <x v="0"/>
    <x v="0"/>
    <x v="0"/>
    <m/>
    <x v="0"/>
    <x v="0"/>
    <n v="-0.12463200000000001"/>
    <m/>
    <x v="0"/>
    <x v="1"/>
    <x v="0"/>
    <x v="4"/>
    <x v="0"/>
  </r>
  <r>
    <s v="Singapore"/>
    <x v="3"/>
    <s v="SG1"/>
    <m/>
    <x v="5"/>
    <x v="4"/>
    <x v="3"/>
    <x v="1"/>
    <x v="0"/>
    <x v="0"/>
    <x v="0"/>
    <m/>
    <x v="0"/>
    <x v="0"/>
    <n v="-4.9385430000000001"/>
    <m/>
    <x v="4"/>
    <x v="1"/>
    <x v="0"/>
    <x v="0"/>
    <x v="1"/>
  </r>
  <r>
    <s v="Singapore"/>
    <x v="3"/>
    <s v="SG4"/>
    <m/>
    <x v="1"/>
    <x v="1"/>
    <x v="3"/>
    <x v="1"/>
    <x v="0"/>
    <x v="0"/>
    <x v="0"/>
    <m/>
    <x v="0"/>
    <x v="0"/>
    <n v="-0.70105499999999998"/>
    <m/>
    <x v="4"/>
    <x v="1"/>
    <x v="0"/>
    <x v="2"/>
    <x v="1"/>
  </r>
  <r>
    <s v="Singapore"/>
    <x v="3"/>
    <s v="SG3"/>
    <m/>
    <x v="1"/>
    <x v="4"/>
    <x v="2"/>
    <x v="0"/>
    <x v="0"/>
    <x v="0"/>
    <x v="0"/>
    <m/>
    <x v="0"/>
    <x v="0"/>
    <n v="-0.15579000000000001"/>
    <m/>
    <x v="0"/>
    <x v="2"/>
    <x v="0"/>
    <x v="1"/>
    <x v="0"/>
  </r>
  <r>
    <s v="Singapore"/>
    <x v="3"/>
    <s v="SG4"/>
    <m/>
    <x v="1"/>
    <x v="0"/>
    <x v="3"/>
    <x v="0"/>
    <x v="0"/>
    <x v="0"/>
    <x v="0"/>
    <m/>
    <x v="0"/>
    <x v="0"/>
    <n v="1.0801232280000002"/>
    <m/>
    <x v="1"/>
    <x v="0"/>
    <x v="0"/>
    <x v="5"/>
    <x v="0"/>
  </r>
  <r>
    <s v="Singapore"/>
    <x v="2"/>
    <s v="SG4"/>
    <m/>
    <x v="2"/>
    <x v="1"/>
    <x v="2"/>
    <x v="1"/>
    <x v="0"/>
    <x v="0"/>
    <x v="0"/>
    <m/>
    <x v="0"/>
    <x v="0"/>
    <n v="0.12463200000000001"/>
    <m/>
    <x v="0"/>
    <x v="3"/>
    <x v="0"/>
    <x v="2"/>
    <x v="2"/>
  </r>
  <r>
    <s v="Singapore"/>
    <x v="2"/>
    <s v="SG3"/>
    <m/>
    <x v="2"/>
    <x v="1"/>
    <x v="4"/>
    <x v="4"/>
    <x v="0"/>
    <x v="0"/>
    <x v="0"/>
    <m/>
    <x v="0"/>
    <x v="0"/>
    <n v="-0.12463200000000001"/>
    <m/>
    <x v="0"/>
    <x v="2"/>
    <x v="0"/>
    <x v="2"/>
    <x v="0"/>
  </r>
  <r>
    <s v="Singapore"/>
    <x v="4"/>
    <s v="SG1"/>
    <m/>
    <x v="0"/>
    <x v="1"/>
    <x v="1"/>
    <x v="1"/>
    <x v="0"/>
    <x v="0"/>
    <x v="0"/>
    <m/>
    <x v="0"/>
    <x v="0"/>
    <n v="-0.24926400000000001"/>
    <m/>
    <x v="8"/>
    <x v="3"/>
    <x v="0"/>
    <x v="4"/>
    <x v="1"/>
  </r>
  <r>
    <s v="Singapore"/>
    <x v="5"/>
    <s v="SG3"/>
    <m/>
    <x v="5"/>
    <x v="4"/>
    <x v="0"/>
    <x v="1"/>
    <x v="0"/>
    <x v="0"/>
    <x v="0"/>
    <m/>
    <x v="0"/>
    <x v="0"/>
    <n v="-1.959978411"/>
    <m/>
    <x v="4"/>
    <x v="3"/>
    <x v="0"/>
    <x v="0"/>
    <x v="0"/>
  </r>
  <r>
    <s v="Singapore"/>
    <x v="2"/>
    <s v="SG1"/>
    <m/>
    <x v="1"/>
    <x v="2"/>
    <x v="4"/>
    <x v="4"/>
    <x v="0"/>
    <x v="0"/>
    <x v="0"/>
    <m/>
    <x v="0"/>
    <x v="0"/>
    <n v="-43.569228456000005"/>
    <m/>
    <x v="4"/>
    <x v="1"/>
    <x v="0"/>
    <x v="2"/>
    <x v="2"/>
  </r>
  <r>
    <s v="Singapore"/>
    <x v="5"/>
    <s v="SG1"/>
    <m/>
    <x v="4"/>
    <x v="4"/>
    <x v="3"/>
    <x v="1"/>
    <x v="0"/>
    <x v="0"/>
    <x v="0"/>
    <m/>
    <x v="0"/>
    <x v="0"/>
    <n v="-4.6737000000000001E-2"/>
    <m/>
    <x v="0"/>
    <x v="0"/>
    <x v="0"/>
    <x v="4"/>
    <x v="2"/>
  </r>
  <r>
    <s v="Singapore"/>
    <x v="0"/>
    <s v="SG4"/>
    <m/>
    <x v="2"/>
    <x v="4"/>
    <x v="3"/>
    <x v="5"/>
    <x v="0"/>
    <x v="0"/>
    <x v="0"/>
    <m/>
    <x v="0"/>
    <x v="0"/>
    <n v="2.5568877960000003"/>
    <m/>
    <x v="3"/>
    <x v="2"/>
    <x v="0"/>
    <x v="3"/>
    <x v="1"/>
  </r>
  <r>
    <s v="Singapore"/>
    <x v="5"/>
    <s v="SG2"/>
    <m/>
    <x v="2"/>
    <x v="2"/>
    <x v="4"/>
    <x v="0"/>
    <x v="0"/>
    <x v="0"/>
    <x v="0"/>
    <m/>
    <x v="0"/>
    <x v="0"/>
    <n v="-9.3975488009999992"/>
    <m/>
    <x v="7"/>
    <x v="2"/>
    <x v="0"/>
    <x v="0"/>
    <x v="0"/>
  </r>
  <r>
    <s v="Singapore"/>
    <x v="0"/>
    <s v="SG4"/>
    <m/>
    <x v="1"/>
    <x v="0"/>
    <x v="4"/>
    <x v="0"/>
    <x v="0"/>
    <x v="0"/>
    <x v="0"/>
    <m/>
    <x v="0"/>
    <x v="0"/>
    <n v="-0.233685"/>
    <m/>
    <x v="0"/>
    <x v="3"/>
    <x v="0"/>
    <x v="0"/>
    <x v="2"/>
  </r>
  <r>
    <s v="Singapore"/>
    <x v="1"/>
    <s v="SG1"/>
    <m/>
    <x v="5"/>
    <x v="2"/>
    <x v="3"/>
    <x v="5"/>
    <x v="0"/>
    <x v="0"/>
    <x v="0"/>
    <m/>
    <x v="0"/>
    <x v="0"/>
    <n v="1.0671615000000001"/>
    <m/>
    <x v="1"/>
    <x v="0"/>
    <x v="0"/>
    <x v="1"/>
    <x v="2"/>
  </r>
  <r>
    <s v="Singapore"/>
    <x v="0"/>
    <s v="SG4"/>
    <m/>
    <x v="1"/>
    <x v="3"/>
    <x v="1"/>
    <x v="0"/>
    <x v="0"/>
    <x v="0"/>
    <x v="0"/>
    <m/>
    <x v="0"/>
    <x v="0"/>
    <n v="0.15968475000000001"/>
    <m/>
    <x v="7"/>
    <x v="1"/>
    <x v="0"/>
    <x v="4"/>
    <x v="1"/>
  </r>
  <r>
    <s v="Singapore"/>
    <x v="0"/>
    <s v="SG3"/>
    <m/>
    <x v="5"/>
    <x v="1"/>
    <x v="1"/>
    <x v="2"/>
    <x v="0"/>
    <x v="0"/>
    <x v="0"/>
    <m/>
    <x v="0"/>
    <x v="0"/>
    <n v="10.095830739"/>
    <m/>
    <x v="0"/>
    <x v="1"/>
    <x v="0"/>
    <x v="0"/>
    <x v="0"/>
  </r>
  <r>
    <s v="Singapore"/>
    <x v="0"/>
    <s v="SG4"/>
    <m/>
    <x v="3"/>
    <x v="4"/>
    <x v="4"/>
    <x v="4"/>
    <x v="0"/>
    <x v="0"/>
    <x v="0"/>
    <m/>
    <x v="0"/>
    <x v="0"/>
    <n v="-9.3474000000000002E-2"/>
    <m/>
    <x v="0"/>
    <x v="3"/>
    <x v="0"/>
    <x v="0"/>
    <x v="0"/>
  </r>
  <r>
    <s v="Singapore"/>
    <x v="1"/>
    <s v="SG3"/>
    <m/>
    <x v="0"/>
    <x v="4"/>
    <x v="2"/>
    <x v="0"/>
    <x v="0"/>
    <x v="0"/>
    <x v="0"/>
    <m/>
    <x v="0"/>
    <x v="0"/>
    <n v="1.9935355770000003"/>
    <m/>
    <x v="8"/>
    <x v="0"/>
    <x v="0"/>
    <x v="5"/>
    <x v="2"/>
  </r>
  <r>
    <s v="Singapore"/>
    <x v="4"/>
    <s v="SG4"/>
    <m/>
    <x v="4"/>
    <x v="1"/>
    <x v="1"/>
    <x v="3"/>
    <x v="0"/>
    <x v="0"/>
    <x v="0"/>
    <m/>
    <x v="0"/>
    <x v="0"/>
    <n v="0.76628427300000002"/>
    <m/>
    <x v="8"/>
    <x v="0"/>
    <x v="0"/>
    <x v="0"/>
    <x v="2"/>
  </r>
  <r>
    <s v="Singapore"/>
    <x v="3"/>
    <s v="SG4"/>
    <m/>
    <x v="2"/>
    <x v="4"/>
    <x v="0"/>
    <x v="5"/>
    <x v="0"/>
    <x v="0"/>
    <x v="0"/>
    <m/>
    <x v="0"/>
    <x v="0"/>
    <n v="0.64652850000000006"/>
    <m/>
    <x v="1"/>
    <x v="3"/>
    <x v="0"/>
    <x v="4"/>
    <x v="2"/>
  </r>
  <r>
    <s v="Singapore"/>
    <x v="4"/>
    <s v="SG1"/>
    <m/>
    <x v="4"/>
    <x v="0"/>
    <x v="3"/>
    <x v="2"/>
    <x v="0"/>
    <x v="0"/>
    <x v="0"/>
    <m/>
    <x v="0"/>
    <x v="0"/>
    <n v="-0.1838322"/>
    <m/>
    <x v="4"/>
    <x v="0"/>
    <x v="0"/>
    <x v="4"/>
    <x v="0"/>
  </r>
  <r>
    <s v="Singapore"/>
    <x v="5"/>
    <s v="SG2"/>
    <m/>
    <x v="5"/>
    <x v="2"/>
    <x v="0"/>
    <x v="4"/>
    <x v="0"/>
    <x v="0"/>
    <x v="0"/>
    <m/>
    <x v="0"/>
    <x v="0"/>
    <n v="-1.137267"/>
    <m/>
    <x v="4"/>
    <x v="3"/>
    <x v="0"/>
    <x v="0"/>
    <x v="0"/>
  </r>
  <r>
    <s v="Singapore"/>
    <x v="3"/>
    <s v="SG4"/>
    <m/>
    <x v="2"/>
    <x v="0"/>
    <x v="3"/>
    <x v="2"/>
    <x v="0"/>
    <x v="0"/>
    <x v="0"/>
    <m/>
    <x v="0"/>
    <x v="0"/>
    <n v="-4.6737000000000002"/>
    <m/>
    <x v="4"/>
    <x v="2"/>
    <x v="0"/>
    <x v="3"/>
    <x v="0"/>
  </r>
  <r>
    <s v="Singapore"/>
    <x v="1"/>
    <s v="SG2"/>
    <m/>
    <x v="1"/>
    <x v="2"/>
    <x v="3"/>
    <x v="1"/>
    <x v="0"/>
    <x v="0"/>
    <x v="0"/>
    <m/>
    <x v="0"/>
    <x v="0"/>
    <n v="0.40505400000000003"/>
    <m/>
    <x v="8"/>
    <x v="3"/>
    <x v="0"/>
    <x v="1"/>
    <x v="2"/>
  </r>
  <r>
    <s v="Singapore"/>
    <x v="2"/>
    <s v="SG1"/>
    <m/>
    <x v="3"/>
    <x v="2"/>
    <x v="4"/>
    <x v="2"/>
    <x v="0"/>
    <x v="0"/>
    <x v="0"/>
    <m/>
    <x v="0"/>
    <x v="0"/>
    <n v="-4.8709924559999997"/>
    <m/>
    <x v="0"/>
    <x v="3"/>
    <x v="0"/>
    <x v="0"/>
    <x v="1"/>
  </r>
  <r>
    <s v="Singapore"/>
    <x v="1"/>
    <s v="SG2"/>
    <m/>
    <x v="3"/>
    <x v="4"/>
    <x v="4"/>
    <x v="2"/>
    <x v="0"/>
    <x v="0"/>
    <x v="0"/>
    <m/>
    <x v="0"/>
    <x v="0"/>
    <n v="-9.3474000000000002E-2"/>
    <m/>
    <x v="0"/>
    <x v="2"/>
    <x v="0"/>
    <x v="0"/>
    <x v="0"/>
  </r>
  <r>
    <s v="Singapore"/>
    <x v="2"/>
    <s v="SG2"/>
    <m/>
    <x v="0"/>
    <x v="3"/>
    <x v="0"/>
    <x v="5"/>
    <x v="0"/>
    <x v="0"/>
    <x v="0"/>
    <m/>
    <x v="0"/>
    <x v="0"/>
    <n v="-0.77895000000000003"/>
    <m/>
    <x v="1"/>
    <x v="1"/>
    <x v="0"/>
    <x v="2"/>
    <x v="1"/>
  </r>
  <r>
    <s v="Singapore"/>
    <x v="4"/>
    <s v="SG3"/>
    <m/>
    <x v="0"/>
    <x v="1"/>
    <x v="3"/>
    <x v="5"/>
    <x v="0"/>
    <x v="0"/>
    <x v="0"/>
    <m/>
    <x v="0"/>
    <x v="0"/>
    <n v="-3.1158000000000002E-2"/>
    <m/>
    <x v="0"/>
    <x v="3"/>
    <x v="0"/>
    <x v="2"/>
    <x v="2"/>
  </r>
  <r>
    <s v="Singapore"/>
    <x v="3"/>
    <s v="SG4"/>
    <m/>
    <x v="2"/>
    <x v="0"/>
    <x v="2"/>
    <x v="3"/>
    <x v="0"/>
    <x v="0"/>
    <x v="0"/>
    <m/>
    <x v="0"/>
    <x v="0"/>
    <n v="0.15579000000000001"/>
    <m/>
    <x v="0"/>
    <x v="1"/>
    <x v="0"/>
    <x v="0"/>
    <x v="2"/>
  </r>
  <r>
    <s v="Singapore"/>
    <x v="5"/>
    <s v="SG1"/>
    <m/>
    <x v="0"/>
    <x v="2"/>
    <x v="4"/>
    <x v="2"/>
    <x v="0"/>
    <x v="0"/>
    <x v="0"/>
    <m/>
    <x v="0"/>
    <x v="0"/>
    <n v="-5.6930962860000003"/>
    <m/>
    <x v="0"/>
    <x v="3"/>
    <x v="0"/>
    <x v="4"/>
    <x v="1"/>
  </r>
  <r>
    <s v="Singapore"/>
    <x v="1"/>
    <s v="SG4"/>
    <m/>
    <x v="3"/>
    <x v="1"/>
    <x v="0"/>
    <x v="5"/>
    <x v="0"/>
    <x v="0"/>
    <x v="0"/>
    <m/>
    <x v="0"/>
    <x v="0"/>
    <n v="0.70105499999999998"/>
    <m/>
    <x v="1"/>
    <x v="2"/>
    <x v="0"/>
    <x v="1"/>
    <x v="2"/>
  </r>
  <r>
    <s v="Singapore"/>
    <x v="0"/>
    <s v="SG4"/>
    <m/>
    <x v="5"/>
    <x v="0"/>
    <x v="0"/>
    <x v="5"/>
    <x v="0"/>
    <x v="0"/>
    <x v="0"/>
    <m/>
    <x v="0"/>
    <x v="0"/>
    <n v="4.0505399999999998"/>
    <m/>
    <x v="11"/>
    <x v="1"/>
    <x v="0"/>
    <x v="1"/>
    <x v="1"/>
  </r>
  <r>
    <s v="Singapore"/>
    <x v="3"/>
    <s v="SG4"/>
    <m/>
    <x v="0"/>
    <x v="1"/>
    <x v="4"/>
    <x v="4"/>
    <x v="0"/>
    <x v="0"/>
    <x v="0"/>
    <m/>
    <x v="0"/>
    <x v="0"/>
    <n v="-0.21810600000000002"/>
    <m/>
    <x v="4"/>
    <x v="3"/>
    <x v="0"/>
    <x v="2"/>
    <x v="0"/>
  </r>
  <r>
    <s v="Singapore"/>
    <x v="2"/>
    <s v="SG4"/>
    <m/>
    <x v="1"/>
    <x v="0"/>
    <x v="2"/>
    <x v="3"/>
    <x v="0"/>
    <x v="0"/>
    <x v="0"/>
    <m/>
    <x v="0"/>
    <x v="0"/>
    <n v="-0.12463200000000001"/>
    <m/>
    <x v="4"/>
    <x v="1"/>
    <x v="0"/>
    <x v="3"/>
    <x v="2"/>
  </r>
  <r>
    <s v="Singapore"/>
    <x v="0"/>
    <s v="SG2"/>
    <m/>
    <x v="1"/>
    <x v="0"/>
    <x v="0"/>
    <x v="1"/>
    <x v="0"/>
    <x v="0"/>
    <x v="0"/>
    <m/>
    <x v="0"/>
    <x v="0"/>
    <n v="0.545265"/>
    <m/>
    <x v="0"/>
    <x v="2"/>
    <x v="0"/>
    <x v="2"/>
    <x v="0"/>
  </r>
  <r>
    <s v="Singapore"/>
    <x v="4"/>
    <s v="SG4"/>
    <m/>
    <x v="1"/>
    <x v="3"/>
    <x v="1"/>
    <x v="3"/>
    <x v="0"/>
    <x v="0"/>
    <x v="0"/>
    <m/>
    <x v="0"/>
    <x v="0"/>
    <n v="-4.2063300000000003"/>
    <m/>
    <x v="8"/>
    <x v="3"/>
    <x v="0"/>
    <x v="1"/>
    <x v="1"/>
  </r>
  <r>
    <s v="Singapore"/>
    <x v="3"/>
    <s v="SG3"/>
    <m/>
    <x v="2"/>
    <x v="2"/>
    <x v="4"/>
    <x v="1"/>
    <x v="0"/>
    <x v="0"/>
    <x v="0"/>
    <m/>
    <x v="0"/>
    <x v="0"/>
    <n v="0.204380901"/>
    <m/>
    <x v="8"/>
    <x v="2"/>
    <x v="0"/>
    <x v="2"/>
    <x v="1"/>
  </r>
  <r>
    <s v="Singapore"/>
    <x v="5"/>
    <s v="SG4"/>
    <m/>
    <x v="5"/>
    <x v="0"/>
    <x v="3"/>
    <x v="3"/>
    <x v="0"/>
    <x v="0"/>
    <x v="0"/>
    <m/>
    <x v="0"/>
    <x v="0"/>
    <n v="-3.3027479999999998E-2"/>
    <m/>
    <x v="4"/>
    <x v="0"/>
    <x v="0"/>
    <x v="1"/>
    <x v="2"/>
  </r>
  <r>
    <s v="Singapore"/>
    <x v="0"/>
    <s v="SG3"/>
    <m/>
    <x v="5"/>
    <x v="4"/>
    <x v="1"/>
    <x v="3"/>
    <x v="0"/>
    <x v="0"/>
    <x v="0"/>
    <m/>
    <x v="0"/>
    <x v="0"/>
    <n v="-1.3055202000000001"/>
    <m/>
    <x v="0"/>
    <x v="1"/>
    <x v="0"/>
    <x v="4"/>
    <x v="0"/>
  </r>
  <r>
    <s v="Singapore"/>
    <x v="3"/>
    <s v="SG2"/>
    <m/>
    <x v="1"/>
    <x v="3"/>
    <x v="3"/>
    <x v="4"/>
    <x v="0"/>
    <x v="0"/>
    <x v="0"/>
    <m/>
    <x v="0"/>
    <x v="0"/>
    <n v="-0.10126350000000001"/>
    <m/>
    <x v="0"/>
    <x v="0"/>
    <x v="0"/>
    <x v="1"/>
    <x v="2"/>
  </r>
  <r>
    <s v="Singapore"/>
    <x v="0"/>
    <s v="SG4"/>
    <m/>
    <x v="4"/>
    <x v="4"/>
    <x v="1"/>
    <x v="5"/>
    <x v="0"/>
    <x v="0"/>
    <x v="0"/>
    <m/>
    <x v="0"/>
    <x v="0"/>
    <n v="-0.15579000000000001"/>
    <m/>
    <x v="4"/>
    <x v="3"/>
    <x v="0"/>
    <x v="3"/>
    <x v="2"/>
  </r>
  <r>
    <s v="Singapore"/>
    <x v="3"/>
    <s v="SG1"/>
    <m/>
    <x v="3"/>
    <x v="1"/>
    <x v="3"/>
    <x v="4"/>
    <x v="0"/>
    <x v="0"/>
    <x v="0"/>
    <m/>
    <x v="0"/>
    <x v="0"/>
    <n v="0.74779200000000001"/>
    <m/>
    <x v="1"/>
    <x v="3"/>
    <x v="0"/>
    <x v="0"/>
    <x v="2"/>
  </r>
  <r>
    <s v="Singapore"/>
    <x v="3"/>
    <s v="SG1"/>
    <m/>
    <x v="0"/>
    <x v="3"/>
    <x v="4"/>
    <x v="4"/>
    <x v="0"/>
    <x v="0"/>
    <x v="0"/>
    <m/>
    <x v="0"/>
    <x v="0"/>
    <n v="-2.775180744"/>
    <m/>
    <x v="4"/>
    <x v="1"/>
    <x v="0"/>
    <x v="4"/>
    <x v="0"/>
  </r>
  <r>
    <s v="Singapore"/>
    <x v="0"/>
    <s v="SG1"/>
    <m/>
    <x v="5"/>
    <x v="0"/>
    <x v="4"/>
    <x v="3"/>
    <x v="0"/>
    <x v="0"/>
    <x v="0"/>
    <m/>
    <x v="0"/>
    <x v="0"/>
    <n v="3.7389600000000002E-2"/>
    <m/>
    <x v="3"/>
    <x v="2"/>
    <x v="0"/>
    <x v="5"/>
    <x v="2"/>
  </r>
  <r>
    <s v="Singapore"/>
    <x v="3"/>
    <s v="SG1"/>
    <m/>
    <x v="4"/>
    <x v="1"/>
    <x v="2"/>
    <x v="5"/>
    <x v="0"/>
    <x v="0"/>
    <x v="0"/>
    <m/>
    <x v="0"/>
    <x v="0"/>
    <n v="-0.31158000000000002"/>
    <m/>
    <x v="4"/>
    <x v="1"/>
    <x v="0"/>
    <x v="5"/>
    <x v="0"/>
  </r>
  <r>
    <s v="Singapore"/>
    <x v="0"/>
    <s v="SG4"/>
    <m/>
    <x v="1"/>
    <x v="0"/>
    <x v="3"/>
    <x v="2"/>
    <x v="0"/>
    <x v="0"/>
    <x v="0"/>
    <m/>
    <x v="0"/>
    <x v="0"/>
    <n v="0.37389600000000001"/>
    <m/>
    <x v="1"/>
    <x v="2"/>
    <x v="0"/>
    <x v="3"/>
    <x v="2"/>
  </r>
  <r>
    <s v="Singapore"/>
    <x v="5"/>
    <s v="SG1"/>
    <m/>
    <x v="5"/>
    <x v="0"/>
    <x v="0"/>
    <x v="3"/>
    <x v="0"/>
    <x v="0"/>
    <x v="0"/>
    <m/>
    <x v="0"/>
    <x v="0"/>
    <n v="-5.3062073999999999"/>
    <m/>
    <x v="4"/>
    <x v="0"/>
    <x v="0"/>
    <x v="4"/>
    <x v="0"/>
  </r>
  <r>
    <s v="Singapore"/>
    <x v="2"/>
    <s v="SG3"/>
    <m/>
    <x v="3"/>
    <x v="3"/>
    <x v="4"/>
    <x v="4"/>
    <x v="0"/>
    <x v="0"/>
    <x v="0"/>
    <m/>
    <x v="0"/>
    <x v="0"/>
    <n v="-1.3881044790000001"/>
    <m/>
    <x v="0"/>
    <x v="2"/>
    <x v="0"/>
    <x v="2"/>
    <x v="0"/>
  </r>
  <r>
    <s v="Singapore"/>
    <x v="3"/>
    <s v="SG2"/>
    <m/>
    <x v="3"/>
    <x v="1"/>
    <x v="4"/>
    <x v="4"/>
    <x v="0"/>
    <x v="0"/>
    <x v="0"/>
    <m/>
    <x v="0"/>
    <x v="0"/>
    <n v="0.37389600000000001"/>
    <m/>
    <x v="1"/>
    <x v="3"/>
    <x v="0"/>
    <x v="5"/>
    <x v="1"/>
  </r>
  <r>
    <s v="Singapore"/>
    <x v="4"/>
    <s v="SG3"/>
    <m/>
    <x v="5"/>
    <x v="0"/>
    <x v="2"/>
    <x v="0"/>
    <x v="0"/>
    <x v="0"/>
    <x v="0"/>
    <m/>
    <x v="0"/>
    <x v="0"/>
    <n v="1.480005"/>
    <m/>
    <x v="11"/>
    <x v="3"/>
    <x v="0"/>
    <x v="5"/>
    <x v="2"/>
  </r>
  <r>
    <s v="Singapore"/>
    <x v="1"/>
    <s v="SG1"/>
    <m/>
    <x v="3"/>
    <x v="1"/>
    <x v="1"/>
    <x v="0"/>
    <x v="0"/>
    <x v="0"/>
    <x v="0"/>
    <m/>
    <x v="0"/>
    <x v="0"/>
    <n v="-16.656225534000001"/>
    <m/>
    <x v="3"/>
    <x v="1"/>
    <x v="0"/>
    <x v="3"/>
    <x v="0"/>
  </r>
  <r>
    <s v="Singapore"/>
    <x v="1"/>
    <s v="SG2"/>
    <m/>
    <x v="0"/>
    <x v="1"/>
    <x v="1"/>
    <x v="5"/>
    <x v="0"/>
    <x v="0"/>
    <x v="0"/>
    <m/>
    <x v="0"/>
    <x v="0"/>
    <n v="0.22022474400000003"/>
    <m/>
    <x v="7"/>
    <x v="2"/>
    <x v="0"/>
    <x v="5"/>
    <x v="1"/>
  </r>
  <r>
    <s v="Singapore"/>
    <x v="1"/>
    <s v="SG3"/>
    <m/>
    <x v="2"/>
    <x v="0"/>
    <x v="3"/>
    <x v="5"/>
    <x v="0"/>
    <x v="0"/>
    <x v="0"/>
    <m/>
    <x v="0"/>
    <x v="0"/>
    <n v="0.15579000000000001"/>
    <m/>
    <x v="1"/>
    <x v="2"/>
    <x v="0"/>
    <x v="0"/>
    <x v="0"/>
  </r>
  <r>
    <s v="Singapore"/>
    <x v="4"/>
    <s v="SG1"/>
    <m/>
    <x v="4"/>
    <x v="1"/>
    <x v="1"/>
    <x v="4"/>
    <x v="0"/>
    <x v="0"/>
    <x v="0"/>
    <m/>
    <x v="0"/>
    <x v="0"/>
    <n v="-0.69097538699999994"/>
    <m/>
    <x v="8"/>
    <x v="3"/>
    <x v="0"/>
    <x v="5"/>
    <x v="1"/>
  </r>
  <r>
    <s v="Singapore"/>
    <x v="2"/>
    <s v="SG2"/>
    <m/>
    <x v="4"/>
    <x v="2"/>
    <x v="3"/>
    <x v="2"/>
    <x v="0"/>
    <x v="0"/>
    <x v="0"/>
    <m/>
    <x v="0"/>
    <x v="0"/>
    <n v="-9.3474000000000002E-2"/>
    <m/>
    <x v="0"/>
    <x v="3"/>
    <x v="0"/>
    <x v="1"/>
    <x v="1"/>
  </r>
  <r>
    <s v="Singapore"/>
    <x v="1"/>
    <s v="SG3"/>
    <m/>
    <x v="2"/>
    <x v="3"/>
    <x v="0"/>
    <x v="1"/>
    <x v="0"/>
    <x v="0"/>
    <x v="0"/>
    <m/>
    <x v="0"/>
    <x v="0"/>
    <n v="-0.233685"/>
    <m/>
    <x v="0"/>
    <x v="3"/>
    <x v="0"/>
    <x v="2"/>
    <x v="1"/>
  </r>
  <r>
    <s v="Singapore"/>
    <x v="1"/>
    <s v="SG4"/>
    <m/>
    <x v="2"/>
    <x v="1"/>
    <x v="0"/>
    <x v="1"/>
    <x v="0"/>
    <x v="0"/>
    <x v="0"/>
    <m/>
    <x v="0"/>
    <x v="0"/>
    <n v="-0.15189525000000001"/>
    <m/>
    <x v="0"/>
    <x v="3"/>
    <x v="0"/>
    <x v="2"/>
    <x v="0"/>
  </r>
  <r>
    <s v="Singapore"/>
    <x v="0"/>
    <s v="SG4"/>
    <m/>
    <x v="1"/>
    <x v="0"/>
    <x v="2"/>
    <x v="1"/>
    <x v="0"/>
    <x v="0"/>
    <x v="0"/>
    <m/>
    <x v="0"/>
    <x v="0"/>
    <n v="-0.280422"/>
    <m/>
    <x v="0"/>
    <x v="2"/>
    <x v="0"/>
    <x v="4"/>
    <x v="2"/>
  </r>
  <r>
    <s v="Singapore"/>
    <x v="3"/>
    <s v="SG3"/>
    <m/>
    <x v="3"/>
    <x v="0"/>
    <x v="2"/>
    <x v="3"/>
    <x v="0"/>
    <x v="0"/>
    <x v="0"/>
    <m/>
    <x v="0"/>
    <x v="0"/>
    <n v="1.0801232280000002"/>
    <m/>
    <x v="1"/>
    <x v="2"/>
    <x v="0"/>
    <x v="2"/>
    <x v="1"/>
  </r>
  <r>
    <s v="Singapore"/>
    <x v="5"/>
    <s v="SG1"/>
    <m/>
    <x v="5"/>
    <x v="2"/>
    <x v="4"/>
    <x v="4"/>
    <x v="0"/>
    <x v="0"/>
    <x v="0"/>
    <m/>
    <x v="0"/>
    <x v="0"/>
    <n v="-0.12463200000000001"/>
    <m/>
    <x v="4"/>
    <x v="1"/>
    <x v="0"/>
    <x v="2"/>
    <x v="2"/>
  </r>
  <r>
    <s v="Singapore"/>
    <x v="0"/>
    <s v="SG4"/>
    <m/>
    <x v="1"/>
    <x v="0"/>
    <x v="0"/>
    <x v="1"/>
    <x v="0"/>
    <x v="0"/>
    <x v="0"/>
    <m/>
    <x v="0"/>
    <x v="0"/>
    <n v="-2.835378"/>
    <m/>
    <x v="4"/>
    <x v="0"/>
    <x v="0"/>
    <x v="0"/>
    <x v="2"/>
  </r>
  <r>
    <s v="Singapore"/>
    <x v="5"/>
    <s v="SG4"/>
    <m/>
    <x v="1"/>
    <x v="2"/>
    <x v="3"/>
    <x v="2"/>
    <x v="0"/>
    <x v="0"/>
    <x v="0"/>
    <m/>
    <x v="0"/>
    <x v="0"/>
    <n v="-1.2298529970000001"/>
    <m/>
    <x v="4"/>
    <x v="1"/>
    <x v="0"/>
    <x v="4"/>
    <x v="1"/>
  </r>
  <r>
    <s v="Singapore"/>
    <x v="1"/>
    <s v="SG4"/>
    <m/>
    <x v="5"/>
    <x v="3"/>
    <x v="4"/>
    <x v="2"/>
    <x v="0"/>
    <x v="0"/>
    <x v="0"/>
    <m/>
    <x v="0"/>
    <x v="0"/>
    <n v="-1.6797122010000001"/>
    <m/>
    <x v="4"/>
    <x v="1"/>
    <x v="0"/>
    <x v="4"/>
    <x v="1"/>
  </r>
  <r>
    <s v="Singapore"/>
    <x v="1"/>
    <s v="SG3"/>
    <m/>
    <x v="1"/>
    <x v="0"/>
    <x v="1"/>
    <x v="2"/>
    <x v="0"/>
    <x v="0"/>
    <x v="0"/>
    <m/>
    <x v="0"/>
    <x v="0"/>
    <n v="-0.10905300000000001"/>
    <m/>
    <x v="0"/>
    <x v="1"/>
    <x v="0"/>
    <x v="3"/>
    <x v="2"/>
  </r>
  <r>
    <s v="Singapore"/>
    <x v="4"/>
    <s v="SG3"/>
    <m/>
    <x v="4"/>
    <x v="3"/>
    <x v="3"/>
    <x v="4"/>
    <x v="0"/>
    <x v="0"/>
    <x v="0"/>
    <m/>
    <x v="0"/>
    <x v="0"/>
    <n v="-0.280422"/>
    <m/>
    <x v="0"/>
    <x v="0"/>
    <x v="0"/>
    <x v="2"/>
    <x v="2"/>
  </r>
  <r>
    <s v="Singapore"/>
    <x v="5"/>
    <s v="SG4"/>
    <m/>
    <x v="3"/>
    <x v="0"/>
    <x v="0"/>
    <x v="5"/>
    <x v="0"/>
    <x v="0"/>
    <x v="0"/>
    <m/>
    <x v="0"/>
    <x v="0"/>
    <n v="-0.24926400000000001"/>
    <m/>
    <x v="0"/>
    <x v="1"/>
    <x v="0"/>
    <x v="4"/>
    <x v="1"/>
  </r>
  <r>
    <s v="Singapore"/>
    <x v="5"/>
    <s v="SG1"/>
    <m/>
    <x v="2"/>
    <x v="1"/>
    <x v="2"/>
    <x v="5"/>
    <x v="0"/>
    <x v="0"/>
    <x v="0"/>
    <m/>
    <x v="0"/>
    <x v="0"/>
    <n v="-4.6737000000000001E-2"/>
    <m/>
    <x v="0"/>
    <x v="0"/>
    <x v="0"/>
    <x v="3"/>
    <x v="1"/>
  </r>
  <r>
    <s v="Singapore"/>
    <x v="4"/>
    <s v="SG3"/>
    <m/>
    <x v="3"/>
    <x v="0"/>
    <x v="2"/>
    <x v="0"/>
    <x v="0"/>
    <x v="0"/>
    <x v="0"/>
    <m/>
    <x v="0"/>
    <x v="0"/>
    <n v="1.376638335"/>
    <m/>
    <x v="1"/>
    <x v="2"/>
    <x v="0"/>
    <x v="3"/>
    <x v="0"/>
  </r>
  <r>
    <s v="Singapore"/>
    <x v="2"/>
    <s v="SG2"/>
    <m/>
    <x v="5"/>
    <x v="0"/>
    <x v="3"/>
    <x v="2"/>
    <x v="0"/>
    <x v="0"/>
    <x v="0"/>
    <m/>
    <x v="0"/>
    <x v="0"/>
    <n v="0.31158000000000002"/>
    <m/>
    <x v="0"/>
    <x v="1"/>
    <x v="0"/>
    <x v="0"/>
    <x v="0"/>
  </r>
  <r>
    <s v="Singapore"/>
    <x v="2"/>
    <s v="SG3"/>
    <m/>
    <x v="2"/>
    <x v="4"/>
    <x v="2"/>
    <x v="4"/>
    <x v="0"/>
    <x v="0"/>
    <x v="0"/>
    <m/>
    <x v="0"/>
    <x v="0"/>
    <n v="1.137267"/>
    <m/>
    <x v="1"/>
    <x v="1"/>
    <x v="0"/>
    <x v="5"/>
    <x v="1"/>
  </r>
  <r>
    <s v="Singapore"/>
    <x v="0"/>
    <s v="SG1"/>
    <m/>
    <x v="4"/>
    <x v="3"/>
    <x v="4"/>
    <x v="1"/>
    <x v="0"/>
    <x v="0"/>
    <x v="0"/>
    <m/>
    <x v="0"/>
    <x v="0"/>
    <n v="-0.12463200000000001"/>
    <m/>
    <x v="0"/>
    <x v="1"/>
    <x v="0"/>
    <x v="2"/>
    <x v="2"/>
  </r>
  <r>
    <s v="Singapore"/>
    <x v="3"/>
    <s v="SG2"/>
    <m/>
    <x v="3"/>
    <x v="3"/>
    <x v="1"/>
    <x v="2"/>
    <x v="0"/>
    <x v="0"/>
    <x v="0"/>
    <m/>
    <x v="0"/>
    <x v="0"/>
    <n v="-0.15579000000000001"/>
    <m/>
    <x v="0"/>
    <x v="2"/>
    <x v="0"/>
    <x v="3"/>
    <x v="0"/>
  </r>
  <r>
    <s v="Singapore"/>
    <x v="3"/>
    <s v="SG2"/>
    <m/>
    <x v="0"/>
    <x v="2"/>
    <x v="3"/>
    <x v="5"/>
    <x v="0"/>
    <x v="0"/>
    <x v="0"/>
    <m/>
    <x v="0"/>
    <x v="0"/>
    <n v="10.591850520000001"/>
    <m/>
    <x v="7"/>
    <x v="2"/>
    <x v="0"/>
    <x v="4"/>
    <x v="2"/>
  </r>
  <r>
    <s v="Singapore"/>
    <x v="2"/>
    <s v="SG2"/>
    <m/>
    <x v="0"/>
    <x v="1"/>
    <x v="2"/>
    <x v="5"/>
    <x v="0"/>
    <x v="0"/>
    <x v="0"/>
    <m/>
    <x v="0"/>
    <x v="0"/>
    <n v="0.37389600000000001"/>
    <m/>
    <x v="1"/>
    <x v="3"/>
    <x v="0"/>
    <x v="0"/>
    <x v="1"/>
  </r>
  <r>
    <s v="Singapore"/>
    <x v="3"/>
    <s v="SG3"/>
    <m/>
    <x v="0"/>
    <x v="4"/>
    <x v="1"/>
    <x v="4"/>
    <x v="0"/>
    <x v="0"/>
    <x v="0"/>
    <m/>
    <x v="0"/>
    <x v="0"/>
    <n v="-0.21810600000000002"/>
    <m/>
    <x v="4"/>
    <x v="3"/>
    <x v="0"/>
    <x v="3"/>
    <x v="2"/>
  </r>
  <r>
    <s v="Singapore"/>
    <x v="3"/>
    <s v="SG2"/>
    <m/>
    <x v="5"/>
    <x v="4"/>
    <x v="4"/>
    <x v="0"/>
    <x v="0"/>
    <x v="0"/>
    <x v="0"/>
    <m/>
    <x v="0"/>
    <x v="0"/>
    <n v="0.280422"/>
    <m/>
    <x v="4"/>
    <x v="0"/>
    <x v="0"/>
    <x v="2"/>
    <x v="1"/>
  </r>
  <r>
    <s v="Singapore"/>
    <x v="2"/>
    <s v="SG2"/>
    <m/>
    <x v="5"/>
    <x v="0"/>
    <x v="0"/>
    <x v="2"/>
    <x v="0"/>
    <x v="0"/>
    <x v="0"/>
    <m/>
    <x v="0"/>
    <x v="0"/>
    <n v="-0.126283374"/>
    <m/>
    <x v="4"/>
    <x v="1"/>
    <x v="0"/>
    <x v="3"/>
    <x v="2"/>
  </r>
  <r>
    <s v="Singapore"/>
    <x v="0"/>
    <s v="SG1"/>
    <m/>
    <x v="1"/>
    <x v="4"/>
    <x v="0"/>
    <x v="3"/>
    <x v="0"/>
    <x v="0"/>
    <x v="0"/>
    <m/>
    <x v="0"/>
    <x v="0"/>
    <n v="-23.368500000000001"/>
    <m/>
    <x v="8"/>
    <x v="0"/>
    <x v="0"/>
    <x v="5"/>
    <x v="2"/>
  </r>
  <r>
    <s v="Singapore"/>
    <x v="5"/>
    <s v="SG3"/>
    <m/>
    <x v="2"/>
    <x v="4"/>
    <x v="2"/>
    <x v="2"/>
    <x v="0"/>
    <x v="0"/>
    <x v="0"/>
    <m/>
    <x v="0"/>
    <x v="0"/>
    <n v="-0.12463200000000001"/>
    <m/>
    <x v="4"/>
    <x v="2"/>
    <x v="0"/>
    <x v="5"/>
    <x v="1"/>
  </r>
  <r>
    <s v="Singapore"/>
    <x v="4"/>
    <s v="SG3"/>
    <m/>
    <x v="2"/>
    <x v="0"/>
    <x v="4"/>
    <x v="4"/>
    <x v="0"/>
    <x v="0"/>
    <x v="0"/>
    <m/>
    <x v="0"/>
    <x v="0"/>
    <n v="0.5530545"/>
    <m/>
    <x v="1"/>
    <x v="0"/>
    <x v="0"/>
    <x v="1"/>
    <x v="2"/>
  </r>
  <r>
    <s v="Singapore"/>
    <x v="5"/>
    <s v="SG4"/>
    <m/>
    <x v="3"/>
    <x v="3"/>
    <x v="0"/>
    <x v="2"/>
    <x v="0"/>
    <x v="0"/>
    <x v="0"/>
    <m/>
    <x v="0"/>
    <x v="0"/>
    <n v="-1.5579000000000001E-2"/>
    <m/>
    <x v="0"/>
    <x v="3"/>
    <x v="0"/>
    <x v="5"/>
    <x v="0"/>
  </r>
  <r>
    <s v="Singapore"/>
    <x v="3"/>
    <s v="SG3"/>
    <m/>
    <x v="0"/>
    <x v="1"/>
    <x v="2"/>
    <x v="1"/>
    <x v="0"/>
    <x v="0"/>
    <x v="0"/>
    <m/>
    <x v="0"/>
    <x v="0"/>
    <n v="1.3008465"/>
    <m/>
    <x v="1"/>
    <x v="2"/>
    <x v="0"/>
    <x v="1"/>
    <x v="2"/>
  </r>
  <r>
    <s v="Singapore"/>
    <x v="2"/>
    <s v="SG4"/>
    <m/>
    <x v="3"/>
    <x v="3"/>
    <x v="0"/>
    <x v="0"/>
    <x v="0"/>
    <x v="0"/>
    <x v="0"/>
    <m/>
    <x v="0"/>
    <x v="0"/>
    <n v="0.37389600000000001"/>
    <m/>
    <x v="1"/>
    <x v="0"/>
    <x v="0"/>
    <x v="1"/>
    <x v="2"/>
  </r>
  <r>
    <s v="Singapore"/>
    <x v="0"/>
    <s v="SG2"/>
    <m/>
    <x v="0"/>
    <x v="1"/>
    <x v="2"/>
    <x v="1"/>
    <x v="0"/>
    <x v="0"/>
    <x v="0"/>
    <m/>
    <x v="0"/>
    <x v="0"/>
    <n v="91.946027259000005"/>
    <m/>
    <x v="7"/>
    <x v="3"/>
    <x v="0"/>
    <x v="1"/>
    <x v="2"/>
  </r>
  <r>
    <s v="Singapore"/>
    <x v="5"/>
    <s v="SG3"/>
    <m/>
    <x v="0"/>
    <x v="4"/>
    <x v="0"/>
    <x v="4"/>
    <x v="0"/>
    <x v="0"/>
    <x v="0"/>
    <m/>
    <x v="0"/>
    <x v="0"/>
    <n v="0.15579000000000001"/>
    <m/>
    <x v="1"/>
    <x v="0"/>
    <x v="0"/>
    <x v="3"/>
    <x v="1"/>
  </r>
  <r>
    <s v="Singapore"/>
    <x v="2"/>
    <s v="SG4"/>
    <m/>
    <x v="5"/>
    <x v="3"/>
    <x v="2"/>
    <x v="4"/>
    <x v="0"/>
    <x v="0"/>
    <x v="0"/>
    <m/>
    <x v="0"/>
    <x v="0"/>
    <n v="-0.1168425"/>
    <m/>
    <x v="0"/>
    <x v="1"/>
    <x v="0"/>
    <x v="0"/>
    <x v="2"/>
  </r>
  <r>
    <s v="Singapore"/>
    <x v="1"/>
    <s v="SG4"/>
    <m/>
    <x v="0"/>
    <x v="0"/>
    <x v="3"/>
    <x v="0"/>
    <x v="0"/>
    <x v="0"/>
    <x v="0"/>
    <m/>
    <x v="0"/>
    <x v="0"/>
    <n v="0.42317237699999999"/>
    <m/>
    <x v="9"/>
    <x v="1"/>
    <x v="0"/>
    <x v="4"/>
    <x v="1"/>
  </r>
  <r>
    <s v="Singapore"/>
    <x v="3"/>
    <s v="SG1"/>
    <m/>
    <x v="4"/>
    <x v="3"/>
    <x v="1"/>
    <x v="2"/>
    <x v="0"/>
    <x v="0"/>
    <x v="0"/>
    <m/>
    <x v="0"/>
    <x v="0"/>
    <n v="0.12463200000000001"/>
    <m/>
    <x v="0"/>
    <x v="1"/>
    <x v="0"/>
    <x v="0"/>
    <x v="0"/>
  </r>
  <r>
    <s v="Singapore"/>
    <x v="5"/>
    <s v="SG1"/>
    <m/>
    <x v="1"/>
    <x v="4"/>
    <x v="2"/>
    <x v="2"/>
    <x v="0"/>
    <x v="0"/>
    <x v="0"/>
    <m/>
    <x v="0"/>
    <x v="0"/>
    <n v="-1.2992886000000001"/>
    <m/>
    <x v="3"/>
    <x v="1"/>
    <x v="0"/>
    <x v="0"/>
    <x v="2"/>
  </r>
  <r>
    <s v="Singapore"/>
    <x v="0"/>
    <s v="SG4"/>
    <m/>
    <x v="1"/>
    <x v="4"/>
    <x v="4"/>
    <x v="5"/>
    <x v="0"/>
    <x v="0"/>
    <x v="0"/>
    <m/>
    <x v="0"/>
    <x v="0"/>
    <n v="-0.12463200000000001"/>
    <m/>
    <x v="4"/>
    <x v="2"/>
    <x v="0"/>
    <x v="2"/>
    <x v="0"/>
  </r>
  <r>
    <s v="Singapore"/>
    <x v="1"/>
    <s v="SG4"/>
    <m/>
    <x v="1"/>
    <x v="4"/>
    <x v="2"/>
    <x v="2"/>
    <x v="0"/>
    <x v="0"/>
    <x v="0"/>
    <m/>
    <x v="0"/>
    <x v="0"/>
    <n v="9.3474000000000004"/>
    <m/>
    <x v="1"/>
    <x v="0"/>
    <x v="0"/>
    <x v="2"/>
    <x v="2"/>
  </r>
  <r>
    <s v="Singapore"/>
    <x v="5"/>
    <s v="SG1"/>
    <m/>
    <x v="5"/>
    <x v="3"/>
    <x v="2"/>
    <x v="0"/>
    <x v="0"/>
    <x v="0"/>
    <x v="0"/>
    <m/>
    <x v="0"/>
    <x v="0"/>
    <n v="1.2307410000000001"/>
    <m/>
    <x v="1"/>
    <x v="3"/>
    <x v="0"/>
    <x v="2"/>
    <x v="2"/>
  </r>
  <r>
    <s v="Singapore"/>
    <x v="2"/>
    <s v="SG1"/>
    <m/>
    <x v="5"/>
    <x v="1"/>
    <x v="1"/>
    <x v="4"/>
    <x v="0"/>
    <x v="0"/>
    <x v="0"/>
    <m/>
    <x v="0"/>
    <x v="0"/>
    <n v="-4.6737000000000001E-2"/>
    <m/>
    <x v="0"/>
    <x v="1"/>
    <x v="0"/>
    <x v="0"/>
    <x v="2"/>
  </r>
  <r>
    <s v="Singapore"/>
    <x v="4"/>
    <s v="SG2"/>
    <m/>
    <x v="0"/>
    <x v="3"/>
    <x v="3"/>
    <x v="4"/>
    <x v="0"/>
    <x v="0"/>
    <x v="0"/>
    <m/>
    <x v="0"/>
    <x v="0"/>
    <n v="-0.30690630000000002"/>
    <m/>
    <x v="0"/>
    <x v="2"/>
    <x v="0"/>
    <x v="2"/>
    <x v="1"/>
  </r>
  <r>
    <s v="Singapore"/>
    <x v="4"/>
    <s v="SG2"/>
    <m/>
    <x v="3"/>
    <x v="3"/>
    <x v="4"/>
    <x v="4"/>
    <x v="0"/>
    <x v="0"/>
    <x v="0"/>
    <m/>
    <x v="0"/>
    <x v="0"/>
    <n v="0.12463200000000001"/>
    <m/>
    <x v="6"/>
    <x v="2"/>
    <x v="0"/>
    <x v="4"/>
    <x v="2"/>
  </r>
  <r>
    <s v="Singapore"/>
    <x v="5"/>
    <s v="SG2"/>
    <m/>
    <x v="0"/>
    <x v="4"/>
    <x v="0"/>
    <x v="5"/>
    <x v="0"/>
    <x v="0"/>
    <x v="0"/>
    <m/>
    <x v="0"/>
    <x v="0"/>
    <n v="-0.37389600000000001"/>
    <m/>
    <x v="4"/>
    <x v="2"/>
    <x v="0"/>
    <x v="2"/>
    <x v="1"/>
  </r>
  <r>
    <s v="Singapore"/>
    <x v="1"/>
    <s v="SG3"/>
    <m/>
    <x v="5"/>
    <x v="0"/>
    <x v="2"/>
    <x v="5"/>
    <x v="0"/>
    <x v="0"/>
    <x v="0"/>
    <m/>
    <x v="0"/>
    <x v="0"/>
    <n v="-15.579000000000001"/>
    <m/>
    <x v="7"/>
    <x v="3"/>
    <x v="0"/>
    <x v="1"/>
    <x v="0"/>
  </r>
  <r>
    <s v="Singapore"/>
    <x v="0"/>
    <s v="SG1"/>
    <m/>
    <x v="0"/>
    <x v="0"/>
    <x v="3"/>
    <x v="1"/>
    <x v="0"/>
    <x v="0"/>
    <x v="0"/>
    <m/>
    <x v="0"/>
    <x v="0"/>
    <n v="-0.264843"/>
    <m/>
    <x v="0"/>
    <x v="3"/>
    <x v="0"/>
    <x v="1"/>
    <x v="1"/>
  </r>
  <r>
    <s v="Singapore"/>
    <x v="2"/>
    <s v="SG3"/>
    <m/>
    <x v="5"/>
    <x v="1"/>
    <x v="0"/>
    <x v="4"/>
    <x v="0"/>
    <x v="0"/>
    <x v="0"/>
    <m/>
    <x v="0"/>
    <x v="0"/>
    <n v="-0.31158000000000002"/>
    <m/>
    <x v="0"/>
    <x v="1"/>
    <x v="0"/>
    <x v="5"/>
    <x v="0"/>
  </r>
  <r>
    <s v="Singapore"/>
    <x v="5"/>
    <s v="SG4"/>
    <m/>
    <x v="4"/>
    <x v="3"/>
    <x v="0"/>
    <x v="4"/>
    <x v="0"/>
    <x v="0"/>
    <x v="0"/>
    <m/>
    <x v="0"/>
    <x v="0"/>
    <n v="-0.93474000000000002"/>
    <m/>
    <x v="4"/>
    <x v="2"/>
    <x v="0"/>
    <x v="0"/>
    <x v="1"/>
  </r>
  <r>
    <s v="Singapore"/>
    <x v="1"/>
    <s v="SG1"/>
    <m/>
    <x v="0"/>
    <x v="2"/>
    <x v="4"/>
    <x v="3"/>
    <x v="0"/>
    <x v="0"/>
    <x v="0"/>
    <m/>
    <x v="0"/>
    <x v="0"/>
    <n v="-4.6737000000000001E-2"/>
    <m/>
    <x v="0"/>
    <x v="2"/>
    <x v="0"/>
    <x v="3"/>
    <x v="1"/>
  </r>
  <r>
    <s v="Singapore"/>
    <x v="5"/>
    <s v="SG4"/>
    <m/>
    <x v="4"/>
    <x v="3"/>
    <x v="2"/>
    <x v="5"/>
    <x v="0"/>
    <x v="0"/>
    <x v="0"/>
    <m/>
    <x v="0"/>
    <x v="0"/>
    <n v="9.3474000000000002E-2"/>
    <m/>
    <x v="0"/>
    <x v="3"/>
    <x v="0"/>
    <x v="2"/>
    <x v="1"/>
  </r>
  <r>
    <s v="Singapore"/>
    <x v="1"/>
    <s v="SG1"/>
    <m/>
    <x v="2"/>
    <x v="1"/>
    <x v="3"/>
    <x v="2"/>
    <x v="0"/>
    <x v="0"/>
    <x v="0"/>
    <m/>
    <x v="0"/>
    <x v="0"/>
    <n v="-1.9161858420000002"/>
    <m/>
    <x v="4"/>
    <x v="3"/>
    <x v="0"/>
    <x v="0"/>
    <x v="0"/>
  </r>
  <r>
    <s v="Singapore"/>
    <x v="5"/>
    <s v="SG2"/>
    <m/>
    <x v="2"/>
    <x v="0"/>
    <x v="3"/>
    <x v="2"/>
    <x v="0"/>
    <x v="0"/>
    <x v="0"/>
    <m/>
    <x v="0"/>
    <x v="0"/>
    <n v="-0.31158000000000002"/>
    <m/>
    <x v="4"/>
    <x v="3"/>
    <x v="0"/>
    <x v="0"/>
    <x v="1"/>
  </r>
  <r>
    <s v="Singapore"/>
    <x v="2"/>
    <s v="SG2"/>
    <m/>
    <x v="4"/>
    <x v="2"/>
    <x v="0"/>
    <x v="4"/>
    <x v="0"/>
    <x v="0"/>
    <x v="0"/>
    <m/>
    <x v="0"/>
    <x v="0"/>
    <n v="2.6339415300000004"/>
    <m/>
    <x v="8"/>
    <x v="3"/>
    <x v="0"/>
    <x v="5"/>
    <x v="2"/>
  </r>
  <r>
    <s v="Singapore"/>
    <x v="2"/>
    <s v="SG1"/>
    <m/>
    <x v="4"/>
    <x v="4"/>
    <x v="4"/>
    <x v="0"/>
    <x v="0"/>
    <x v="0"/>
    <x v="0"/>
    <m/>
    <x v="0"/>
    <x v="0"/>
    <n v="4.855210929000001"/>
    <m/>
    <x v="1"/>
    <x v="1"/>
    <x v="0"/>
    <x v="4"/>
    <x v="1"/>
  </r>
  <r>
    <s v="Singapore"/>
    <x v="2"/>
    <s v="SG2"/>
    <m/>
    <x v="2"/>
    <x v="2"/>
    <x v="1"/>
    <x v="3"/>
    <x v="0"/>
    <x v="0"/>
    <x v="0"/>
    <m/>
    <x v="0"/>
    <x v="0"/>
    <n v="-1.2463200000000001"/>
    <m/>
    <x v="4"/>
    <x v="2"/>
    <x v="0"/>
    <x v="5"/>
    <x v="0"/>
  </r>
  <r>
    <s v="Singapore"/>
    <x v="2"/>
    <s v="SG2"/>
    <m/>
    <x v="1"/>
    <x v="0"/>
    <x v="2"/>
    <x v="5"/>
    <x v="0"/>
    <x v="0"/>
    <x v="0"/>
    <m/>
    <x v="0"/>
    <x v="0"/>
    <n v="-0.37389600000000001"/>
    <m/>
    <x v="4"/>
    <x v="0"/>
    <x v="0"/>
    <x v="3"/>
    <x v="0"/>
  </r>
  <r>
    <s v="Singapore"/>
    <x v="1"/>
    <s v="SG3"/>
    <m/>
    <x v="0"/>
    <x v="3"/>
    <x v="2"/>
    <x v="1"/>
    <x v="0"/>
    <x v="0"/>
    <x v="0"/>
    <m/>
    <x v="0"/>
    <x v="0"/>
    <n v="-0.15579000000000001"/>
    <m/>
    <x v="0"/>
    <x v="0"/>
    <x v="0"/>
    <x v="2"/>
    <x v="0"/>
  </r>
  <r>
    <s v="Singapore"/>
    <x v="4"/>
    <s v="SG1"/>
    <m/>
    <x v="1"/>
    <x v="1"/>
    <x v="0"/>
    <x v="2"/>
    <x v="0"/>
    <x v="0"/>
    <x v="0"/>
    <m/>
    <x v="0"/>
    <x v="0"/>
    <n v="1.9126338300000001"/>
    <m/>
    <x v="8"/>
    <x v="2"/>
    <x v="0"/>
    <x v="5"/>
    <x v="0"/>
  </r>
  <r>
    <s v="Singapore"/>
    <x v="4"/>
    <s v="SG1"/>
    <m/>
    <x v="0"/>
    <x v="0"/>
    <x v="4"/>
    <x v="4"/>
    <x v="0"/>
    <x v="0"/>
    <x v="0"/>
    <m/>
    <x v="0"/>
    <x v="0"/>
    <n v="-7.7895000000000006E-2"/>
    <m/>
    <x v="0"/>
    <x v="0"/>
    <x v="0"/>
    <x v="3"/>
    <x v="2"/>
  </r>
  <r>
    <s v="Singapore"/>
    <x v="2"/>
    <s v="SG4"/>
    <m/>
    <x v="5"/>
    <x v="2"/>
    <x v="1"/>
    <x v="0"/>
    <x v="0"/>
    <x v="0"/>
    <x v="0"/>
    <m/>
    <x v="0"/>
    <x v="0"/>
    <n v="1.1995830000000001"/>
    <m/>
    <x v="8"/>
    <x v="2"/>
    <x v="0"/>
    <x v="1"/>
    <x v="0"/>
  </r>
  <r>
    <s v="Singapore"/>
    <x v="3"/>
    <s v="SG3"/>
    <m/>
    <x v="5"/>
    <x v="1"/>
    <x v="2"/>
    <x v="4"/>
    <x v="0"/>
    <x v="0"/>
    <x v="0"/>
    <m/>
    <x v="0"/>
    <x v="0"/>
    <n v="-7.1209739520000008"/>
    <m/>
    <x v="9"/>
    <x v="3"/>
    <x v="0"/>
    <x v="5"/>
    <x v="1"/>
  </r>
  <r>
    <s v="Singapore"/>
    <x v="4"/>
    <s v="SG3"/>
    <m/>
    <x v="1"/>
    <x v="1"/>
    <x v="0"/>
    <x v="3"/>
    <x v="0"/>
    <x v="0"/>
    <x v="0"/>
    <m/>
    <x v="0"/>
    <x v="0"/>
    <n v="0.32419899000000002"/>
    <m/>
    <x v="0"/>
    <x v="1"/>
    <x v="0"/>
    <x v="1"/>
    <x v="0"/>
  </r>
  <r>
    <s v="Singapore"/>
    <x v="0"/>
    <s v="SG2"/>
    <m/>
    <x v="3"/>
    <x v="4"/>
    <x v="0"/>
    <x v="3"/>
    <x v="0"/>
    <x v="0"/>
    <x v="0"/>
    <m/>
    <x v="0"/>
    <x v="0"/>
    <n v="-0.14055373800000001"/>
    <m/>
    <x v="3"/>
    <x v="1"/>
    <x v="0"/>
    <x v="4"/>
    <x v="2"/>
  </r>
  <r>
    <s v="Singapore"/>
    <x v="0"/>
    <s v="SG1"/>
    <m/>
    <x v="1"/>
    <x v="4"/>
    <x v="0"/>
    <x v="0"/>
    <x v="0"/>
    <x v="0"/>
    <x v="0"/>
    <m/>
    <x v="0"/>
    <x v="0"/>
    <n v="-0.233685"/>
    <m/>
    <x v="0"/>
    <x v="2"/>
    <x v="0"/>
    <x v="3"/>
    <x v="0"/>
  </r>
  <r>
    <s v="Singapore"/>
    <x v="0"/>
    <s v="SG3"/>
    <m/>
    <x v="2"/>
    <x v="2"/>
    <x v="4"/>
    <x v="2"/>
    <x v="0"/>
    <x v="0"/>
    <x v="0"/>
    <m/>
    <x v="0"/>
    <x v="0"/>
    <n v="-4.6737000000000001E-2"/>
    <m/>
    <x v="0"/>
    <x v="0"/>
    <x v="0"/>
    <x v="0"/>
    <x v="2"/>
  </r>
  <r>
    <s v="Singapore"/>
    <x v="3"/>
    <s v="SG4"/>
    <m/>
    <x v="0"/>
    <x v="4"/>
    <x v="2"/>
    <x v="0"/>
    <x v="0"/>
    <x v="0"/>
    <x v="0"/>
    <m/>
    <x v="0"/>
    <x v="0"/>
    <n v="0.15579000000000001"/>
    <m/>
    <x v="8"/>
    <x v="0"/>
    <x v="0"/>
    <x v="0"/>
    <x v="1"/>
  </r>
  <r>
    <s v="Singapore"/>
    <x v="1"/>
    <s v="SG2"/>
    <m/>
    <x v="2"/>
    <x v="3"/>
    <x v="2"/>
    <x v="0"/>
    <x v="0"/>
    <x v="0"/>
    <x v="0"/>
    <m/>
    <x v="0"/>
    <x v="0"/>
    <n v="0.74467620000000001"/>
    <m/>
    <x v="1"/>
    <x v="1"/>
    <x v="0"/>
    <x v="2"/>
    <x v="0"/>
  </r>
  <r>
    <s v="Singapore"/>
    <x v="2"/>
    <s v="SG4"/>
    <m/>
    <x v="5"/>
    <x v="0"/>
    <x v="4"/>
    <x v="2"/>
    <x v="0"/>
    <x v="0"/>
    <x v="0"/>
    <m/>
    <x v="0"/>
    <x v="0"/>
    <n v="-0.1324215"/>
    <m/>
    <x v="4"/>
    <x v="3"/>
    <x v="0"/>
    <x v="1"/>
    <x v="0"/>
  </r>
  <r>
    <s v="Singapore"/>
    <x v="3"/>
    <s v="SG3"/>
    <m/>
    <x v="4"/>
    <x v="1"/>
    <x v="0"/>
    <x v="5"/>
    <x v="0"/>
    <x v="0"/>
    <x v="0"/>
    <m/>
    <x v="0"/>
    <x v="0"/>
    <n v="-7.0105500000000001E-2"/>
    <m/>
    <x v="4"/>
    <x v="2"/>
    <x v="0"/>
    <x v="3"/>
    <x v="0"/>
  </r>
  <r>
    <s v="Singapore"/>
    <x v="3"/>
    <s v="SG4"/>
    <m/>
    <x v="3"/>
    <x v="2"/>
    <x v="1"/>
    <x v="1"/>
    <x v="0"/>
    <x v="0"/>
    <x v="0"/>
    <m/>
    <x v="0"/>
    <x v="0"/>
    <n v="-7.7895000000000004E-3"/>
    <m/>
    <x v="0"/>
    <x v="0"/>
    <x v="0"/>
    <x v="3"/>
    <x v="0"/>
  </r>
  <r>
    <s v="Singapore"/>
    <x v="1"/>
    <s v="SG4"/>
    <m/>
    <x v="1"/>
    <x v="3"/>
    <x v="3"/>
    <x v="4"/>
    <x v="0"/>
    <x v="0"/>
    <x v="0"/>
    <m/>
    <x v="0"/>
    <x v="0"/>
    <n v="-9.3474000000000004"/>
    <m/>
    <x v="4"/>
    <x v="3"/>
    <x v="0"/>
    <x v="3"/>
    <x v="2"/>
  </r>
  <r>
    <s v="Singapore"/>
    <x v="0"/>
    <s v="SG4"/>
    <m/>
    <x v="4"/>
    <x v="4"/>
    <x v="3"/>
    <x v="2"/>
    <x v="0"/>
    <x v="0"/>
    <x v="0"/>
    <m/>
    <x v="0"/>
    <x v="0"/>
    <n v="5.6084399999999999"/>
    <m/>
    <x v="7"/>
    <x v="0"/>
    <x v="0"/>
    <x v="3"/>
    <x v="2"/>
  </r>
  <r>
    <s v="Singapore"/>
    <x v="1"/>
    <s v="SG1"/>
    <m/>
    <x v="3"/>
    <x v="2"/>
    <x v="1"/>
    <x v="3"/>
    <x v="0"/>
    <x v="0"/>
    <x v="0"/>
    <m/>
    <x v="0"/>
    <x v="0"/>
    <n v="-0.81010800000000005"/>
    <m/>
    <x v="4"/>
    <x v="1"/>
    <x v="0"/>
    <x v="0"/>
    <x v="1"/>
  </r>
  <r>
    <s v="Singapore"/>
    <x v="2"/>
    <s v="SG2"/>
    <m/>
    <x v="4"/>
    <x v="1"/>
    <x v="2"/>
    <x v="3"/>
    <x v="0"/>
    <x v="0"/>
    <x v="0"/>
    <m/>
    <x v="0"/>
    <x v="0"/>
    <n v="0.77895000000000003"/>
    <m/>
    <x v="4"/>
    <x v="2"/>
    <x v="0"/>
    <x v="4"/>
    <x v="1"/>
  </r>
  <r>
    <s v="Singapore"/>
    <x v="0"/>
    <s v="SG3"/>
    <m/>
    <x v="0"/>
    <x v="3"/>
    <x v="0"/>
    <x v="4"/>
    <x v="0"/>
    <x v="0"/>
    <x v="0"/>
    <m/>
    <x v="0"/>
    <x v="0"/>
    <n v="-0.37389600000000001"/>
    <m/>
    <x v="4"/>
    <x v="1"/>
    <x v="0"/>
    <x v="2"/>
    <x v="1"/>
  </r>
  <r>
    <s v="Singapore"/>
    <x v="2"/>
    <s v="SG4"/>
    <m/>
    <x v="2"/>
    <x v="1"/>
    <x v="3"/>
    <x v="5"/>
    <x v="0"/>
    <x v="0"/>
    <x v="0"/>
    <m/>
    <x v="0"/>
    <x v="0"/>
    <n v="-3.5644752000000004"/>
    <m/>
    <x v="3"/>
    <x v="3"/>
    <x v="0"/>
    <x v="0"/>
    <x v="1"/>
  </r>
  <r>
    <s v="Singapore"/>
    <x v="4"/>
    <s v="SG2"/>
    <m/>
    <x v="4"/>
    <x v="2"/>
    <x v="3"/>
    <x v="0"/>
    <x v="0"/>
    <x v="0"/>
    <x v="0"/>
    <m/>
    <x v="0"/>
    <x v="0"/>
    <n v="-0.82958175000000001"/>
    <m/>
    <x v="0"/>
    <x v="3"/>
    <x v="0"/>
    <x v="4"/>
    <x v="0"/>
  </r>
  <r>
    <s v="Singapore"/>
    <x v="1"/>
    <s v="SG1"/>
    <m/>
    <x v="5"/>
    <x v="3"/>
    <x v="4"/>
    <x v="2"/>
    <x v="0"/>
    <x v="0"/>
    <x v="0"/>
    <m/>
    <x v="0"/>
    <x v="0"/>
    <n v="-0.37389600000000001"/>
    <m/>
    <x v="0"/>
    <x v="1"/>
    <x v="0"/>
    <x v="5"/>
    <x v="1"/>
  </r>
  <r>
    <s v="Singapore"/>
    <x v="4"/>
    <s v="SG4"/>
    <m/>
    <x v="3"/>
    <x v="0"/>
    <x v="1"/>
    <x v="3"/>
    <x v="0"/>
    <x v="0"/>
    <x v="0"/>
    <m/>
    <x v="0"/>
    <x v="0"/>
    <n v="-2.33685E-2"/>
    <m/>
    <x v="0"/>
    <x v="2"/>
    <x v="0"/>
    <x v="5"/>
    <x v="1"/>
  </r>
  <r>
    <s v="Singapore"/>
    <x v="4"/>
    <s v="SG4"/>
    <m/>
    <x v="0"/>
    <x v="0"/>
    <x v="3"/>
    <x v="5"/>
    <x v="0"/>
    <x v="0"/>
    <x v="0"/>
    <m/>
    <x v="0"/>
    <x v="0"/>
    <n v="-1.0422351000000001"/>
    <m/>
    <x v="4"/>
    <x v="0"/>
    <x v="0"/>
    <x v="5"/>
    <x v="0"/>
  </r>
  <r>
    <s v="Singapore"/>
    <x v="1"/>
    <s v="SG2"/>
    <m/>
    <x v="5"/>
    <x v="1"/>
    <x v="1"/>
    <x v="3"/>
    <x v="0"/>
    <x v="0"/>
    <x v="0"/>
    <m/>
    <x v="0"/>
    <x v="0"/>
    <n v="-2.5892298"/>
    <m/>
    <x v="3"/>
    <x v="3"/>
    <x v="0"/>
    <x v="5"/>
    <x v="1"/>
  </r>
  <r>
    <s v="Singapore"/>
    <x v="2"/>
    <s v="SG4"/>
    <m/>
    <x v="3"/>
    <x v="4"/>
    <x v="2"/>
    <x v="5"/>
    <x v="0"/>
    <x v="0"/>
    <x v="0"/>
    <m/>
    <x v="0"/>
    <x v="0"/>
    <n v="1.277119683"/>
    <m/>
    <x v="1"/>
    <x v="0"/>
    <x v="0"/>
    <x v="0"/>
    <x v="2"/>
  </r>
  <r>
    <s v="Singapore"/>
    <x v="0"/>
    <s v="SG2"/>
    <m/>
    <x v="3"/>
    <x v="4"/>
    <x v="1"/>
    <x v="3"/>
    <x v="0"/>
    <x v="0"/>
    <x v="0"/>
    <m/>
    <x v="0"/>
    <x v="0"/>
    <n v="-92.861153298000005"/>
    <m/>
    <x v="1"/>
    <x v="3"/>
    <x v="0"/>
    <x v="3"/>
    <x v="2"/>
  </r>
  <r>
    <s v="Singapore"/>
    <x v="2"/>
    <s v="SG2"/>
    <m/>
    <x v="5"/>
    <x v="4"/>
    <x v="0"/>
    <x v="1"/>
    <x v="0"/>
    <x v="0"/>
    <x v="0"/>
    <m/>
    <x v="0"/>
    <x v="0"/>
    <n v="-0.35161803000000003"/>
    <m/>
    <x v="3"/>
    <x v="0"/>
    <x v="0"/>
    <x v="3"/>
    <x v="2"/>
  </r>
  <r>
    <s v="Singapore"/>
    <x v="2"/>
    <s v="SG4"/>
    <m/>
    <x v="4"/>
    <x v="2"/>
    <x v="2"/>
    <x v="4"/>
    <x v="0"/>
    <x v="0"/>
    <x v="0"/>
    <m/>
    <x v="0"/>
    <x v="0"/>
    <n v="-0.70105499999999998"/>
    <m/>
    <x v="4"/>
    <x v="3"/>
    <x v="0"/>
    <x v="4"/>
    <x v="2"/>
  </r>
  <r>
    <s v="Singapore"/>
    <x v="1"/>
    <s v="SG2"/>
    <m/>
    <x v="3"/>
    <x v="0"/>
    <x v="2"/>
    <x v="5"/>
    <x v="0"/>
    <x v="0"/>
    <x v="0"/>
    <m/>
    <x v="0"/>
    <x v="0"/>
    <n v="-0.186948"/>
    <m/>
    <x v="0"/>
    <x v="2"/>
    <x v="0"/>
    <x v="0"/>
    <x v="1"/>
  </r>
  <r>
    <s v="Singapore"/>
    <x v="0"/>
    <s v="SG3"/>
    <m/>
    <x v="5"/>
    <x v="2"/>
    <x v="2"/>
    <x v="4"/>
    <x v="0"/>
    <x v="0"/>
    <x v="0"/>
    <m/>
    <x v="0"/>
    <x v="0"/>
    <n v="1.251492228"/>
    <m/>
    <x v="1"/>
    <x v="1"/>
    <x v="0"/>
    <x v="4"/>
    <x v="1"/>
  </r>
  <r>
    <s v="Singapore"/>
    <x v="4"/>
    <s v="SG1"/>
    <m/>
    <x v="1"/>
    <x v="3"/>
    <x v="2"/>
    <x v="3"/>
    <x v="0"/>
    <x v="0"/>
    <x v="0"/>
    <m/>
    <x v="0"/>
    <x v="0"/>
    <n v="-0.38947500000000002"/>
    <m/>
    <x v="0"/>
    <x v="1"/>
    <x v="0"/>
    <x v="0"/>
    <x v="1"/>
  </r>
  <r>
    <s v="Singapore"/>
    <x v="4"/>
    <s v="SG2"/>
    <m/>
    <x v="0"/>
    <x v="1"/>
    <x v="2"/>
    <x v="2"/>
    <x v="0"/>
    <x v="0"/>
    <x v="0"/>
    <m/>
    <x v="0"/>
    <x v="0"/>
    <n v="5.428969920000001"/>
    <m/>
    <x v="9"/>
    <x v="0"/>
    <x v="0"/>
    <x v="4"/>
    <x v="1"/>
  </r>
  <r>
    <s v="Singapore"/>
    <x v="3"/>
    <s v="SG1"/>
    <m/>
    <x v="5"/>
    <x v="1"/>
    <x v="3"/>
    <x v="4"/>
    <x v="0"/>
    <x v="0"/>
    <x v="0"/>
    <m/>
    <x v="0"/>
    <x v="0"/>
    <n v="-0.12463200000000001"/>
    <m/>
    <x v="4"/>
    <x v="3"/>
    <x v="0"/>
    <x v="1"/>
    <x v="2"/>
  </r>
  <r>
    <s v="Singapore"/>
    <x v="2"/>
    <s v="SG1"/>
    <m/>
    <x v="5"/>
    <x v="2"/>
    <x v="1"/>
    <x v="5"/>
    <x v="0"/>
    <x v="0"/>
    <x v="0"/>
    <m/>
    <x v="0"/>
    <x v="0"/>
    <n v="9.4694303069999997"/>
    <m/>
    <x v="9"/>
    <x v="3"/>
    <x v="0"/>
    <x v="5"/>
    <x v="2"/>
  </r>
  <r>
    <s v="Singapore"/>
    <x v="0"/>
    <s v="SG4"/>
    <m/>
    <x v="3"/>
    <x v="2"/>
    <x v="1"/>
    <x v="0"/>
    <x v="0"/>
    <x v="0"/>
    <x v="0"/>
    <m/>
    <x v="0"/>
    <x v="0"/>
    <n v="-0.15579000000000001"/>
    <m/>
    <x v="0"/>
    <x v="0"/>
    <x v="0"/>
    <x v="0"/>
    <x v="0"/>
  </r>
  <r>
    <s v="Singapore"/>
    <x v="1"/>
    <s v="SG2"/>
    <m/>
    <x v="5"/>
    <x v="3"/>
    <x v="3"/>
    <x v="2"/>
    <x v="0"/>
    <x v="0"/>
    <x v="0"/>
    <m/>
    <x v="0"/>
    <x v="0"/>
    <n v="1.1917935000000002"/>
    <m/>
    <x v="0"/>
    <x v="2"/>
    <x v="0"/>
    <x v="2"/>
    <x v="1"/>
  </r>
  <r>
    <s v="Singapore"/>
    <x v="1"/>
    <s v="SG3"/>
    <m/>
    <x v="2"/>
    <x v="2"/>
    <x v="3"/>
    <x v="5"/>
    <x v="0"/>
    <x v="0"/>
    <x v="0"/>
    <m/>
    <x v="0"/>
    <x v="0"/>
    <n v="0.1838322"/>
    <m/>
    <x v="4"/>
    <x v="2"/>
    <x v="0"/>
    <x v="0"/>
    <x v="0"/>
  </r>
  <r>
    <s v="Singapore"/>
    <x v="4"/>
    <s v="SG3"/>
    <m/>
    <x v="0"/>
    <x v="0"/>
    <x v="2"/>
    <x v="0"/>
    <x v="0"/>
    <x v="0"/>
    <x v="0"/>
    <m/>
    <x v="0"/>
    <x v="0"/>
    <n v="-3.7140336"/>
    <m/>
    <x v="4"/>
    <x v="2"/>
    <x v="0"/>
    <x v="0"/>
    <x v="1"/>
  </r>
  <r>
    <s v="Singapore"/>
    <x v="5"/>
    <s v="SG3"/>
    <m/>
    <x v="1"/>
    <x v="1"/>
    <x v="0"/>
    <x v="1"/>
    <x v="0"/>
    <x v="0"/>
    <x v="0"/>
    <m/>
    <x v="0"/>
    <x v="0"/>
    <n v="-6.0306309000000002"/>
    <m/>
    <x v="4"/>
    <x v="3"/>
    <x v="0"/>
    <x v="0"/>
    <x v="2"/>
  </r>
  <r>
    <s v="Singapore"/>
    <x v="0"/>
    <s v="SG2"/>
    <m/>
    <x v="0"/>
    <x v="1"/>
    <x v="3"/>
    <x v="2"/>
    <x v="0"/>
    <x v="0"/>
    <x v="0"/>
    <m/>
    <x v="0"/>
    <x v="0"/>
    <n v="-23.368500000000001"/>
    <m/>
    <x v="5"/>
    <x v="1"/>
    <x v="0"/>
    <x v="4"/>
    <x v="0"/>
  </r>
  <r>
    <s v="Singapore"/>
    <x v="3"/>
    <s v="SG2"/>
    <m/>
    <x v="0"/>
    <x v="0"/>
    <x v="4"/>
    <x v="4"/>
    <x v="0"/>
    <x v="0"/>
    <x v="0"/>
    <m/>
    <x v="0"/>
    <x v="0"/>
    <n v="-2.8042200000000003E-2"/>
    <m/>
    <x v="3"/>
    <x v="3"/>
    <x v="0"/>
    <x v="1"/>
    <x v="1"/>
  </r>
  <r>
    <s v="Singapore"/>
    <x v="5"/>
    <s v="SG2"/>
    <m/>
    <x v="4"/>
    <x v="0"/>
    <x v="4"/>
    <x v="2"/>
    <x v="0"/>
    <x v="0"/>
    <x v="0"/>
    <m/>
    <x v="0"/>
    <x v="0"/>
    <n v="-2.33685E-2"/>
    <m/>
    <x v="6"/>
    <x v="3"/>
    <x v="0"/>
    <x v="5"/>
    <x v="0"/>
  </r>
  <r>
    <s v="Singapore"/>
    <x v="0"/>
    <s v="SG3"/>
    <m/>
    <x v="3"/>
    <x v="1"/>
    <x v="4"/>
    <x v="4"/>
    <x v="0"/>
    <x v="0"/>
    <x v="0"/>
    <m/>
    <x v="0"/>
    <x v="0"/>
    <n v="4.9073850000000006"/>
    <m/>
    <x v="7"/>
    <x v="1"/>
    <x v="0"/>
    <x v="0"/>
    <x v="2"/>
  </r>
  <r>
    <s v="Singapore"/>
    <x v="5"/>
    <s v="SG1"/>
    <m/>
    <x v="0"/>
    <x v="0"/>
    <x v="4"/>
    <x v="3"/>
    <x v="0"/>
    <x v="0"/>
    <x v="0"/>
    <m/>
    <x v="0"/>
    <x v="0"/>
    <n v="7.7895000000000006E-2"/>
    <m/>
    <x v="4"/>
    <x v="1"/>
    <x v="0"/>
    <x v="3"/>
    <x v="2"/>
  </r>
  <r>
    <s v="Singapore"/>
    <x v="0"/>
    <s v="SG4"/>
    <m/>
    <x v="0"/>
    <x v="1"/>
    <x v="3"/>
    <x v="0"/>
    <x v="0"/>
    <x v="0"/>
    <x v="0"/>
    <m/>
    <x v="0"/>
    <x v="0"/>
    <n v="0.12463200000000001"/>
    <m/>
    <x v="0"/>
    <x v="2"/>
    <x v="0"/>
    <x v="0"/>
    <x v="0"/>
  </r>
  <r>
    <s v="Singapore"/>
    <x v="3"/>
    <s v="SG3"/>
    <m/>
    <x v="1"/>
    <x v="0"/>
    <x v="3"/>
    <x v="1"/>
    <x v="0"/>
    <x v="0"/>
    <x v="0"/>
    <m/>
    <x v="0"/>
    <x v="0"/>
    <n v="-3.1158000000000002E-2"/>
    <m/>
    <x v="0"/>
    <x v="2"/>
    <x v="0"/>
    <x v="2"/>
    <x v="1"/>
  </r>
  <r>
    <s v="Singapore"/>
    <x v="0"/>
    <s v="SG2"/>
    <m/>
    <x v="1"/>
    <x v="4"/>
    <x v="3"/>
    <x v="3"/>
    <x v="0"/>
    <x v="0"/>
    <x v="0"/>
    <m/>
    <x v="0"/>
    <x v="0"/>
    <n v="-0.21810600000000002"/>
    <m/>
    <x v="4"/>
    <x v="3"/>
    <x v="0"/>
    <x v="1"/>
    <x v="2"/>
  </r>
  <r>
    <s v="Singapore"/>
    <x v="3"/>
    <s v="SG4"/>
    <m/>
    <x v="4"/>
    <x v="3"/>
    <x v="3"/>
    <x v="4"/>
    <x v="0"/>
    <x v="0"/>
    <x v="0"/>
    <m/>
    <x v="0"/>
    <x v="0"/>
    <n v="-4.6737000000000001E-2"/>
    <m/>
    <x v="0"/>
    <x v="0"/>
    <x v="0"/>
    <x v="3"/>
    <x v="2"/>
  </r>
  <r>
    <s v="Singapore"/>
    <x v="1"/>
    <s v="SG2"/>
    <m/>
    <x v="4"/>
    <x v="4"/>
    <x v="3"/>
    <x v="1"/>
    <x v="0"/>
    <x v="0"/>
    <x v="0"/>
    <m/>
    <x v="0"/>
    <x v="0"/>
    <n v="-0.38947500000000002"/>
    <m/>
    <x v="0"/>
    <x v="1"/>
    <x v="0"/>
    <x v="4"/>
    <x v="0"/>
  </r>
  <r>
    <s v="Singapore"/>
    <x v="5"/>
    <s v="SG3"/>
    <m/>
    <x v="0"/>
    <x v="4"/>
    <x v="4"/>
    <x v="4"/>
    <x v="0"/>
    <x v="0"/>
    <x v="0"/>
    <m/>
    <x v="0"/>
    <x v="0"/>
    <n v="9.3474000000000002E-2"/>
    <m/>
    <x v="6"/>
    <x v="1"/>
    <x v="0"/>
    <x v="4"/>
    <x v="1"/>
  </r>
  <r>
    <s v="Singapore"/>
    <x v="3"/>
    <s v="SG1"/>
    <m/>
    <x v="3"/>
    <x v="1"/>
    <x v="3"/>
    <x v="4"/>
    <x v="0"/>
    <x v="0"/>
    <x v="0"/>
    <m/>
    <x v="0"/>
    <x v="0"/>
    <n v="-7.7895000000000006E-2"/>
    <m/>
    <x v="0"/>
    <x v="2"/>
    <x v="0"/>
    <x v="2"/>
    <x v="1"/>
  </r>
  <r>
    <s v="Singapore"/>
    <x v="3"/>
    <s v="SG4"/>
    <m/>
    <x v="3"/>
    <x v="1"/>
    <x v="1"/>
    <x v="3"/>
    <x v="0"/>
    <x v="0"/>
    <x v="0"/>
    <m/>
    <x v="0"/>
    <x v="0"/>
    <n v="-2.6484300000000003"/>
    <m/>
    <x v="1"/>
    <x v="3"/>
    <x v="0"/>
    <x v="1"/>
    <x v="2"/>
  </r>
  <r>
    <s v="Singapore"/>
    <x v="5"/>
    <s v="SG4"/>
    <m/>
    <x v="5"/>
    <x v="3"/>
    <x v="1"/>
    <x v="1"/>
    <x v="0"/>
    <x v="0"/>
    <x v="0"/>
    <m/>
    <x v="0"/>
    <x v="0"/>
    <n v="-4.2063300000000003"/>
    <m/>
    <x v="4"/>
    <x v="2"/>
    <x v="0"/>
    <x v="1"/>
    <x v="2"/>
  </r>
  <r>
    <s v="Singapore"/>
    <x v="0"/>
    <s v="SG3"/>
    <m/>
    <x v="2"/>
    <x v="4"/>
    <x v="3"/>
    <x v="5"/>
    <x v="0"/>
    <x v="0"/>
    <x v="0"/>
    <m/>
    <x v="0"/>
    <x v="0"/>
    <n v="-0.32715900000000003"/>
    <m/>
    <x v="0"/>
    <x v="0"/>
    <x v="0"/>
    <x v="4"/>
    <x v="1"/>
  </r>
  <r>
    <s v="Singapore"/>
    <x v="0"/>
    <s v="SG1"/>
    <m/>
    <x v="4"/>
    <x v="1"/>
    <x v="2"/>
    <x v="1"/>
    <x v="0"/>
    <x v="0"/>
    <x v="0"/>
    <m/>
    <x v="0"/>
    <x v="0"/>
    <n v="1.3008465"/>
    <m/>
    <x v="1"/>
    <x v="3"/>
    <x v="0"/>
    <x v="4"/>
    <x v="2"/>
  </r>
  <r>
    <s v="Singapore"/>
    <x v="0"/>
    <s v="SG4"/>
    <m/>
    <x v="3"/>
    <x v="0"/>
    <x v="1"/>
    <x v="4"/>
    <x v="0"/>
    <x v="0"/>
    <x v="0"/>
    <m/>
    <x v="0"/>
    <x v="0"/>
    <n v="-0.64964430000000006"/>
    <m/>
    <x v="3"/>
    <x v="0"/>
    <x v="0"/>
    <x v="2"/>
    <x v="1"/>
  </r>
  <r>
    <s v="Singapore"/>
    <x v="5"/>
    <s v="SG2"/>
    <m/>
    <x v="2"/>
    <x v="4"/>
    <x v="2"/>
    <x v="5"/>
    <x v="0"/>
    <x v="0"/>
    <x v="0"/>
    <m/>
    <x v="0"/>
    <x v="0"/>
    <n v="1.4844450150000001"/>
    <m/>
    <x v="1"/>
    <x v="3"/>
    <x v="0"/>
    <x v="1"/>
    <x v="2"/>
  </r>
  <r>
    <s v="Singapore"/>
    <x v="1"/>
    <s v="SG3"/>
    <m/>
    <x v="2"/>
    <x v="0"/>
    <x v="2"/>
    <x v="1"/>
    <x v="0"/>
    <x v="0"/>
    <x v="0"/>
    <m/>
    <x v="0"/>
    <x v="0"/>
    <n v="2.0252699999999999"/>
    <m/>
    <x v="11"/>
    <x v="1"/>
    <x v="0"/>
    <x v="0"/>
    <x v="0"/>
  </r>
  <r>
    <s v="Singapore"/>
    <x v="5"/>
    <s v="SG4"/>
    <m/>
    <x v="0"/>
    <x v="1"/>
    <x v="3"/>
    <x v="3"/>
    <x v="0"/>
    <x v="0"/>
    <x v="0"/>
    <m/>
    <x v="0"/>
    <x v="0"/>
    <n v="4.5802260000000006"/>
    <m/>
    <x v="1"/>
    <x v="3"/>
    <x v="0"/>
    <x v="1"/>
    <x v="1"/>
  </r>
  <r>
    <s v="Singapore"/>
    <x v="3"/>
    <s v="SG1"/>
    <m/>
    <x v="1"/>
    <x v="3"/>
    <x v="4"/>
    <x v="4"/>
    <x v="0"/>
    <x v="0"/>
    <x v="0"/>
    <m/>
    <x v="0"/>
    <x v="0"/>
    <n v="-2.33685E-2"/>
    <m/>
    <x v="0"/>
    <x v="0"/>
    <x v="0"/>
    <x v="3"/>
    <x v="1"/>
  </r>
  <r>
    <s v="Singapore"/>
    <x v="1"/>
    <s v="SG3"/>
    <m/>
    <x v="5"/>
    <x v="3"/>
    <x v="1"/>
    <x v="3"/>
    <x v="0"/>
    <x v="0"/>
    <x v="0"/>
    <m/>
    <x v="0"/>
    <x v="0"/>
    <n v="0.93474000000000002"/>
    <m/>
    <x v="0"/>
    <x v="2"/>
    <x v="0"/>
    <x v="2"/>
    <x v="0"/>
  </r>
  <r>
    <s v="Singapore"/>
    <x v="5"/>
    <s v="SG4"/>
    <m/>
    <x v="1"/>
    <x v="4"/>
    <x v="0"/>
    <x v="3"/>
    <x v="0"/>
    <x v="0"/>
    <x v="0"/>
    <m/>
    <x v="0"/>
    <x v="0"/>
    <n v="0.37389600000000001"/>
    <m/>
    <x v="1"/>
    <x v="2"/>
    <x v="0"/>
    <x v="0"/>
    <x v="2"/>
  </r>
  <r>
    <s v="Singapore"/>
    <x v="0"/>
    <s v="SG2"/>
    <m/>
    <x v="2"/>
    <x v="2"/>
    <x v="1"/>
    <x v="2"/>
    <x v="0"/>
    <x v="0"/>
    <x v="0"/>
    <m/>
    <x v="0"/>
    <x v="0"/>
    <n v="0.131502339"/>
    <m/>
    <x v="8"/>
    <x v="0"/>
    <x v="0"/>
    <x v="4"/>
    <x v="1"/>
  </r>
  <r>
    <s v="Singapore"/>
    <x v="1"/>
    <s v="SG1"/>
    <m/>
    <x v="0"/>
    <x v="4"/>
    <x v="1"/>
    <x v="0"/>
    <x v="0"/>
    <x v="0"/>
    <x v="0"/>
    <m/>
    <x v="0"/>
    <x v="0"/>
    <n v="-0.15579000000000001"/>
    <m/>
    <x v="4"/>
    <x v="1"/>
    <x v="0"/>
    <x v="0"/>
    <x v="0"/>
  </r>
  <r>
    <s v="Singapore"/>
    <x v="2"/>
    <s v="SG2"/>
    <m/>
    <x v="0"/>
    <x v="4"/>
    <x v="1"/>
    <x v="0"/>
    <x v="0"/>
    <x v="0"/>
    <x v="0"/>
    <m/>
    <x v="0"/>
    <x v="0"/>
    <n v="-9.3474000000000005E-3"/>
    <m/>
    <x v="3"/>
    <x v="1"/>
    <x v="0"/>
    <x v="3"/>
    <x v="0"/>
  </r>
  <r>
    <s v="Singapore"/>
    <x v="4"/>
    <s v="SG1"/>
    <m/>
    <x v="5"/>
    <x v="2"/>
    <x v="4"/>
    <x v="1"/>
    <x v="0"/>
    <x v="0"/>
    <x v="0"/>
    <m/>
    <x v="0"/>
    <x v="0"/>
    <n v="0.1838322"/>
    <m/>
    <x v="4"/>
    <x v="1"/>
    <x v="0"/>
    <x v="4"/>
    <x v="1"/>
  </r>
  <r>
    <s v="Singapore"/>
    <x v="2"/>
    <s v="SG2"/>
    <m/>
    <x v="2"/>
    <x v="3"/>
    <x v="3"/>
    <x v="1"/>
    <x v="0"/>
    <x v="0"/>
    <x v="0"/>
    <m/>
    <x v="0"/>
    <x v="0"/>
    <n v="-3.7389600000000001"/>
    <m/>
    <x v="4"/>
    <x v="0"/>
    <x v="0"/>
    <x v="4"/>
    <x v="2"/>
  </r>
  <r>
    <s v="Singapore"/>
    <x v="3"/>
    <s v="SG2"/>
    <m/>
    <x v="3"/>
    <x v="2"/>
    <x v="2"/>
    <x v="3"/>
    <x v="0"/>
    <x v="0"/>
    <x v="0"/>
    <m/>
    <x v="0"/>
    <x v="0"/>
    <n v="-0.545265"/>
    <m/>
    <x v="0"/>
    <x v="1"/>
    <x v="0"/>
    <x v="1"/>
    <x v="2"/>
  </r>
  <r>
    <s v="Singapore"/>
    <x v="1"/>
    <s v="SG1"/>
    <m/>
    <x v="2"/>
    <x v="4"/>
    <x v="0"/>
    <x v="1"/>
    <x v="0"/>
    <x v="0"/>
    <x v="0"/>
    <m/>
    <x v="0"/>
    <x v="0"/>
    <n v="-7.7895000000000004E-4"/>
    <m/>
    <x v="6"/>
    <x v="0"/>
    <x v="0"/>
    <x v="4"/>
    <x v="0"/>
  </r>
  <r>
    <s v="Singapore"/>
    <x v="1"/>
    <s v="SG4"/>
    <m/>
    <x v="1"/>
    <x v="0"/>
    <x v="0"/>
    <x v="2"/>
    <x v="0"/>
    <x v="0"/>
    <x v="0"/>
    <m/>
    <x v="0"/>
    <x v="0"/>
    <n v="1.270015659"/>
    <m/>
    <x v="1"/>
    <x v="3"/>
    <x v="0"/>
    <x v="3"/>
    <x v="1"/>
  </r>
  <r>
    <s v="Singapore"/>
    <x v="0"/>
    <s v="SG4"/>
    <m/>
    <x v="5"/>
    <x v="3"/>
    <x v="3"/>
    <x v="4"/>
    <x v="0"/>
    <x v="0"/>
    <x v="0"/>
    <m/>
    <x v="0"/>
    <x v="0"/>
    <n v="-0.12463200000000001"/>
    <m/>
    <x v="4"/>
    <x v="1"/>
    <x v="0"/>
    <x v="5"/>
    <x v="0"/>
  </r>
  <r>
    <s v="Singapore"/>
    <x v="4"/>
    <s v="SG3"/>
    <m/>
    <x v="2"/>
    <x v="3"/>
    <x v="1"/>
    <x v="5"/>
    <x v="0"/>
    <x v="0"/>
    <x v="0"/>
    <m/>
    <x v="0"/>
    <x v="0"/>
    <n v="-0.12463200000000001"/>
    <m/>
    <x v="0"/>
    <x v="2"/>
    <x v="0"/>
    <x v="2"/>
    <x v="2"/>
  </r>
  <r>
    <s v="Singapore"/>
    <x v="0"/>
    <s v="SG4"/>
    <m/>
    <x v="1"/>
    <x v="0"/>
    <x v="3"/>
    <x v="4"/>
    <x v="0"/>
    <x v="0"/>
    <x v="0"/>
    <m/>
    <x v="0"/>
    <x v="0"/>
    <n v="-0.12463200000000001"/>
    <m/>
    <x v="4"/>
    <x v="3"/>
    <x v="0"/>
    <x v="0"/>
    <x v="2"/>
  </r>
  <r>
    <s v="Singapore"/>
    <x v="1"/>
    <s v="SG2"/>
    <m/>
    <x v="1"/>
    <x v="0"/>
    <x v="2"/>
    <x v="1"/>
    <x v="0"/>
    <x v="0"/>
    <x v="0"/>
    <m/>
    <x v="0"/>
    <x v="0"/>
    <n v="-25.180197489000001"/>
    <m/>
    <x v="7"/>
    <x v="2"/>
    <x v="0"/>
    <x v="0"/>
    <x v="2"/>
  </r>
  <r>
    <s v="Singapore"/>
    <x v="4"/>
    <s v="SG1"/>
    <m/>
    <x v="5"/>
    <x v="1"/>
    <x v="0"/>
    <x v="1"/>
    <x v="0"/>
    <x v="0"/>
    <x v="0"/>
    <m/>
    <x v="0"/>
    <x v="0"/>
    <n v="-0.545265"/>
    <m/>
    <x v="0"/>
    <x v="2"/>
    <x v="0"/>
    <x v="0"/>
    <x v="1"/>
  </r>
  <r>
    <s v="Singapore"/>
    <x v="1"/>
    <s v="SG3"/>
    <m/>
    <x v="4"/>
    <x v="4"/>
    <x v="2"/>
    <x v="4"/>
    <x v="0"/>
    <x v="0"/>
    <x v="0"/>
    <m/>
    <x v="0"/>
    <x v="0"/>
    <n v="0.37389600000000001"/>
    <m/>
    <x v="1"/>
    <x v="1"/>
    <x v="0"/>
    <x v="2"/>
    <x v="1"/>
  </r>
  <r>
    <s v="Singapore"/>
    <x v="1"/>
    <s v="SG3"/>
    <m/>
    <x v="2"/>
    <x v="3"/>
    <x v="4"/>
    <x v="5"/>
    <x v="0"/>
    <x v="0"/>
    <x v="0"/>
    <m/>
    <x v="0"/>
    <x v="0"/>
    <n v="-27.042028200000001"/>
    <m/>
    <x v="6"/>
    <x v="3"/>
    <x v="0"/>
    <x v="4"/>
    <x v="0"/>
  </r>
  <r>
    <s v="Singapore"/>
    <x v="4"/>
    <s v="SG3"/>
    <m/>
    <x v="3"/>
    <x v="4"/>
    <x v="4"/>
    <x v="4"/>
    <x v="0"/>
    <x v="0"/>
    <x v="0"/>
    <m/>
    <x v="0"/>
    <x v="0"/>
    <n v="1.119538098"/>
    <m/>
    <x v="1"/>
    <x v="1"/>
    <x v="0"/>
    <x v="0"/>
    <x v="1"/>
  </r>
  <r>
    <s v="Singapore"/>
    <x v="4"/>
    <s v="SG3"/>
    <m/>
    <x v="0"/>
    <x v="2"/>
    <x v="1"/>
    <x v="0"/>
    <x v="0"/>
    <x v="0"/>
    <x v="0"/>
    <m/>
    <x v="0"/>
    <x v="0"/>
    <n v="-0.10905300000000001"/>
    <m/>
    <x v="4"/>
    <x v="3"/>
    <x v="0"/>
    <x v="5"/>
    <x v="2"/>
  </r>
  <r>
    <s v="Singapore"/>
    <x v="0"/>
    <s v="SG3"/>
    <m/>
    <x v="0"/>
    <x v="0"/>
    <x v="1"/>
    <x v="5"/>
    <x v="0"/>
    <x v="0"/>
    <x v="0"/>
    <m/>
    <x v="0"/>
    <x v="0"/>
    <n v="-0.77895000000000003"/>
    <m/>
    <x v="4"/>
    <x v="3"/>
    <x v="0"/>
    <x v="2"/>
    <x v="2"/>
  </r>
  <r>
    <s v="Singapore"/>
    <x v="5"/>
    <s v="SG2"/>
    <m/>
    <x v="3"/>
    <x v="2"/>
    <x v="1"/>
    <x v="1"/>
    <x v="0"/>
    <x v="0"/>
    <x v="0"/>
    <m/>
    <x v="0"/>
    <x v="0"/>
    <n v="1.5423210000000001"/>
    <m/>
    <x v="1"/>
    <x v="1"/>
    <x v="0"/>
    <x v="0"/>
    <x v="1"/>
  </r>
  <r>
    <s v="Singapore"/>
    <x v="2"/>
    <s v="SG3"/>
    <m/>
    <x v="3"/>
    <x v="1"/>
    <x v="2"/>
    <x v="0"/>
    <x v="0"/>
    <x v="0"/>
    <x v="0"/>
    <m/>
    <x v="0"/>
    <x v="0"/>
    <n v="444.24115175700007"/>
    <m/>
    <x v="1"/>
    <x v="0"/>
    <x v="0"/>
    <x v="1"/>
    <x v="2"/>
  </r>
  <r>
    <s v="Singapore"/>
    <x v="1"/>
    <s v="SG2"/>
    <m/>
    <x v="1"/>
    <x v="3"/>
    <x v="1"/>
    <x v="4"/>
    <x v="0"/>
    <x v="0"/>
    <x v="0"/>
    <m/>
    <x v="0"/>
    <x v="0"/>
    <n v="4.6737000000000001E-2"/>
    <m/>
    <x v="0"/>
    <x v="0"/>
    <x v="0"/>
    <x v="2"/>
    <x v="1"/>
  </r>
  <r>
    <s v="Singapore"/>
    <x v="3"/>
    <s v="SG4"/>
    <m/>
    <x v="5"/>
    <x v="4"/>
    <x v="4"/>
    <x v="1"/>
    <x v="0"/>
    <x v="0"/>
    <x v="0"/>
    <m/>
    <x v="0"/>
    <x v="0"/>
    <n v="-0.38947500000000002"/>
    <m/>
    <x v="0"/>
    <x v="3"/>
    <x v="0"/>
    <x v="0"/>
    <x v="1"/>
  </r>
  <r>
    <s v="Singapore"/>
    <x v="4"/>
    <s v="SG2"/>
    <m/>
    <x v="2"/>
    <x v="1"/>
    <x v="1"/>
    <x v="3"/>
    <x v="0"/>
    <x v="0"/>
    <x v="0"/>
    <m/>
    <x v="0"/>
    <x v="0"/>
    <n v="-0.264843"/>
    <m/>
    <x v="4"/>
    <x v="2"/>
    <x v="0"/>
    <x v="2"/>
    <x v="0"/>
  </r>
  <r>
    <s v="Singapore"/>
    <x v="2"/>
    <s v="SG3"/>
    <m/>
    <x v="0"/>
    <x v="0"/>
    <x v="2"/>
    <x v="2"/>
    <x v="0"/>
    <x v="0"/>
    <x v="0"/>
    <m/>
    <x v="0"/>
    <x v="0"/>
    <n v="1.8694800000000001E-2"/>
    <m/>
    <x v="6"/>
    <x v="2"/>
    <x v="0"/>
    <x v="4"/>
    <x v="2"/>
  </r>
  <r>
    <s v="Singapore"/>
    <x v="2"/>
    <s v="SG3"/>
    <m/>
    <x v="5"/>
    <x v="0"/>
    <x v="0"/>
    <x v="2"/>
    <x v="0"/>
    <x v="0"/>
    <x v="0"/>
    <m/>
    <x v="0"/>
    <x v="0"/>
    <n v="0.5530545"/>
    <m/>
    <x v="1"/>
    <x v="1"/>
    <x v="0"/>
    <x v="0"/>
    <x v="1"/>
  </r>
  <r>
    <s v="Singapore"/>
    <x v="0"/>
    <s v="SG2"/>
    <m/>
    <x v="0"/>
    <x v="0"/>
    <x v="1"/>
    <x v="3"/>
    <x v="0"/>
    <x v="0"/>
    <x v="0"/>
    <m/>
    <x v="0"/>
    <x v="0"/>
    <n v="-1.5579000000000001E-2"/>
    <m/>
    <x v="0"/>
    <x v="2"/>
    <x v="0"/>
    <x v="5"/>
    <x v="1"/>
  </r>
  <r>
    <s v="Singapore"/>
    <x v="3"/>
    <s v="SG3"/>
    <m/>
    <x v="0"/>
    <x v="3"/>
    <x v="1"/>
    <x v="2"/>
    <x v="0"/>
    <x v="0"/>
    <x v="0"/>
    <m/>
    <x v="0"/>
    <x v="0"/>
    <n v="2.96001"/>
    <m/>
    <x v="1"/>
    <x v="0"/>
    <x v="0"/>
    <x v="1"/>
    <x v="0"/>
  </r>
  <r>
    <s v="Singapore"/>
    <x v="4"/>
    <s v="SG2"/>
    <m/>
    <x v="4"/>
    <x v="1"/>
    <x v="4"/>
    <x v="3"/>
    <x v="0"/>
    <x v="0"/>
    <x v="0"/>
    <m/>
    <x v="0"/>
    <x v="0"/>
    <n v="2.6484300000000003"/>
    <m/>
    <x v="1"/>
    <x v="0"/>
    <x v="0"/>
    <x v="1"/>
    <x v="1"/>
  </r>
  <r>
    <s v="Singapore"/>
    <x v="3"/>
    <s v="SG1"/>
    <m/>
    <x v="1"/>
    <x v="0"/>
    <x v="0"/>
    <x v="1"/>
    <x v="0"/>
    <x v="0"/>
    <x v="0"/>
    <m/>
    <x v="0"/>
    <x v="0"/>
    <n v="-0.15579000000000001"/>
    <m/>
    <x v="1"/>
    <x v="2"/>
    <x v="0"/>
    <x v="4"/>
    <x v="1"/>
  </r>
  <r>
    <s v="Singapore"/>
    <x v="3"/>
    <s v="SG3"/>
    <m/>
    <x v="4"/>
    <x v="3"/>
    <x v="2"/>
    <x v="2"/>
    <x v="0"/>
    <x v="0"/>
    <x v="0"/>
    <m/>
    <x v="0"/>
    <x v="0"/>
    <n v="-1.5579000000000001E-2"/>
    <m/>
    <x v="0"/>
    <x v="3"/>
    <x v="0"/>
    <x v="3"/>
    <x v="2"/>
  </r>
  <r>
    <s v="Singapore"/>
    <x v="3"/>
    <s v="SG1"/>
    <m/>
    <x v="1"/>
    <x v="0"/>
    <x v="4"/>
    <x v="5"/>
    <x v="0"/>
    <x v="0"/>
    <x v="0"/>
    <m/>
    <x v="0"/>
    <x v="0"/>
    <n v="-2.775180744"/>
    <m/>
    <x v="4"/>
    <x v="0"/>
    <x v="0"/>
    <x v="1"/>
    <x v="2"/>
  </r>
  <r>
    <s v="Singapore"/>
    <x v="4"/>
    <s v="SG1"/>
    <m/>
    <x v="1"/>
    <x v="1"/>
    <x v="1"/>
    <x v="1"/>
    <x v="0"/>
    <x v="0"/>
    <x v="0"/>
    <m/>
    <x v="0"/>
    <x v="0"/>
    <n v="1.5579000000000001"/>
    <m/>
    <x v="1"/>
    <x v="0"/>
    <x v="0"/>
    <x v="1"/>
    <x v="1"/>
  </r>
  <r>
    <s v="Singapore"/>
    <x v="2"/>
    <s v="SG3"/>
    <m/>
    <x v="5"/>
    <x v="3"/>
    <x v="3"/>
    <x v="4"/>
    <x v="0"/>
    <x v="0"/>
    <x v="0"/>
    <m/>
    <x v="0"/>
    <x v="0"/>
    <n v="-4.3932780000000005"/>
    <m/>
    <x v="7"/>
    <x v="0"/>
    <x v="0"/>
    <x v="2"/>
    <x v="0"/>
  </r>
  <r>
    <s v="Singapore"/>
    <x v="0"/>
    <s v="SG4"/>
    <m/>
    <x v="4"/>
    <x v="2"/>
    <x v="4"/>
    <x v="3"/>
    <x v="0"/>
    <x v="0"/>
    <x v="0"/>
    <m/>
    <x v="0"/>
    <x v="0"/>
    <n v="-7.7895000000000006E-2"/>
    <m/>
    <x v="0"/>
    <x v="0"/>
    <x v="0"/>
    <x v="3"/>
    <x v="0"/>
  </r>
  <r>
    <s v="Singapore"/>
    <x v="3"/>
    <s v="SG4"/>
    <m/>
    <x v="2"/>
    <x v="4"/>
    <x v="1"/>
    <x v="3"/>
    <x v="0"/>
    <x v="0"/>
    <x v="0"/>
    <m/>
    <x v="0"/>
    <x v="0"/>
    <n v="-0.1838322"/>
    <m/>
    <x v="4"/>
    <x v="3"/>
    <x v="0"/>
    <x v="0"/>
    <x v="1"/>
  </r>
  <r>
    <s v="Singapore"/>
    <x v="5"/>
    <s v="SG2"/>
    <m/>
    <x v="0"/>
    <x v="2"/>
    <x v="4"/>
    <x v="1"/>
    <x v="0"/>
    <x v="0"/>
    <x v="0"/>
    <m/>
    <x v="0"/>
    <x v="0"/>
    <n v="-0.38947500000000002"/>
    <m/>
    <x v="4"/>
    <x v="0"/>
    <x v="0"/>
    <x v="5"/>
    <x v="2"/>
  </r>
  <r>
    <s v="Singapore"/>
    <x v="3"/>
    <s v="SG1"/>
    <m/>
    <x v="2"/>
    <x v="3"/>
    <x v="3"/>
    <x v="4"/>
    <x v="0"/>
    <x v="0"/>
    <x v="0"/>
    <m/>
    <x v="0"/>
    <x v="0"/>
    <n v="-0.77895000000000003"/>
    <m/>
    <x v="4"/>
    <x v="1"/>
    <x v="0"/>
    <x v="5"/>
    <x v="1"/>
  </r>
  <r>
    <s v="Singapore"/>
    <x v="4"/>
    <s v="SG2"/>
    <m/>
    <x v="4"/>
    <x v="3"/>
    <x v="0"/>
    <x v="0"/>
    <x v="0"/>
    <x v="0"/>
    <x v="0"/>
    <m/>
    <x v="0"/>
    <x v="0"/>
    <n v="-15.579000000000001"/>
    <m/>
    <x v="7"/>
    <x v="1"/>
    <x v="0"/>
    <x v="4"/>
    <x v="1"/>
  </r>
  <r>
    <s v="Singapore"/>
    <x v="3"/>
    <s v="SG3"/>
    <m/>
    <x v="2"/>
    <x v="2"/>
    <x v="2"/>
    <x v="3"/>
    <x v="0"/>
    <x v="0"/>
    <x v="0"/>
    <m/>
    <x v="0"/>
    <x v="0"/>
    <n v="-0.1168425"/>
    <m/>
    <x v="0"/>
    <x v="3"/>
    <x v="0"/>
    <x v="4"/>
    <x v="0"/>
  </r>
  <r>
    <s v="Singapore"/>
    <x v="5"/>
    <s v="SG1"/>
    <m/>
    <x v="3"/>
    <x v="2"/>
    <x v="1"/>
    <x v="1"/>
    <x v="0"/>
    <x v="0"/>
    <x v="0"/>
    <m/>
    <x v="0"/>
    <x v="0"/>
    <n v="-0.69014970000000009"/>
    <m/>
    <x v="8"/>
    <x v="2"/>
    <x v="0"/>
    <x v="2"/>
    <x v="0"/>
  </r>
  <r>
    <s v="Singapore"/>
    <x v="2"/>
    <s v="SG2"/>
    <m/>
    <x v="0"/>
    <x v="0"/>
    <x v="0"/>
    <x v="3"/>
    <x v="0"/>
    <x v="0"/>
    <x v="0"/>
    <m/>
    <x v="0"/>
    <x v="0"/>
    <n v="-0.34273800000000004"/>
    <m/>
    <x v="8"/>
    <x v="2"/>
    <x v="0"/>
    <x v="4"/>
    <x v="1"/>
  </r>
  <r>
    <s v="Singapore"/>
    <x v="1"/>
    <s v="SG4"/>
    <m/>
    <x v="5"/>
    <x v="2"/>
    <x v="3"/>
    <x v="0"/>
    <x v="0"/>
    <x v="0"/>
    <x v="0"/>
    <m/>
    <x v="0"/>
    <x v="0"/>
    <n v="1.314322335"/>
    <m/>
    <x v="1"/>
    <x v="1"/>
    <x v="0"/>
    <x v="0"/>
    <x v="1"/>
  </r>
  <r>
    <s v="Singapore"/>
    <x v="2"/>
    <s v="SG2"/>
    <m/>
    <x v="5"/>
    <x v="0"/>
    <x v="2"/>
    <x v="4"/>
    <x v="0"/>
    <x v="0"/>
    <x v="0"/>
    <m/>
    <x v="0"/>
    <x v="0"/>
    <n v="-6.2316000000000003E-2"/>
    <m/>
    <x v="0"/>
    <x v="0"/>
    <x v="0"/>
    <x v="2"/>
    <x v="1"/>
  </r>
  <r>
    <s v="Singapore"/>
    <x v="3"/>
    <s v="SG2"/>
    <m/>
    <x v="5"/>
    <x v="4"/>
    <x v="2"/>
    <x v="3"/>
    <x v="0"/>
    <x v="0"/>
    <x v="0"/>
    <m/>
    <x v="0"/>
    <x v="0"/>
    <n v="-0.11302564500000001"/>
    <m/>
    <x v="4"/>
    <x v="2"/>
    <x v="0"/>
    <x v="5"/>
    <x v="1"/>
  </r>
  <r>
    <s v="Singapore"/>
    <x v="4"/>
    <s v="SG3"/>
    <m/>
    <x v="5"/>
    <x v="1"/>
    <x v="0"/>
    <x v="2"/>
    <x v="0"/>
    <x v="0"/>
    <x v="0"/>
    <m/>
    <x v="0"/>
    <x v="0"/>
    <n v="-0.30379050000000002"/>
    <m/>
    <x v="0"/>
    <x v="0"/>
    <x v="0"/>
    <x v="0"/>
    <x v="0"/>
  </r>
  <r>
    <s v="Singapore"/>
    <x v="4"/>
    <s v="SG2"/>
    <m/>
    <x v="5"/>
    <x v="4"/>
    <x v="1"/>
    <x v="3"/>
    <x v="0"/>
    <x v="0"/>
    <x v="0"/>
    <m/>
    <x v="0"/>
    <x v="0"/>
    <n v="-0.12463200000000001"/>
    <m/>
    <x v="0"/>
    <x v="0"/>
    <x v="0"/>
    <x v="0"/>
    <x v="0"/>
  </r>
  <r>
    <s v="Singapore"/>
    <x v="3"/>
    <s v="SG4"/>
    <m/>
    <x v="5"/>
    <x v="1"/>
    <x v="1"/>
    <x v="3"/>
    <x v="0"/>
    <x v="0"/>
    <x v="0"/>
    <m/>
    <x v="0"/>
    <x v="0"/>
    <n v="-0.17136900000000002"/>
    <m/>
    <x v="8"/>
    <x v="2"/>
    <x v="0"/>
    <x v="2"/>
    <x v="0"/>
  </r>
  <r>
    <s v="Singapore"/>
    <x v="0"/>
    <s v="SG4"/>
    <m/>
    <x v="3"/>
    <x v="2"/>
    <x v="3"/>
    <x v="4"/>
    <x v="0"/>
    <x v="0"/>
    <x v="0"/>
    <m/>
    <x v="0"/>
    <x v="0"/>
    <n v="-0.20252700000000001"/>
    <m/>
    <x v="0"/>
    <x v="3"/>
    <x v="0"/>
    <x v="3"/>
    <x v="2"/>
  </r>
  <r>
    <s v="Singapore"/>
    <x v="0"/>
    <s v="SG1"/>
    <m/>
    <x v="3"/>
    <x v="0"/>
    <x v="4"/>
    <x v="4"/>
    <x v="0"/>
    <x v="0"/>
    <x v="0"/>
    <m/>
    <x v="0"/>
    <x v="0"/>
    <n v="0.77895000000000003"/>
    <m/>
    <x v="4"/>
    <x v="0"/>
    <x v="0"/>
    <x v="4"/>
    <x v="1"/>
  </r>
  <r>
    <s v="Singapore"/>
    <x v="0"/>
    <s v="SG3"/>
    <m/>
    <x v="2"/>
    <x v="2"/>
    <x v="2"/>
    <x v="3"/>
    <x v="0"/>
    <x v="0"/>
    <x v="0"/>
    <m/>
    <x v="0"/>
    <x v="0"/>
    <n v="-0.12463200000000001"/>
    <m/>
    <x v="0"/>
    <x v="0"/>
    <x v="0"/>
    <x v="2"/>
    <x v="1"/>
  </r>
  <r>
    <s v="Singapore"/>
    <x v="4"/>
    <s v="SG4"/>
    <m/>
    <x v="1"/>
    <x v="4"/>
    <x v="1"/>
    <x v="0"/>
    <x v="0"/>
    <x v="0"/>
    <x v="0"/>
    <m/>
    <x v="0"/>
    <x v="0"/>
    <n v="-7.0105500000000001E-2"/>
    <m/>
    <x v="4"/>
    <x v="0"/>
    <x v="0"/>
    <x v="2"/>
    <x v="0"/>
  </r>
  <r>
    <s v="Singapore"/>
    <x v="2"/>
    <s v="SG4"/>
    <m/>
    <x v="0"/>
    <x v="1"/>
    <x v="1"/>
    <x v="2"/>
    <x v="0"/>
    <x v="0"/>
    <x v="0"/>
    <m/>
    <x v="0"/>
    <x v="0"/>
    <n v="-1.7915850000000002"/>
    <m/>
    <x v="2"/>
    <x v="2"/>
    <x v="0"/>
    <x v="5"/>
    <x v="2"/>
  </r>
  <r>
    <s v="Singapore"/>
    <x v="0"/>
    <s v="SG2"/>
    <m/>
    <x v="0"/>
    <x v="1"/>
    <x v="1"/>
    <x v="2"/>
    <x v="0"/>
    <x v="0"/>
    <x v="0"/>
    <m/>
    <x v="0"/>
    <x v="0"/>
    <n v="-0.37389600000000001"/>
    <m/>
    <x v="4"/>
    <x v="1"/>
    <x v="0"/>
    <x v="5"/>
    <x v="1"/>
  </r>
  <r>
    <s v="Singapore"/>
    <x v="1"/>
    <s v="SG3"/>
    <m/>
    <x v="1"/>
    <x v="3"/>
    <x v="4"/>
    <x v="3"/>
    <x v="0"/>
    <x v="0"/>
    <x v="0"/>
    <m/>
    <x v="0"/>
    <x v="0"/>
    <n v="-0.56084400000000001"/>
    <m/>
    <x v="0"/>
    <x v="3"/>
    <x v="0"/>
    <x v="0"/>
    <x v="1"/>
  </r>
  <r>
    <s v="Singapore"/>
    <x v="4"/>
    <s v="SG3"/>
    <m/>
    <x v="1"/>
    <x v="4"/>
    <x v="0"/>
    <x v="3"/>
    <x v="0"/>
    <x v="0"/>
    <x v="0"/>
    <m/>
    <x v="0"/>
    <x v="0"/>
    <n v="6.4993562730000001"/>
    <m/>
    <x v="7"/>
    <x v="0"/>
    <x v="0"/>
    <x v="4"/>
    <x v="2"/>
  </r>
  <r>
    <s v="Singapore"/>
    <x v="1"/>
    <s v="SG1"/>
    <m/>
    <x v="1"/>
    <x v="3"/>
    <x v="3"/>
    <x v="2"/>
    <x v="0"/>
    <x v="0"/>
    <x v="0"/>
    <m/>
    <x v="0"/>
    <x v="0"/>
    <n v="1.119538098"/>
    <m/>
    <x v="1"/>
    <x v="3"/>
    <x v="0"/>
    <x v="1"/>
    <x v="0"/>
  </r>
  <r>
    <s v="Singapore"/>
    <x v="4"/>
    <s v="SG1"/>
    <m/>
    <x v="2"/>
    <x v="1"/>
    <x v="3"/>
    <x v="3"/>
    <x v="0"/>
    <x v="0"/>
    <x v="0"/>
    <m/>
    <x v="0"/>
    <x v="0"/>
    <n v="-0.31158000000000002"/>
    <m/>
    <x v="0"/>
    <x v="1"/>
    <x v="0"/>
    <x v="3"/>
    <x v="0"/>
  </r>
  <r>
    <s v="Singapore"/>
    <x v="0"/>
    <s v="SG2"/>
    <m/>
    <x v="3"/>
    <x v="3"/>
    <x v="2"/>
    <x v="5"/>
    <x v="0"/>
    <x v="0"/>
    <x v="0"/>
    <m/>
    <x v="0"/>
    <x v="0"/>
    <n v="-0.10905300000000001"/>
    <m/>
    <x v="0"/>
    <x v="1"/>
    <x v="0"/>
    <x v="1"/>
    <x v="2"/>
  </r>
  <r>
    <s v="Singapore"/>
    <x v="4"/>
    <s v="SG1"/>
    <m/>
    <x v="2"/>
    <x v="4"/>
    <x v="1"/>
    <x v="1"/>
    <x v="0"/>
    <x v="0"/>
    <x v="0"/>
    <m/>
    <x v="0"/>
    <x v="0"/>
    <n v="-4.855210929000001"/>
    <m/>
    <x v="1"/>
    <x v="2"/>
    <x v="0"/>
    <x v="0"/>
    <x v="2"/>
  </r>
  <r>
    <s v="Singapore"/>
    <x v="1"/>
    <s v="SG4"/>
    <m/>
    <x v="1"/>
    <x v="0"/>
    <x v="0"/>
    <x v="3"/>
    <x v="0"/>
    <x v="0"/>
    <x v="0"/>
    <m/>
    <x v="0"/>
    <x v="0"/>
    <n v="-0.12463200000000001"/>
    <m/>
    <x v="0"/>
    <x v="2"/>
    <x v="0"/>
    <x v="5"/>
    <x v="2"/>
  </r>
  <r>
    <s v="Singapore"/>
    <x v="3"/>
    <s v="SG1"/>
    <m/>
    <x v="4"/>
    <x v="0"/>
    <x v="2"/>
    <x v="5"/>
    <x v="0"/>
    <x v="0"/>
    <x v="0"/>
    <m/>
    <x v="0"/>
    <x v="0"/>
    <n v="-5.1083541000000003E-2"/>
    <m/>
    <x v="0"/>
    <x v="3"/>
    <x v="0"/>
    <x v="4"/>
    <x v="0"/>
  </r>
  <r>
    <s v="Singapore"/>
    <x v="2"/>
    <s v="SG4"/>
    <m/>
    <x v="5"/>
    <x v="0"/>
    <x v="3"/>
    <x v="4"/>
    <x v="0"/>
    <x v="0"/>
    <x v="0"/>
    <m/>
    <x v="0"/>
    <x v="0"/>
    <n v="31.158000000000001"/>
    <m/>
    <x v="5"/>
    <x v="0"/>
    <x v="0"/>
    <x v="1"/>
    <x v="1"/>
  </r>
  <r>
    <s v="Singapore"/>
    <x v="3"/>
    <s v="SG3"/>
    <m/>
    <x v="4"/>
    <x v="1"/>
    <x v="1"/>
    <x v="2"/>
    <x v="0"/>
    <x v="0"/>
    <x v="0"/>
    <m/>
    <x v="0"/>
    <x v="0"/>
    <n v="-0.1838322"/>
    <m/>
    <x v="4"/>
    <x v="3"/>
    <x v="0"/>
    <x v="2"/>
    <x v="2"/>
  </r>
  <r>
    <s v="Singapore"/>
    <x v="3"/>
    <s v="SG2"/>
    <m/>
    <x v="4"/>
    <x v="2"/>
    <x v="3"/>
    <x v="4"/>
    <x v="0"/>
    <x v="0"/>
    <x v="0"/>
    <m/>
    <x v="0"/>
    <x v="0"/>
    <n v="-8.1789749999999998E-3"/>
    <m/>
    <x v="6"/>
    <x v="2"/>
    <x v="0"/>
    <x v="2"/>
    <x v="1"/>
  </r>
  <r>
    <s v="Singapore"/>
    <x v="1"/>
    <s v="SG2"/>
    <m/>
    <x v="2"/>
    <x v="2"/>
    <x v="4"/>
    <x v="5"/>
    <x v="0"/>
    <x v="0"/>
    <x v="0"/>
    <m/>
    <x v="0"/>
    <x v="0"/>
    <n v="-0.7290972"/>
    <m/>
    <x v="3"/>
    <x v="2"/>
    <x v="0"/>
    <x v="2"/>
    <x v="1"/>
  </r>
  <r>
    <s v="Singapore"/>
    <x v="2"/>
    <s v="SG1"/>
    <m/>
    <x v="3"/>
    <x v="0"/>
    <x v="3"/>
    <x v="2"/>
    <x v="0"/>
    <x v="0"/>
    <x v="0"/>
    <m/>
    <x v="0"/>
    <x v="0"/>
    <n v="0.140211"/>
    <m/>
    <x v="8"/>
    <x v="2"/>
    <x v="0"/>
    <x v="0"/>
    <x v="2"/>
  </r>
  <r>
    <s v="Singapore"/>
    <x v="2"/>
    <s v="SG2"/>
    <m/>
    <x v="0"/>
    <x v="0"/>
    <x v="0"/>
    <x v="2"/>
    <x v="0"/>
    <x v="0"/>
    <x v="0"/>
    <m/>
    <x v="0"/>
    <x v="0"/>
    <n v="-0.93474000000000002"/>
    <m/>
    <x v="0"/>
    <x v="2"/>
    <x v="0"/>
    <x v="1"/>
    <x v="1"/>
  </r>
  <r>
    <s v="Singapore"/>
    <x v="5"/>
    <s v="SG3"/>
    <m/>
    <x v="1"/>
    <x v="4"/>
    <x v="2"/>
    <x v="4"/>
    <x v="0"/>
    <x v="0"/>
    <x v="0"/>
    <m/>
    <x v="0"/>
    <x v="0"/>
    <n v="-0.30771640800000005"/>
    <m/>
    <x v="0"/>
    <x v="0"/>
    <x v="0"/>
    <x v="5"/>
    <x v="1"/>
  </r>
  <r>
    <s v="Singapore"/>
    <x v="4"/>
    <s v="SG2"/>
    <m/>
    <x v="1"/>
    <x v="4"/>
    <x v="4"/>
    <x v="5"/>
    <x v="0"/>
    <x v="0"/>
    <x v="0"/>
    <m/>
    <x v="0"/>
    <x v="0"/>
    <n v="0.37389600000000001"/>
    <m/>
    <x v="1"/>
    <x v="1"/>
    <x v="0"/>
    <x v="3"/>
    <x v="2"/>
  </r>
  <r>
    <s v="Singapore"/>
    <x v="2"/>
    <s v="SG3"/>
    <m/>
    <x v="1"/>
    <x v="4"/>
    <x v="4"/>
    <x v="4"/>
    <x v="0"/>
    <x v="0"/>
    <x v="0"/>
    <m/>
    <x v="0"/>
    <x v="0"/>
    <n v="4.0505400000000004E-2"/>
    <m/>
    <x v="2"/>
    <x v="2"/>
    <x v="0"/>
    <x v="0"/>
    <x v="1"/>
  </r>
  <r>
    <s v="Singapore"/>
    <x v="3"/>
    <s v="SG4"/>
    <m/>
    <x v="1"/>
    <x v="4"/>
    <x v="0"/>
    <x v="5"/>
    <x v="0"/>
    <x v="0"/>
    <x v="0"/>
    <m/>
    <x v="0"/>
    <x v="0"/>
    <n v="1.5280194780000003"/>
    <m/>
    <x v="5"/>
    <x v="1"/>
    <x v="0"/>
    <x v="2"/>
    <x v="1"/>
  </r>
  <r>
    <s v="Singapore"/>
    <x v="1"/>
    <s v="SG3"/>
    <m/>
    <x v="0"/>
    <x v="3"/>
    <x v="1"/>
    <x v="4"/>
    <x v="0"/>
    <x v="0"/>
    <x v="0"/>
    <m/>
    <x v="0"/>
    <x v="0"/>
    <n v="1.1840040000000001"/>
    <m/>
    <x v="4"/>
    <x v="0"/>
    <x v="0"/>
    <x v="2"/>
    <x v="0"/>
  </r>
  <r>
    <s v="Singapore"/>
    <x v="4"/>
    <s v="SG3"/>
    <m/>
    <x v="0"/>
    <x v="2"/>
    <x v="2"/>
    <x v="5"/>
    <x v="0"/>
    <x v="0"/>
    <x v="0"/>
    <m/>
    <x v="0"/>
    <x v="0"/>
    <n v="-4.6737000000000001E-2"/>
    <m/>
    <x v="0"/>
    <x v="2"/>
    <x v="0"/>
    <x v="1"/>
    <x v="2"/>
  </r>
  <r>
    <s v="Singapore"/>
    <x v="1"/>
    <s v="SG3"/>
    <m/>
    <x v="3"/>
    <x v="0"/>
    <x v="1"/>
    <x v="3"/>
    <x v="0"/>
    <x v="0"/>
    <x v="0"/>
    <m/>
    <x v="0"/>
    <x v="0"/>
    <n v="-0.42063300000000003"/>
    <m/>
    <x v="4"/>
    <x v="2"/>
    <x v="0"/>
    <x v="5"/>
    <x v="1"/>
  </r>
  <r>
    <s v="Singapore"/>
    <x v="3"/>
    <s v="SG1"/>
    <m/>
    <x v="4"/>
    <x v="0"/>
    <x v="4"/>
    <x v="4"/>
    <x v="0"/>
    <x v="0"/>
    <x v="0"/>
    <m/>
    <x v="0"/>
    <x v="0"/>
    <n v="363.85340270400002"/>
    <m/>
    <x v="1"/>
    <x v="3"/>
    <x v="0"/>
    <x v="2"/>
    <x v="0"/>
  </r>
  <r>
    <s v="Singapore"/>
    <x v="4"/>
    <s v="SG2"/>
    <m/>
    <x v="3"/>
    <x v="3"/>
    <x v="1"/>
    <x v="0"/>
    <x v="0"/>
    <x v="0"/>
    <x v="0"/>
    <m/>
    <x v="0"/>
    <x v="0"/>
    <n v="0.66833910000000007"/>
    <m/>
    <x v="2"/>
    <x v="3"/>
    <x v="0"/>
    <x v="0"/>
    <x v="2"/>
  </r>
  <r>
    <s v="Singapore"/>
    <x v="4"/>
    <s v="SG4"/>
    <m/>
    <x v="4"/>
    <x v="2"/>
    <x v="4"/>
    <x v="4"/>
    <x v="0"/>
    <x v="0"/>
    <x v="0"/>
    <m/>
    <x v="0"/>
    <x v="0"/>
    <n v="1.3008465"/>
    <m/>
    <x v="1"/>
    <x v="1"/>
    <x v="0"/>
    <x v="4"/>
    <x v="2"/>
  </r>
  <r>
    <s v="Singapore"/>
    <x v="1"/>
    <s v="SG1"/>
    <m/>
    <x v="1"/>
    <x v="2"/>
    <x v="2"/>
    <x v="1"/>
    <x v="0"/>
    <x v="0"/>
    <x v="0"/>
    <m/>
    <x v="0"/>
    <x v="0"/>
    <n v="0.186948"/>
    <m/>
    <x v="8"/>
    <x v="3"/>
    <x v="0"/>
    <x v="0"/>
    <x v="0"/>
  </r>
  <r>
    <s v="Singapore"/>
    <x v="4"/>
    <s v="SG4"/>
    <m/>
    <x v="3"/>
    <x v="4"/>
    <x v="4"/>
    <x v="2"/>
    <x v="0"/>
    <x v="0"/>
    <x v="0"/>
    <m/>
    <x v="0"/>
    <x v="0"/>
    <n v="-0.15579000000000001"/>
    <m/>
    <x v="4"/>
    <x v="2"/>
    <x v="0"/>
    <x v="4"/>
    <x v="1"/>
  </r>
  <r>
    <s v="Singapore"/>
    <x v="1"/>
    <s v="SG4"/>
    <m/>
    <x v="1"/>
    <x v="4"/>
    <x v="4"/>
    <x v="1"/>
    <x v="0"/>
    <x v="0"/>
    <x v="0"/>
    <m/>
    <x v="0"/>
    <x v="0"/>
    <n v="-1.6030791"/>
    <m/>
    <x v="2"/>
    <x v="2"/>
    <x v="0"/>
    <x v="5"/>
    <x v="1"/>
  </r>
  <r>
    <s v="Singapore"/>
    <x v="0"/>
    <s v="SG1"/>
    <m/>
    <x v="2"/>
    <x v="0"/>
    <x v="4"/>
    <x v="5"/>
    <x v="0"/>
    <x v="0"/>
    <x v="0"/>
    <m/>
    <x v="0"/>
    <x v="0"/>
    <n v="-1.5579000000000001E-2"/>
    <m/>
    <x v="0"/>
    <x v="0"/>
    <x v="0"/>
    <x v="3"/>
    <x v="0"/>
  </r>
  <r>
    <s v="Singapore"/>
    <x v="0"/>
    <s v="SG3"/>
    <m/>
    <x v="2"/>
    <x v="3"/>
    <x v="2"/>
    <x v="2"/>
    <x v="0"/>
    <x v="0"/>
    <x v="0"/>
    <m/>
    <x v="0"/>
    <x v="0"/>
    <n v="-7.7895000000000006E-2"/>
    <m/>
    <x v="1"/>
    <x v="2"/>
    <x v="0"/>
    <x v="2"/>
    <x v="2"/>
  </r>
  <r>
    <s v="Singapore"/>
    <x v="5"/>
    <s v="SG3"/>
    <m/>
    <x v="1"/>
    <x v="2"/>
    <x v="1"/>
    <x v="1"/>
    <x v="0"/>
    <x v="0"/>
    <x v="0"/>
    <m/>
    <x v="0"/>
    <x v="0"/>
    <n v="-0.20252700000000001"/>
    <m/>
    <x v="8"/>
    <x v="1"/>
    <x v="0"/>
    <x v="5"/>
    <x v="2"/>
  </r>
  <r>
    <s v="Singapore"/>
    <x v="1"/>
    <s v="SG4"/>
    <m/>
    <x v="4"/>
    <x v="3"/>
    <x v="0"/>
    <x v="0"/>
    <x v="0"/>
    <x v="0"/>
    <x v="0"/>
    <m/>
    <x v="0"/>
    <x v="0"/>
    <n v="-0.41165949600000001"/>
    <m/>
    <x v="7"/>
    <x v="3"/>
    <x v="0"/>
    <x v="2"/>
    <x v="1"/>
  </r>
  <r>
    <s v="Singapore"/>
    <x v="4"/>
    <s v="SG1"/>
    <m/>
    <x v="2"/>
    <x v="1"/>
    <x v="2"/>
    <x v="5"/>
    <x v="0"/>
    <x v="0"/>
    <x v="0"/>
    <m/>
    <x v="0"/>
    <x v="0"/>
    <n v="65.282849181000003"/>
    <m/>
    <x v="1"/>
    <x v="3"/>
    <x v="0"/>
    <x v="0"/>
    <x v="1"/>
  </r>
  <r>
    <s v="Singapore"/>
    <x v="4"/>
    <s v="SG4"/>
    <m/>
    <x v="4"/>
    <x v="3"/>
    <x v="2"/>
    <x v="0"/>
    <x v="0"/>
    <x v="0"/>
    <x v="0"/>
    <m/>
    <x v="0"/>
    <x v="0"/>
    <n v="-31.158000000000001"/>
    <m/>
    <x v="7"/>
    <x v="3"/>
    <x v="0"/>
    <x v="5"/>
    <x v="2"/>
  </r>
  <r>
    <s v="Singapore"/>
    <x v="3"/>
    <s v="SG4"/>
    <m/>
    <x v="1"/>
    <x v="0"/>
    <x v="0"/>
    <x v="2"/>
    <x v="0"/>
    <x v="0"/>
    <x v="0"/>
    <m/>
    <x v="0"/>
    <x v="0"/>
    <n v="0.17984397600000002"/>
    <m/>
    <x v="1"/>
    <x v="0"/>
    <x v="0"/>
    <x v="4"/>
    <x v="1"/>
  </r>
  <r>
    <s v="Singapore"/>
    <x v="4"/>
    <s v="SG1"/>
    <m/>
    <x v="5"/>
    <x v="3"/>
    <x v="2"/>
    <x v="1"/>
    <x v="0"/>
    <x v="0"/>
    <x v="0"/>
    <m/>
    <x v="0"/>
    <x v="0"/>
    <n v="-0.233685"/>
    <m/>
    <x v="0"/>
    <x v="3"/>
    <x v="0"/>
    <x v="3"/>
    <x v="0"/>
  </r>
  <r>
    <s v="Singapore"/>
    <x v="4"/>
    <s v="SG4"/>
    <m/>
    <x v="3"/>
    <x v="2"/>
    <x v="0"/>
    <x v="3"/>
    <x v="0"/>
    <x v="0"/>
    <x v="0"/>
    <m/>
    <x v="0"/>
    <x v="0"/>
    <n v="-0.12463200000000001"/>
    <m/>
    <x v="6"/>
    <x v="0"/>
    <x v="0"/>
    <x v="4"/>
    <x v="2"/>
  </r>
  <r>
    <s v="Singapore"/>
    <x v="0"/>
    <s v="SG1"/>
    <m/>
    <x v="5"/>
    <x v="0"/>
    <x v="3"/>
    <x v="1"/>
    <x v="0"/>
    <x v="0"/>
    <x v="0"/>
    <m/>
    <x v="0"/>
    <x v="0"/>
    <n v="-0.46737000000000001"/>
    <m/>
    <x v="4"/>
    <x v="0"/>
    <x v="0"/>
    <x v="3"/>
    <x v="0"/>
  </r>
  <r>
    <s v="Singapore"/>
    <x v="5"/>
    <s v="SG4"/>
    <m/>
    <x v="3"/>
    <x v="0"/>
    <x v="1"/>
    <x v="2"/>
    <x v="0"/>
    <x v="0"/>
    <x v="0"/>
    <m/>
    <x v="0"/>
    <x v="0"/>
    <n v="-1.2463200000000001"/>
    <m/>
    <x v="6"/>
    <x v="0"/>
    <x v="0"/>
    <x v="0"/>
    <x v="0"/>
  </r>
  <r>
    <s v="Singapore"/>
    <x v="5"/>
    <s v="SG1"/>
    <m/>
    <x v="4"/>
    <x v="0"/>
    <x v="1"/>
    <x v="5"/>
    <x v="0"/>
    <x v="0"/>
    <x v="0"/>
    <m/>
    <x v="0"/>
    <x v="0"/>
    <n v="-0.75900888"/>
    <m/>
    <x v="6"/>
    <x v="3"/>
    <x v="0"/>
    <x v="1"/>
    <x v="2"/>
  </r>
  <r>
    <s v="Singapore"/>
    <x v="0"/>
    <s v="SG1"/>
    <m/>
    <x v="5"/>
    <x v="3"/>
    <x v="1"/>
    <x v="5"/>
    <x v="0"/>
    <x v="0"/>
    <x v="0"/>
    <m/>
    <x v="0"/>
    <x v="0"/>
    <n v="0.43621200000000004"/>
    <m/>
    <x v="1"/>
    <x v="3"/>
    <x v="0"/>
    <x v="1"/>
    <x v="2"/>
  </r>
  <r>
    <s v="Singapore"/>
    <x v="3"/>
    <s v="SG3"/>
    <m/>
    <x v="5"/>
    <x v="1"/>
    <x v="1"/>
    <x v="2"/>
    <x v="0"/>
    <x v="0"/>
    <x v="0"/>
    <m/>
    <x v="0"/>
    <x v="0"/>
    <n v="0.74467620000000001"/>
    <m/>
    <x v="1"/>
    <x v="3"/>
    <x v="0"/>
    <x v="1"/>
    <x v="2"/>
  </r>
  <r>
    <s v="Singapore"/>
    <x v="0"/>
    <s v="SG4"/>
    <m/>
    <x v="2"/>
    <x v="1"/>
    <x v="1"/>
    <x v="5"/>
    <x v="0"/>
    <x v="0"/>
    <x v="0"/>
    <m/>
    <x v="0"/>
    <x v="0"/>
    <n v="46.737000000000002"/>
    <m/>
    <x v="7"/>
    <x v="3"/>
    <x v="0"/>
    <x v="0"/>
    <x v="0"/>
  </r>
  <r>
    <s v="Singapore"/>
    <x v="2"/>
    <s v="SG2"/>
    <m/>
    <x v="3"/>
    <x v="2"/>
    <x v="0"/>
    <x v="2"/>
    <x v="0"/>
    <x v="0"/>
    <x v="0"/>
    <m/>
    <x v="0"/>
    <x v="0"/>
    <n v="-0.15579000000000001"/>
    <m/>
    <x v="0"/>
    <x v="1"/>
    <x v="0"/>
    <x v="5"/>
    <x v="2"/>
  </r>
  <r>
    <s v="Singapore"/>
    <x v="3"/>
    <s v="SG3"/>
    <m/>
    <x v="5"/>
    <x v="0"/>
    <x v="2"/>
    <x v="1"/>
    <x v="0"/>
    <x v="0"/>
    <x v="0"/>
    <m/>
    <x v="0"/>
    <x v="0"/>
    <n v="-1.5579000000000001E-2"/>
    <m/>
    <x v="0"/>
    <x v="1"/>
    <x v="0"/>
    <x v="3"/>
    <x v="2"/>
  </r>
  <r>
    <s v="Singapore"/>
    <x v="2"/>
    <s v="SG4"/>
    <m/>
    <x v="2"/>
    <x v="0"/>
    <x v="2"/>
    <x v="4"/>
    <x v="0"/>
    <x v="0"/>
    <x v="0"/>
    <m/>
    <x v="0"/>
    <x v="0"/>
    <n v="-10.328877"/>
    <m/>
    <x v="0"/>
    <x v="2"/>
    <x v="0"/>
    <x v="0"/>
    <x v="2"/>
  </r>
  <r>
    <s v="Singapore"/>
    <x v="2"/>
    <s v="SG3"/>
    <m/>
    <x v="2"/>
    <x v="4"/>
    <x v="3"/>
    <x v="1"/>
    <x v="0"/>
    <x v="0"/>
    <x v="0"/>
    <m/>
    <x v="0"/>
    <x v="0"/>
    <n v="-2.7263250000000001"/>
    <m/>
    <x v="1"/>
    <x v="3"/>
    <x v="0"/>
    <x v="0"/>
    <x v="0"/>
  </r>
  <r>
    <s v="Singapore"/>
    <x v="0"/>
    <s v="SG3"/>
    <m/>
    <x v="4"/>
    <x v="0"/>
    <x v="4"/>
    <x v="4"/>
    <x v="0"/>
    <x v="0"/>
    <x v="0"/>
    <m/>
    <x v="0"/>
    <x v="0"/>
    <n v="-0.15579000000000001"/>
    <m/>
    <x v="4"/>
    <x v="3"/>
    <x v="0"/>
    <x v="4"/>
    <x v="2"/>
  </r>
  <r>
    <s v="Singapore"/>
    <x v="1"/>
    <s v="SG4"/>
    <m/>
    <x v="1"/>
    <x v="3"/>
    <x v="0"/>
    <x v="5"/>
    <x v="0"/>
    <x v="0"/>
    <x v="0"/>
    <m/>
    <x v="0"/>
    <x v="0"/>
    <n v="-1.168425"/>
    <m/>
    <x v="4"/>
    <x v="0"/>
    <x v="0"/>
    <x v="3"/>
    <x v="2"/>
  </r>
  <r>
    <s v="Singapore"/>
    <x v="3"/>
    <s v="SG2"/>
    <m/>
    <x v="4"/>
    <x v="1"/>
    <x v="4"/>
    <x v="1"/>
    <x v="0"/>
    <x v="0"/>
    <x v="0"/>
    <m/>
    <x v="0"/>
    <x v="0"/>
    <n v="50.631750000000004"/>
    <m/>
    <x v="1"/>
    <x v="2"/>
    <x v="0"/>
    <x v="1"/>
    <x v="2"/>
  </r>
  <r>
    <s v="Singapore"/>
    <x v="1"/>
    <s v="SG3"/>
    <m/>
    <x v="1"/>
    <x v="4"/>
    <x v="3"/>
    <x v="1"/>
    <x v="0"/>
    <x v="0"/>
    <x v="0"/>
    <m/>
    <x v="0"/>
    <x v="0"/>
    <n v="-0.1838322"/>
    <m/>
    <x v="4"/>
    <x v="3"/>
    <x v="0"/>
    <x v="5"/>
    <x v="1"/>
  </r>
  <r>
    <s v="Singapore"/>
    <x v="4"/>
    <s v="SG3"/>
    <m/>
    <x v="1"/>
    <x v="3"/>
    <x v="2"/>
    <x v="4"/>
    <x v="0"/>
    <x v="0"/>
    <x v="0"/>
    <m/>
    <x v="0"/>
    <x v="0"/>
    <n v="0.14955840000000001"/>
    <m/>
    <x v="3"/>
    <x v="0"/>
    <x v="0"/>
    <x v="2"/>
    <x v="2"/>
  </r>
  <r>
    <s v="Singapore"/>
    <x v="0"/>
    <s v="SG4"/>
    <m/>
    <x v="4"/>
    <x v="0"/>
    <x v="1"/>
    <x v="5"/>
    <x v="0"/>
    <x v="0"/>
    <x v="0"/>
    <m/>
    <x v="0"/>
    <x v="0"/>
    <n v="-2.1031650000000002"/>
    <m/>
    <x v="4"/>
    <x v="1"/>
    <x v="0"/>
    <x v="0"/>
    <x v="1"/>
  </r>
  <r>
    <s v="Singapore"/>
    <x v="5"/>
    <s v="SG2"/>
    <m/>
    <x v="3"/>
    <x v="1"/>
    <x v="1"/>
    <x v="1"/>
    <x v="0"/>
    <x v="0"/>
    <x v="0"/>
    <m/>
    <x v="0"/>
    <x v="0"/>
    <n v="-7.0105500000000001E-2"/>
    <m/>
    <x v="4"/>
    <x v="2"/>
    <x v="0"/>
    <x v="3"/>
    <x v="1"/>
  </r>
  <r>
    <s v="Singapore"/>
    <x v="3"/>
    <s v="SG1"/>
    <m/>
    <x v="5"/>
    <x v="0"/>
    <x v="4"/>
    <x v="5"/>
    <x v="0"/>
    <x v="0"/>
    <x v="0"/>
    <m/>
    <x v="0"/>
    <x v="0"/>
    <n v="-0.280422"/>
    <m/>
    <x v="4"/>
    <x v="3"/>
    <x v="0"/>
    <x v="5"/>
    <x v="0"/>
  </r>
  <r>
    <s v="Singapore"/>
    <x v="2"/>
    <s v="SG4"/>
    <m/>
    <x v="0"/>
    <x v="4"/>
    <x v="2"/>
    <x v="2"/>
    <x v="0"/>
    <x v="0"/>
    <x v="0"/>
    <m/>
    <x v="0"/>
    <x v="0"/>
    <n v="0.15189525000000001"/>
    <m/>
    <x v="0"/>
    <x v="2"/>
    <x v="0"/>
    <x v="0"/>
    <x v="2"/>
  </r>
  <r>
    <s v="Singapore"/>
    <x v="3"/>
    <s v="SG1"/>
    <m/>
    <x v="1"/>
    <x v="0"/>
    <x v="3"/>
    <x v="5"/>
    <x v="0"/>
    <x v="0"/>
    <x v="0"/>
    <m/>
    <x v="0"/>
    <x v="0"/>
    <n v="-2.33685E-2"/>
    <m/>
    <x v="0"/>
    <x v="2"/>
    <x v="0"/>
    <x v="1"/>
    <x v="1"/>
  </r>
  <r>
    <s v="Singapore"/>
    <x v="4"/>
    <s v="SG4"/>
    <m/>
    <x v="2"/>
    <x v="2"/>
    <x v="2"/>
    <x v="4"/>
    <x v="0"/>
    <x v="0"/>
    <x v="0"/>
    <m/>
    <x v="0"/>
    <x v="0"/>
    <n v="-0.280422"/>
    <m/>
    <x v="0"/>
    <x v="3"/>
    <x v="0"/>
    <x v="2"/>
    <x v="0"/>
  </r>
  <r>
    <s v="Singapore"/>
    <x v="1"/>
    <s v="SG4"/>
    <m/>
    <x v="1"/>
    <x v="2"/>
    <x v="2"/>
    <x v="4"/>
    <x v="0"/>
    <x v="0"/>
    <x v="0"/>
    <m/>
    <x v="0"/>
    <x v="0"/>
    <n v="0.1838322"/>
    <m/>
    <x v="4"/>
    <x v="0"/>
    <x v="0"/>
    <x v="4"/>
    <x v="0"/>
  </r>
  <r>
    <s v="Singapore"/>
    <x v="2"/>
    <s v="SG1"/>
    <m/>
    <x v="4"/>
    <x v="4"/>
    <x v="0"/>
    <x v="4"/>
    <x v="0"/>
    <x v="0"/>
    <x v="0"/>
    <m/>
    <x v="0"/>
    <x v="0"/>
    <n v="-76.972878989999998"/>
    <m/>
    <x v="2"/>
    <x v="0"/>
    <x v="0"/>
    <x v="1"/>
    <x v="1"/>
  </r>
  <r>
    <s v="Singapore"/>
    <x v="4"/>
    <s v="SG3"/>
    <m/>
    <x v="3"/>
    <x v="2"/>
    <x v="2"/>
    <x v="3"/>
    <x v="0"/>
    <x v="0"/>
    <x v="0"/>
    <m/>
    <x v="0"/>
    <x v="0"/>
    <n v="-0.96742474200000006"/>
    <m/>
    <x v="3"/>
    <x v="2"/>
    <x v="0"/>
    <x v="5"/>
    <x v="2"/>
  </r>
  <r>
    <s v="Singapore"/>
    <x v="1"/>
    <s v="SG2"/>
    <m/>
    <x v="4"/>
    <x v="0"/>
    <x v="1"/>
    <x v="4"/>
    <x v="0"/>
    <x v="0"/>
    <x v="0"/>
    <m/>
    <x v="0"/>
    <x v="0"/>
    <n v="-3.4320537"/>
    <m/>
    <x v="1"/>
    <x v="2"/>
    <x v="0"/>
    <x v="0"/>
    <x v="0"/>
  </r>
  <r>
    <s v="Singapore"/>
    <x v="4"/>
    <s v="SG1"/>
    <m/>
    <x v="5"/>
    <x v="4"/>
    <x v="2"/>
    <x v="4"/>
    <x v="0"/>
    <x v="0"/>
    <x v="0"/>
    <m/>
    <x v="0"/>
    <x v="0"/>
    <n v="-0.74779200000000001"/>
    <m/>
    <x v="0"/>
    <x v="2"/>
    <x v="0"/>
    <x v="1"/>
    <x v="1"/>
  </r>
  <r>
    <s v="Singapore"/>
    <x v="1"/>
    <s v="SG2"/>
    <m/>
    <x v="3"/>
    <x v="3"/>
    <x v="4"/>
    <x v="4"/>
    <x v="0"/>
    <x v="0"/>
    <x v="0"/>
    <m/>
    <x v="0"/>
    <x v="0"/>
    <n v="4.6737000000000001E-2"/>
    <m/>
    <x v="0"/>
    <x v="1"/>
    <x v="0"/>
    <x v="1"/>
    <x v="1"/>
  </r>
  <r>
    <s v="Singapore"/>
    <x v="5"/>
    <s v="SG3"/>
    <m/>
    <x v="3"/>
    <x v="4"/>
    <x v="4"/>
    <x v="1"/>
    <x v="0"/>
    <x v="0"/>
    <x v="0"/>
    <m/>
    <x v="0"/>
    <x v="0"/>
    <n v="-42.045773625000002"/>
    <m/>
    <x v="6"/>
    <x v="0"/>
    <x v="0"/>
    <x v="0"/>
    <x v="2"/>
  </r>
  <r>
    <s v="Singapore"/>
    <x v="5"/>
    <s v="SG4"/>
    <m/>
    <x v="0"/>
    <x v="0"/>
    <x v="4"/>
    <x v="4"/>
    <x v="0"/>
    <x v="0"/>
    <x v="0"/>
    <m/>
    <x v="0"/>
    <x v="0"/>
    <n v="7.306551E-2"/>
    <m/>
    <x v="8"/>
    <x v="2"/>
    <x v="0"/>
    <x v="3"/>
    <x v="1"/>
  </r>
  <r>
    <s v="Singapore"/>
    <x v="4"/>
    <s v="SG1"/>
    <m/>
    <x v="5"/>
    <x v="0"/>
    <x v="0"/>
    <x v="5"/>
    <x v="0"/>
    <x v="0"/>
    <x v="0"/>
    <m/>
    <x v="0"/>
    <x v="0"/>
    <n v="-0.15579000000000001"/>
    <m/>
    <x v="0"/>
    <x v="2"/>
    <x v="0"/>
    <x v="3"/>
    <x v="2"/>
  </r>
  <r>
    <s v="Singapore"/>
    <x v="3"/>
    <s v="SG1"/>
    <m/>
    <x v="3"/>
    <x v="4"/>
    <x v="3"/>
    <x v="0"/>
    <x v="0"/>
    <x v="0"/>
    <x v="0"/>
    <m/>
    <x v="0"/>
    <x v="0"/>
    <n v="-0.77895000000000003"/>
    <m/>
    <x v="4"/>
    <x v="0"/>
    <x v="0"/>
    <x v="3"/>
    <x v="1"/>
  </r>
  <r>
    <s v="Singapore"/>
    <x v="5"/>
    <s v="SG1"/>
    <m/>
    <x v="0"/>
    <x v="1"/>
    <x v="4"/>
    <x v="0"/>
    <x v="0"/>
    <x v="0"/>
    <x v="0"/>
    <m/>
    <x v="0"/>
    <x v="0"/>
    <n v="-2.0252700000000002E-2"/>
    <m/>
    <x v="6"/>
    <x v="0"/>
    <x v="0"/>
    <x v="2"/>
    <x v="2"/>
  </r>
  <r>
    <s v="Singapore"/>
    <x v="4"/>
    <s v="SG3"/>
    <m/>
    <x v="4"/>
    <x v="0"/>
    <x v="0"/>
    <x v="5"/>
    <x v="0"/>
    <x v="0"/>
    <x v="0"/>
    <m/>
    <x v="0"/>
    <x v="0"/>
    <n v="0.77895000000000003"/>
    <m/>
    <x v="4"/>
    <x v="1"/>
    <x v="0"/>
    <x v="2"/>
    <x v="1"/>
  </r>
  <r>
    <s v="Singapore"/>
    <x v="0"/>
    <s v="SG2"/>
    <m/>
    <x v="5"/>
    <x v="4"/>
    <x v="2"/>
    <x v="3"/>
    <x v="0"/>
    <x v="0"/>
    <x v="0"/>
    <m/>
    <x v="0"/>
    <x v="0"/>
    <n v="-7.7895000000000006E-2"/>
    <m/>
    <x v="4"/>
    <x v="0"/>
    <x v="0"/>
    <x v="1"/>
    <x v="2"/>
  </r>
  <r>
    <s v="Singapore"/>
    <x v="1"/>
    <s v="SG2"/>
    <m/>
    <x v="4"/>
    <x v="1"/>
    <x v="2"/>
    <x v="2"/>
    <x v="0"/>
    <x v="0"/>
    <x v="0"/>
    <m/>
    <x v="0"/>
    <x v="0"/>
    <n v="-0.140211"/>
    <m/>
    <x v="4"/>
    <x v="3"/>
    <x v="0"/>
    <x v="1"/>
    <x v="2"/>
  </r>
  <r>
    <s v="Singapore"/>
    <x v="5"/>
    <s v="SG4"/>
    <m/>
    <x v="3"/>
    <x v="0"/>
    <x v="1"/>
    <x v="1"/>
    <x v="0"/>
    <x v="0"/>
    <x v="0"/>
    <m/>
    <x v="0"/>
    <x v="0"/>
    <n v="-0.77895000000000003"/>
    <m/>
    <x v="4"/>
    <x v="3"/>
    <x v="0"/>
    <x v="4"/>
    <x v="2"/>
  </r>
  <r>
    <s v="Singapore"/>
    <x v="5"/>
    <s v="SG2"/>
    <m/>
    <x v="1"/>
    <x v="2"/>
    <x v="2"/>
    <x v="4"/>
    <x v="0"/>
    <x v="0"/>
    <x v="0"/>
    <m/>
    <x v="0"/>
    <x v="0"/>
    <n v="-143.43585300000001"/>
    <m/>
    <x v="2"/>
    <x v="3"/>
    <x v="0"/>
    <x v="5"/>
    <x v="2"/>
  </r>
  <r>
    <s v="Singapore"/>
    <x v="4"/>
    <s v="SG3"/>
    <m/>
    <x v="0"/>
    <x v="4"/>
    <x v="1"/>
    <x v="1"/>
    <x v="0"/>
    <x v="0"/>
    <x v="0"/>
    <m/>
    <x v="0"/>
    <x v="0"/>
    <n v="16.459213500000001"/>
    <m/>
    <x v="1"/>
    <x v="1"/>
    <x v="0"/>
    <x v="1"/>
    <x v="1"/>
  </r>
  <r>
    <s v="Singapore"/>
    <x v="5"/>
    <s v="SG4"/>
    <m/>
    <x v="2"/>
    <x v="3"/>
    <x v="2"/>
    <x v="5"/>
    <x v="0"/>
    <x v="0"/>
    <x v="0"/>
    <m/>
    <x v="0"/>
    <x v="0"/>
    <n v="-0.17136900000000002"/>
    <m/>
    <x v="8"/>
    <x v="1"/>
    <x v="0"/>
    <x v="0"/>
    <x v="2"/>
  </r>
  <r>
    <s v="Singapore"/>
    <x v="1"/>
    <s v="SG2"/>
    <m/>
    <x v="1"/>
    <x v="2"/>
    <x v="1"/>
    <x v="3"/>
    <x v="0"/>
    <x v="0"/>
    <x v="0"/>
    <m/>
    <x v="0"/>
    <x v="0"/>
    <n v="-0.72722772000000002"/>
    <m/>
    <x v="6"/>
    <x v="1"/>
    <x v="0"/>
    <x v="5"/>
    <x v="0"/>
  </r>
  <r>
    <s v="Singapore"/>
    <x v="1"/>
    <s v="SG4"/>
    <m/>
    <x v="2"/>
    <x v="3"/>
    <x v="1"/>
    <x v="1"/>
    <x v="0"/>
    <x v="0"/>
    <x v="0"/>
    <m/>
    <x v="0"/>
    <x v="0"/>
    <n v="-0.280422"/>
    <m/>
    <x v="0"/>
    <x v="3"/>
    <x v="0"/>
    <x v="4"/>
    <x v="1"/>
  </r>
  <r>
    <s v="Singapore"/>
    <x v="4"/>
    <s v="SG1"/>
    <m/>
    <x v="4"/>
    <x v="3"/>
    <x v="4"/>
    <x v="5"/>
    <x v="0"/>
    <x v="0"/>
    <x v="0"/>
    <m/>
    <x v="0"/>
    <x v="0"/>
    <n v="0.24926400000000001"/>
    <m/>
    <x v="0"/>
    <x v="1"/>
    <x v="0"/>
    <x v="4"/>
    <x v="2"/>
  </r>
  <r>
    <s v="Singapore"/>
    <x v="1"/>
    <s v="SG1"/>
    <m/>
    <x v="2"/>
    <x v="0"/>
    <x v="0"/>
    <x v="5"/>
    <x v="0"/>
    <x v="0"/>
    <x v="0"/>
    <m/>
    <x v="0"/>
    <x v="0"/>
    <n v="-0.4611384"/>
    <m/>
    <x v="4"/>
    <x v="2"/>
    <x v="0"/>
    <x v="1"/>
    <x v="0"/>
  </r>
  <r>
    <s v="Singapore"/>
    <x v="5"/>
    <s v="SG3"/>
    <m/>
    <x v="1"/>
    <x v="1"/>
    <x v="1"/>
    <x v="1"/>
    <x v="0"/>
    <x v="0"/>
    <x v="0"/>
    <m/>
    <x v="0"/>
    <x v="0"/>
    <n v="0.46737000000000001"/>
    <m/>
    <x v="0"/>
    <x v="3"/>
    <x v="0"/>
    <x v="3"/>
    <x v="2"/>
  </r>
  <r>
    <s v="Singapore"/>
    <x v="5"/>
    <s v="SG4"/>
    <m/>
    <x v="4"/>
    <x v="4"/>
    <x v="3"/>
    <x v="1"/>
    <x v="0"/>
    <x v="0"/>
    <x v="0"/>
    <m/>
    <x v="0"/>
    <x v="0"/>
    <n v="-0.31158000000000002"/>
    <m/>
    <x v="0"/>
    <x v="1"/>
    <x v="0"/>
    <x v="0"/>
    <x v="0"/>
  </r>
  <r>
    <s v="Singapore"/>
    <x v="0"/>
    <s v="SG4"/>
    <m/>
    <x v="3"/>
    <x v="4"/>
    <x v="3"/>
    <x v="1"/>
    <x v="0"/>
    <x v="0"/>
    <x v="0"/>
    <m/>
    <x v="0"/>
    <x v="0"/>
    <n v="-23.806534743"/>
    <m/>
    <x v="3"/>
    <x v="0"/>
    <x v="0"/>
    <x v="3"/>
    <x v="0"/>
  </r>
  <r>
    <s v="Singapore"/>
    <x v="0"/>
    <s v="SG2"/>
    <m/>
    <x v="5"/>
    <x v="1"/>
    <x v="2"/>
    <x v="5"/>
    <x v="0"/>
    <x v="0"/>
    <x v="0"/>
    <m/>
    <x v="0"/>
    <x v="0"/>
    <n v="-9.3474000000000002E-2"/>
    <m/>
    <x v="0"/>
    <x v="3"/>
    <x v="0"/>
    <x v="4"/>
    <x v="0"/>
  </r>
  <r>
    <s v="Singapore"/>
    <x v="3"/>
    <s v="SG4"/>
    <m/>
    <x v="5"/>
    <x v="3"/>
    <x v="1"/>
    <x v="3"/>
    <x v="0"/>
    <x v="0"/>
    <x v="0"/>
    <m/>
    <x v="0"/>
    <x v="0"/>
    <n v="-0.15579000000000001"/>
    <m/>
    <x v="0"/>
    <x v="1"/>
    <x v="0"/>
    <x v="0"/>
    <x v="0"/>
  </r>
  <r>
    <s v="Singapore"/>
    <x v="1"/>
    <s v="SG3"/>
    <m/>
    <x v="1"/>
    <x v="3"/>
    <x v="0"/>
    <x v="3"/>
    <x v="0"/>
    <x v="0"/>
    <x v="0"/>
    <m/>
    <x v="0"/>
    <x v="0"/>
    <n v="-0.60758100000000004"/>
    <m/>
    <x v="1"/>
    <x v="0"/>
    <x v="0"/>
    <x v="2"/>
    <x v="2"/>
  </r>
  <r>
    <s v="Singapore"/>
    <x v="4"/>
    <s v="SG2"/>
    <m/>
    <x v="0"/>
    <x v="1"/>
    <x v="0"/>
    <x v="5"/>
    <x v="0"/>
    <x v="0"/>
    <x v="0"/>
    <m/>
    <x v="0"/>
    <x v="0"/>
    <n v="0.15579000000000001"/>
    <m/>
    <x v="1"/>
    <x v="0"/>
    <x v="0"/>
    <x v="4"/>
    <x v="0"/>
  </r>
  <r>
    <s v="Singapore"/>
    <x v="5"/>
    <s v="SG2"/>
    <m/>
    <x v="5"/>
    <x v="2"/>
    <x v="3"/>
    <x v="1"/>
    <x v="0"/>
    <x v="0"/>
    <x v="0"/>
    <m/>
    <x v="0"/>
    <x v="0"/>
    <n v="-0.186948"/>
    <m/>
    <x v="0"/>
    <x v="3"/>
    <x v="0"/>
    <x v="4"/>
    <x v="2"/>
  </r>
  <r>
    <s v="Singapore"/>
    <x v="0"/>
    <s v="SG1"/>
    <m/>
    <x v="3"/>
    <x v="2"/>
    <x v="1"/>
    <x v="3"/>
    <x v="0"/>
    <x v="0"/>
    <x v="0"/>
    <m/>
    <x v="0"/>
    <x v="0"/>
    <n v="-0.140211"/>
    <m/>
    <x v="0"/>
    <x v="1"/>
    <x v="0"/>
    <x v="3"/>
    <x v="0"/>
  </r>
  <r>
    <s v="Singapore"/>
    <x v="2"/>
    <s v="SG3"/>
    <m/>
    <x v="2"/>
    <x v="3"/>
    <x v="3"/>
    <x v="4"/>
    <x v="0"/>
    <x v="0"/>
    <x v="0"/>
    <m/>
    <x v="0"/>
    <x v="0"/>
    <n v="-0.70105499999999998"/>
    <m/>
    <x v="1"/>
    <x v="1"/>
    <x v="0"/>
    <x v="5"/>
    <x v="1"/>
  </r>
  <r>
    <s v="Singapore"/>
    <x v="5"/>
    <s v="SG4"/>
    <m/>
    <x v="4"/>
    <x v="0"/>
    <x v="4"/>
    <x v="0"/>
    <x v="0"/>
    <x v="0"/>
    <x v="0"/>
    <m/>
    <x v="0"/>
    <x v="0"/>
    <n v="1.059372"/>
    <m/>
    <x v="1"/>
    <x v="0"/>
    <x v="0"/>
    <x v="1"/>
    <x v="1"/>
  </r>
  <r>
    <s v="Singapore"/>
    <x v="1"/>
    <s v="SG4"/>
    <m/>
    <x v="4"/>
    <x v="0"/>
    <x v="3"/>
    <x v="1"/>
    <x v="0"/>
    <x v="0"/>
    <x v="0"/>
    <m/>
    <x v="0"/>
    <x v="0"/>
    <n v="-0.32404320000000003"/>
    <m/>
    <x v="6"/>
    <x v="1"/>
    <x v="0"/>
    <x v="3"/>
    <x v="2"/>
  </r>
  <r>
    <s v="Singapore"/>
    <x v="1"/>
    <s v="SG3"/>
    <m/>
    <x v="1"/>
    <x v="3"/>
    <x v="3"/>
    <x v="4"/>
    <x v="0"/>
    <x v="0"/>
    <x v="0"/>
    <m/>
    <x v="0"/>
    <x v="0"/>
    <n v="-7.7895000000000006E-2"/>
    <m/>
    <x v="0"/>
    <x v="2"/>
    <x v="0"/>
    <x v="0"/>
    <x v="2"/>
  </r>
  <r>
    <s v="Singapore"/>
    <x v="3"/>
    <s v="SG3"/>
    <m/>
    <x v="4"/>
    <x v="2"/>
    <x v="0"/>
    <x v="1"/>
    <x v="0"/>
    <x v="0"/>
    <x v="0"/>
    <m/>
    <x v="0"/>
    <x v="0"/>
    <n v="0.1838322"/>
    <m/>
    <x v="4"/>
    <x v="1"/>
    <x v="0"/>
    <x v="4"/>
    <x v="2"/>
  </r>
  <r>
    <s v="Singapore"/>
    <x v="0"/>
    <s v="SG2"/>
    <m/>
    <x v="3"/>
    <x v="2"/>
    <x v="3"/>
    <x v="0"/>
    <x v="0"/>
    <x v="0"/>
    <x v="0"/>
    <m/>
    <x v="0"/>
    <x v="0"/>
    <n v="0.74779200000000001"/>
    <m/>
    <x v="1"/>
    <x v="0"/>
    <x v="0"/>
    <x v="3"/>
    <x v="1"/>
  </r>
  <r>
    <s v="Singapore"/>
    <x v="5"/>
    <s v="SG2"/>
    <m/>
    <x v="0"/>
    <x v="0"/>
    <x v="1"/>
    <x v="5"/>
    <x v="0"/>
    <x v="0"/>
    <x v="0"/>
    <m/>
    <x v="0"/>
    <x v="0"/>
    <n v="-1.86948"/>
    <m/>
    <x v="4"/>
    <x v="0"/>
    <x v="0"/>
    <x v="0"/>
    <x v="1"/>
  </r>
  <r>
    <s v="Singapore"/>
    <x v="5"/>
    <s v="SG4"/>
    <m/>
    <x v="2"/>
    <x v="2"/>
    <x v="2"/>
    <x v="2"/>
    <x v="0"/>
    <x v="0"/>
    <x v="0"/>
    <m/>
    <x v="0"/>
    <x v="0"/>
    <n v="-0.51410699999999998"/>
    <m/>
    <x v="8"/>
    <x v="2"/>
    <x v="0"/>
    <x v="1"/>
    <x v="0"/>
  </r>
  <r>
    <s v="Singapore"/>
    <x v="3"/>
    <s v="SG3"/>
    <m/>
    <x v="2"/>
    <x v="0"/>
    <x v="4"/>
    <x v="0"/>
    <x v="0"/>
    <x v="0"/>
    <x v="0"/>
    <m/>
    <x v="0"/>
    <x v="0"/>
    <n v="1.0801232280000002"/>
    <m/>
    <x v="1"/>
    <x v="3"/>
    <x v="0"/>
    <x v="2"/>
    <x v="1"/>
  </r>
  <r>
    <s v="Singapore"/>
    <x v="4"/>
    <s v="SG4"/>
    <m/>
    <x v="1"/>
    <x v="0"/>
    <x v="1"/>
    <x v="2"/>
    <x v="0"/>
    <x v="0"/>
    <x v="0"/>
    <m/>
    <x v="0"/>
    <x v="0"/>
    <n v="2.6421205050000003"/>
    <m/>
    <x v="5"/>
    <x v="0"/>
    <x v="0"/>
    <x v="0"/>
    <x v="0"/>
  </r>
  <r>
    <s v="Singapore"/>
    <x v="4"/>
    <s v="SG1"/>
    <m/>
    <x v="1"/>
    <x v="3"/>
    <x v="1"/>
    <x v="0"/>
    <x v="0"/>
    <x v="0"/>
    <x v="0"/>
    <m/>
    <x v="0"/>
    <x v="0"/>
    <n v="-0.15579000000000001"/>
    <m/>
    <x v="0"/>
    <x v="0"/>
    <x v="0"/>
    <x v="0"/>
    <x v="2"/>
  </r>
  <r>
    <s v="Singapore"/>
    <x v="0"/>
    <s v="SG4"/>
    <m/>
    <x v="0"/>
    <x v="3"/>
    <x v="1"/>
    <x v="0"/>
    <x v="0"/>
    <x v="0"/>
    <x v="0"/>
    <m/>
    <x v="0"/>
    <x v="0"/>
    <n v="-7.7895000000000006E-2"/>
    <m/>
    <x v="0"/>
    <x v="3"/>
    <x v="0"/>
    <x v="5"/>
    <x v="2"/>
  </r>
  <r>
    <s v="Singapore"/>
    <x v="1"/>
    <s v="SG4"/>
    <m/>
    <x v="2"/>
    <x v="2"/>
    <x v="1"/>
    <x v="4"/>
    <x v="0"/>
    <x v="0"/>
    <x v="0"/>
    <m/>
    <x v="0"/>
    <x v="0"/>
    <n v="-0.15579000000000001"/>
    <m/>
    <x v="0"/>
    <x v="2"/>
    <x v="0"/>
    <x v="2"/>
    <x v="0"/>
  </r>
  <r>
    <s v="Singapore"/>
    <x v="3"/>
    <s v="SG3"/>
    <m/>
    <x v="2"/>
    <x v="1"/>
    <x v="1"/>
    <x v="2"/>
    <x v="0"/>
    <x v="0"/>
    <x v="0"/>
    <m/>
    <x v="0"/>
    <x v="0"/>
    <n v="-2.775180744"/>
    <m/>
    <x v="4"/>
    <x v="2"/>
    <x v="0"/>
    <x v="1"/>
    <x v="1"/>
  </r>
  <r>
    <s v="Singapore"/>
    <x v="4"/>
    <s v="SG2"/>
    <m/>
    <x v="3"/>
    <x v="0"/>
    <x v="4"/>
    <x v="3"/>
    <x v="0"/>
    <x v="0"/>
    <x v="0"/>
    <m/>
    <x v="0"/>
    <x v="0"/>
    <n v="-0.46737000000000001"/>
    <m/>
    <x v="0"/>
    <x v="2"/>
    <x v="0"/>
    <x v="5"/>
    <x v="1"/>
  </r>
  <r>
    <s v="Singapore"/>
    <x v="0"/>
    <s v="SG3"/>
    <m/>
    <x v="0"/>
    <x v="4"/>
    <x v="2"/>
    <x v="5"/>
    <x v="0"/>
    <x v="0"/>
    <x v="0"/>
    <m/>
    <x v="0"/>
    <x v="0"/>
    <n v="-1.40211"/>
    <m/>
    <x v="0"/>
    <x v="2"/>
    <x v="0"/>
    <x v="4"/>
    <x v="2"/>
  </r>
  <r>
    <s v="Singapore"/>
    <x v="1"/>
    <s v="SG1"/>
    <m/>
    <x v="4"/>
    <x v="1"/>
    <x v="4"/>
    <x v="4"/>
    <x v="0"/>
    <x v="0"/>
    <x v="0"/>
    <m/>
    <x v="0"/>
    <x v="0"/>
    <n v="5.1099120000000005"/>
    <m/>
    <x v="11"/>
    <x v="3"/>
    <x v="0"/>
    <x v="5"/>
    <x v="0"/>
  </r>
  <r>
    <s v="Singapore"/>
    <x v="3"/>
    <s v="SG4"/>
    <m/>
    <x v="5"/>
    <x v="4"/>
    <x v="4"/>
    <x v="2"/>
    <x v="0"/>
    <x v="0"/>
    <x v="0"/>
    <m/>
    <x v="0"/>
    <x v="0"/>
    <n v="7.0105500000000001E-2"/>
    <m/>
    <x v="1"/>
    <x v="1"/>
    <x v="0"/>
    <x v="0"/>
    <x v="1"/>
  </r>
  <r>
    <s v="Singapore"/>
    <x v="5"/>
    <s v="SG2"/>
    <m/>
    <x v="2"/>
    <x v="1"/>
    <x v="2"/>
    <x v="3"/>
    <x v="0"/>
    <x v="0"/>
    <x v="0"/>
    <m/>
    <x v="0"/>
    <x v="0"/>
    <n v="1.168425"/>
    <m/>
    <x v="8"/>
    <x v="1"/>
    <x v="0"/>
    <x v="5"/>
    <x v="2"/>
  </r>
  <r>
    <s v="Singapore"/>
    <x v="0"/>
    <s v="SG1"/>
    <m/>
    <x v="4"/>
    <x v="4"/>
    <x v="4"/>
    <x v="0"/>
    <x v="0"/>
    <x v="0"/>
    <x v="0"/>
    <m/>
    <x v="0"/>
    <x v="0"/>
    <n v="0.66989700000000008"/>
    <m/>
    <x v="1"/>
    <x v="2"/>
    <x v="0"/>
    <x v="5"/>
    <x v="0"/>
  </r>
  <r>
    <s v="Singapore"/>
    <x v="3"/>
    <s v="SG1"/>
    <m/>
    <x v="0"/>
    <x v="4"/>
    <x v="0"/>
    <x v="2"/>
    <x v="0"/>
    <x v="0"/>
    <x v="0"/>
    <m/>
    <x v="0"/>
    <x v="0"/>
    <n v="30.134771280000002"/>
    <m/>
    <x v="1"/>
    <x v="1"/>
    <x v="0"/>
    <x v="5"/>
    <x v="2"/>
  </r>
  <r>
    <s v="Singapore"/>
    <x v="4"/>
    <s v="SG1"/>
    <m/>
    <x v="3"/>
    <x v="4"/>
    <x v="4"/>
    <x v="0"/>
    <x v="0"/>
    <x v="0"/>
    <x v="0"/>
    <m/>
    <x v="0"/>
    <x v="0"/>
    <n v="-4.6737000000000001E-2"/>
    <m/>
    <x v="0"/>
    <x v="1"/>
    <x v="0"/>
    <x v="4"/>
    <x v="2"/>
  </r>
  <r>
    <s v="Singapore"/>
    <x v="4"/>
    <s v="SG2"/>
    <m/>
    <x v="4"/>
    <x v="0"/>
    <x v="3"/>
    <x v="5"/>
    <x v="0"/>
    <x v="0"/>
    <x v="0"/>
    <m/>
    <x v="0"/>
    <x v="0"/>
    <n v="-7.7895000000000006E-2"/>
    <m/>
    <x v="1"/>
    <x v="3"/>
    <x v="0"/>
    <x v="0"/>
    <x v="2"/>
  </r>
  <r>
    <s v="Singapore"/>
    <x v="2"/>
    <s v="SG2"/>
    <m/>
    <x v="4"/>
    <x v="1"/>
    <x v="3"/>
    <x v="0"/>
    <x v="0"/>
    <x v="0"/>
    <x v="0"/>
    <m/>
    <x v="0"/>
    <x v="0"/>
    <n v="-1.4067837000000001"/>
    <m/>
    <x v="3"/>
    <x v="3"/>
    <x v="0"/>
    <x v="0"/>
    <x v="2"/>
  </r>
  <r>
    <s v="Singapore"/>
    <x v="5"/>
    <s v="SG3"/>
    <m/>
    <x v="3"/>
    <x v="1"/>
    <x v="0"/>
    <x v="4"/>
    <x v="0"/>
    <x v="0"/>
    <x v="0"/>
    <m/>
    <x v="0"/>
    <x v="0"/>
    <n v="-0.264843"/>
    <m/>
    <x v="0"/>
    <x v="2"/>
    <x v="0"/>
    <x v="4"/>
    <x v="1"/>
  </r>
  <r>
    <s v="Singapore"/>
    <x v="3"/>
    <s v="SG1"/>
    <m/>
    <x v="0"/>
    <x v="3"/>
    <x v="1"/>
    <x v="1"/>
    <x v="0"/>
    <x v="0"/>
    <x v="0"/>
    <m/>
    <x v="0"/>
    <x v="0"/>
    <n v="-2.0970424529999998"/>
    <m/>
    <x v="4"/>
    <x v="1"/>
    <x v="0"/>
    <x v="3"/>
    <x v="0"/>
  </r>
  <r>
    <s v="Singapore"/>
    <x v="5"/>
    <s v="SG2"/>
    <m/>
    <x v="1"/>
    <x v="2"/>
    <x v="4"/>
    <x v="4"/>
    <x v="0"/>
    <x v="0"/>
    <x v="0"/>
    <m/>
    <x v="0"/>
    <x v="0"/>
    <n v="-0.20671775100000001"/>
    <m/>
    <x v="0"/>
    <x v="1"/>
    <x v="0"/>
    <x v="0"/>
    <x v="1"/>
  </r>
  <r>
    <s v="Singapore"/>
    <x v="1"/>
    <s v="SG4"/>
    <m/>
    <x v="3"/>
    <x v="1"/>
    <x v="3"/>
    <x v="3"/>
    <x v="0"/>
    <x v="0"/>
    <x v="0"/>
    <m/>
    <x v="0"/>
    <x v="0"/>
    <n v="-0.17136900000000002"/>
    <m/>
    <x v="8"/>
    <x v="0"/>
    <x v="0"/>
    <x v="3"/>
    <x v="0"/>
  </r>
  <r>
    <s v="Singapore"/>
    <x v="0"/>
    <s v="SG4"/>
    <m/>
    <x v="0"/>
    <x v="2"/>
    <x v="3"/>
    <x v="1"/>
    <x v="0"/>
    <x v="0"/>
    <x v="0"/>
    <m/>
    <x v="0"/>
    <x v="0"/>
    <n v="-0.15579000000000001"/>
    <m/>
    <x v="4"/>
    <x v="3"/>
    <x v="0"/>
    <x v="1"/>
    <x v="2"/>
  </r>
  <r>
    <s v="Singapore"/>
    <x v="2"/>
    <s v="SG3"/>
    <m/>
    <x v="4"/>
    <x v="4"/>
    <x v="0"/>
    <x v="1"/>
    <x v="0"/>
    <x v="0"/>
    <x v="0"/>
    <m/>
    <x v="0"/>
    <x v="0"/>
    <n v="-1.6825320000000001"/>
    <m/>
    <x v="0"/>
    <x v="0"/>
    <x v="0"/>
    <x v="3"/>
    <x v="0"/>
  </r>
  <r>
    <s v="Singapore"/>
    <x v="0"/>
    <s v="SG4"/>
    <m/>
    <x v="5"/>
    <x v="2"/>
    <x v="4"/>
    <x v="0"/>
    <x v="0"/>
    <x v="0"/>
    <x v="0"/>
    <m/>
    <x v="0"/>
    <x v="0"/>
    <n v="-2.7263250000000001"/>
    <m/>
    <x v="1"/>
    <x v="1"/>
    <x v="0"/>
    <x v="4"/>
    <x v="1"/>
  </r>
  <r>
    <s v="Singapore"/>
    <x v="1"/>
    <s v="SG4"/>
    <m/>
    <x v="3"/>
    <x v="0"/>
    <x v="1"/>
    <x v="3"/>
    <x v="0"/>
    <x v="0"/>
    <x v="0"/>
    <m/>
    <x v="0"/>
    <x v="0"/>
    <n v="-4.6737000000000001E-2"/>
    <m/>
    <x v="0"/>
    <x v="2"/>
    <x v="0"/>
    <x v="4"/>
    <x v="2"/>
  </r>
  <r>
    <s v="Singapore"/>
    <x v="0"/>
    <s v="SG1"/>
    <m/>
    <x v="5"/>
    <x v="4"/>
    <x v="0"/>
    <x v="1"/>
    <x v="0"/>
    <x v="0"/>
    <x v="0"/>
    <m/>
    <x v="0"/>
    <x v="0"/>
    <n v="-0.10562562"/>
    <m/>
    <x v="0"/>
    <x v="1"/>
    <x v="0"/>
    <x v="0"/>
    <x v="2"/>
  </r>
  <r>
    <s v="Singapore"/>
    <x v="4"/>
    <s v="SG3"/>
    <m/>
    <x v="4"/>
    <x v="0"/>
    <x v="3"/>
    <x v="0"/>
    <x v="0"/>
    <x v="0"/>
    <x v="0"/>
    <m/>
    <x v="0"/>
    <x v="0"/>
    <n v="-1.2650148000000001"/>
    <m/>
    <x v="3"/>
    <x v="2"/>
    <x v="0"/>
    <x v="3"/>
    <x v="2"/>
  </r>
  <r>
    <s v="Singapore"/>
    <x v="4"/>
    <s v="SG4"/>
    <m/>
    <x v="0"/>
    <x v="4"/>
    <x v="2"/>
    <x v="0"/>
    <x v="0"/>
    <x v="0"/>
    <x v="0"/>
    <m/>
    <x v="0"/>
    <x v="0"/>
    <n v="1.3818573000000001"/>
    <m/>
    <x v="1"/>
    <x v="1"/>
    <x v="0"/>
    <x v="1"/>
    <x v="1"/>
  </r>
  <r>
    <s v="Singapore"/>
    <x v="1"/>
    <s v="SG4"/>
    <m/>
    <x v="5"/>
    <x v="4"/>
    <x v="3"/>
    <x v="1"/>
    <x v="0"/>
    <x v="0"/>
    <x v="0"/>
    <m/>
    <x v="0"/>
    <x v="0"/>
    <n v="0.15579000000000001"/>
    <m/>
    <x v="1"/>
    <x v="1"/>
    <x v="0"/>
    <x v="2"/>
    <x v="2"/>
  </r>
  <r>
    <s v="Singapore"/>
    <x v="1"/>
    <s v="SG1"/>
    <m/>
    <x v="1"/>
    <x v="2"/>
    <x v="3"/>
    <x v="0"/>
    <x v="0"/>
    <x v="0"/>
    <x v="0"/>
    <m/>
    <x v="0"/>
    <x v="0"/>
    <n v="-0.12463200000000001"/>
    <m/>
    <x v="0"/>
    <x v="2"/>
    <x v="0"/>
    <x v="5"/>
    <x v="0"/>
  </r>
  <r>
    <s v="Singapore"/>
    <x v="3"/>
    <s v="SG1"/>
    <m/>
    <x v="2"/>
    <x v="4"/>
    <x v="0"/>
    <x v="2"/>
    <x v="0"/>
    <x v="0"/>
    <x v="0"/>
    <m/>
    <x v="0"/>
    <x v="0"/>
    <n v="0.77895000000000003"/>
    <m/>
    <x v="4"/>
    <x v="2"/>
    <x v="0"/>
    <x v="1"/>
    <x v="0"/>
  </r>
  <r>
    <s v="Singapore"/>
    <x v="4"/>
    <s v="SG3"/>
    <m/>
    <x v="1"/>
    <x v="2"/>
    <x v="3"/>
    <x v="3"/>
    <x v="0"/>
    <x v="0"/>
    <x v="0"/>
    <m/>
    <x v="0"/>
    <x v="0"/>
    <n v="2.0408490000000001"/>
    <m/>
    <x v="7"/>
    <x v="3"/>
    <x v="0"/>
    <x v="2"/>
    <x v="2"/>
  </r>
  <r>
    <s v="Singapore"/>
    <x v="4"/>
    <s v="SG3"/>
    <m/>
    <x v="5"/>
    <x v="3"/>
    <x v="4"/>
    <x v="0"/>
    <x v="0"/>
    <x v="0"/>
    <x v="0"/>
    <m/>
    <x v="0"/>
    <x v="0"/>
    <n v="-0.21810600000000002"/>
    <m/>
    <x v="1"/>
    <x v="0"/>
    <x v="0"/>
    <x v="0"/>
    <x v="1"/>
  </r>
  <r>
    <s v="Singapore"/>
    <x v="0"/>
    <s v="SG1"/>
    <m/>
    <x v="4"/>
    <x v="0"/>
    <x v="4"/>
    <x v="1"/>
    <x v="0"/>
    <x v="0"/>
    <x v="0"/>
    <m/>
    <x v="0"/>
    <x v="0"/>
    <n v="-2.0971826640000004"/>
    <m/>
    <x v="4"/>
    <x v="0"/>
    <x v="0"/>
    <x v="2"/>
    <x v="2"/>
  </r>
  <r>
    <s v="Singapore"/>
    <x v="1"/>
    <s v="SG1"/>
    <m/>
    <x v="1"/>
    <x v="1"/>
    <x v="3"/>
    <x v="5"/>
    <x v="0"/>
    <x v="0"/>
    <x v="0"/>
    <m/>
    <x v="0"/>
    <x v="0"/>
    <n v="-1.175046075"/>
    <m/>
    <x v="4"/>
    <x v="1"/>
    <x v="0"/>
    <x v="5"/>
    <x v="2"/>
  </r>
  <r>
    <s v="Singapore"/>
    <x v="2"/>
    <s v="SG2"/>
    <m/>
    <x v="4"/>
    <x v="1"/>
    <x v="1"/>
    <x v="5"/>
    <x v="0"/>
    <x v="0"/>
    <x v="0"/>
    <m/>
    <x v="0"/>
    <x v="0"/>
    <n v="2.6406404999999999"/>
    <m/>
    <x v="1"/>
    <x v="0"/>
    <x v="0"/>
    <x v="2"/>
    <x v="1"/>
  </r>
  <r>
    <s v="Singapore"/>
    <x v="4"/>
    <s v="SG3"/>
    <m/>
    <x v="1"/>
    <x v="1"/>
    <x v="0"/>
    <x v="5"/>
    <x v="0"/>
    <x v="0"/>
    <x v="0"/>
    <m/>
    <x v="0"/>
    <x v="0"/>
    <n v="-0.10905300000000001"/>
    <m/>
    <x v="4"/>
    <x v="3"/>
    <x v="0"/>
    <x v="2"/>
    <x v="2"/>
  </r>
  <r>
    <s v="Singapore"/>
    <x v="5"/>
    <s v="SG2"/>
    <m/>
    <x v="1"/>
    <x v="2"/>
    <x v="4"/>
    <x v="4"/>
    <x v="0"/>
    <x v="0"/>
    <x v="0"/>
    <m/>
    <x v="0"/>
    <x v="0"/>
    <n v="-0.15579000000000001"/>
    <m/>
    <x v="8"/>
    <x v="2"/>
    <x v="0"/>
    <x v="1"/>
    <x v="1"/>
  </r>
  <r>
    <s v="Singapore"/>
    <x v="1"/>
    <s v="SG3"/>
    <m/>
    <x v="3"/>
    <x v="3"/>
    <x v="0"/>
    <x v="1"/>
    <x v="0"/>
    <x v="0"/>
    <x v="0"/>
    <m/>
    <x v="0"/>
    <x v="0"/>
    <n v="-1.5579000000000001E-2"/>
    <m/>
    <x v="0"/>
    <x v="2"/>
    <x v="0"/>
    <x v="4"/>
    <x v="1"/>
  </r>
  <r>
    <s v="Singapore"/>
    <x v="2"/>
    <s v="SG4"/>
    <m/>
    <x v="3"/>
    <x v="3"/>
    <x v="0"/>
    <x v="0"/>
    <x v="0"/>
    <x v="0"/>
    <x v="0"/>
    <m/>
    <x v="0"/>
    <x v="0"/>
    <n v="-0.79401489300000005"/>
    <m/>
    <x v="1"/>
    <x v="1"/>
    <x v="0"/>
    <x v="1"/>
    <x v="2"/>
  </r>
  <r>
    <s v="Singapore"/>
    <x v="5"/>
    <s v="SG1"/>
    <m/>
    <x v="0"/>
    <x v="2"/>
    <x v="3"/>
    <x v="0"/>
    <x v="0"/>
    <x v="0"/>
    <x v="0"/>
    <m/>
    <x v="0"/>
    <x v="0"/>
    <n v="-0.62316000000000005"/>
    <m/>
    <x v="4"/>
    <x v="1"/>
    <x v="0"/>
    <x v="2"/>
    <x v="1"/>
  </r>
  <r>
    <s v="Singapore"/>
    <x v="0"/>
    <s v="SG1"/>
    <m/>
    <x v="1"/>
    <x v="3"/>
    <x v="2"/>
    <x v="3"/>
    <x v="0"/>
    <x v="0"/>
    <x v="0"/>
    <m/>
    <x v="0"/>
    <x v="0"/>
    <n v="-0.77895000000000003"/>
    <m/>
    <x v="4"/>
    <x v="2"/>
    <x v="0"/>
    <x v="4"/>
    <x v="0"/>
  </r>
  <r>
    <s v="Singapore"/>
    <x v="3"/>
    <s v="SG2"/>
    <m/>
    <x v="1"/>
    <x v="3"/>
    <x v="4"/>
    <x v="1"/>
    <x v="0"/>
    <x v="0"/>
    <x v="0"/>
    <m/>
    <x v="0"/>
    <x v="0"/>
    <n v="-1.074717315"/>
    <m/>
    <x v="2"/>
    <x v="1"/>
    <x v="0"/>
    <x v="1"/>
    <x v="1"/>
  </r>
  <r>
    <s v="Singapore"/>
    <x v="0"/>
    <s v="SG1"/>
    <m/>
    <x v="1"/>
    <x v="2"/>
    <x v="4"/>
    <x v="0"/>
    <x v="0"/>
    <x v="0"/>
    <x v="0"/>
    <m/>
    <x v="0"/>
    <x v="0"/>
    <n v="-0.21810600000000002"/>
    <m/>
    <x v="4"/>
    <x v="0"/>
    <x v="0"/>
    <x v="0"/>
    <x v="1"/>
  </r>
  <r>
    <s v="Singapore"/>
    <x v="0"/>
    <s v="SG4"/>
    <m/>
    <x v="2"/>
    <x v="1"/>
    <x v="2"/>
    <x v="4"/>
    <x v="0"/>
    <x v="0"/>
    <x v="0"/>
    <m/>
    <x v="0"/>
    <x v="0"/>
    <n v="24.781733406000001"/>
    <m/>
    <x v="7"/>
    <x v="3"/>
    <x v="0"/>
    <x v="2"/>
    <x v="0"/>
  </r>
  <r>
    <s v="Singapore"/>
    <x v="0"/>
    <s v="SG1"/>
    <m/>
    <x v="4"/>
    <x v="0"/>
    <x v="3"/>
    <x v="3"/>
    <x v="0"/>
    <x v="0"/>
    <x v="0"/>
    <m/>
    <x v="0"/>
    <x v="0"/>
    <n v="-0.233685"/>
    <m/>
    <x v="0"/>
    <x v="0"/>
    <x v="0"/>
    <x v="2"/>
    <x v="0"/>
  </r>
  <r>
    <s v="Singapore"/>
    <x v="4"/>
    <s v="SG4"/>
    <m/>
    <x v="3"/>
    <x v="3"/>
    <x v="1"/>
    <x v="1"/>
    <x v="0"/>
    <x v="0"/>
    <x v="0"/>
    <m/>
    <x v="0"/>
    <x v="0"/>
    <n v="-0.62316000000000005"/>
    <m/>
    <x v="4"/>
    <x v="2"/>
    <x v="0"/>
    <x v="4"/>
    <x v="0"/>
  </r>
  <r>
    <s v="Singapore"/>
    <x v="2"/>
    <s v="SG4"/>
    <m/>
    <x v="5"/>
    <x v="0"/>
    <x v="1"/>
    <x v="5"/>
    <x v="0"/>
    <x v="0"/>
    <x v="0"/>
    <m/>
    <x v="0"/>
    <x v="0"/>
    <n v="-1.2463200000000001"/>
    <m/>
    <x v="4"/>
    <x v="0"/>
    <x v="0"/>
    <x v="2"/>
    <x v="0"/>
  </r>
  <r>
    <s v="Singapore"/>
    <x v="5"/>
    <s v="SG3"/>
    <m/>
    <x v="0"/>
    <x v="2"/>
    <x v="0"/>
    <x v="2"/>
    <x v="0"/>
    <x v="0"/>
    <x v="0"/>
    <m/>
    <x v="0"/>
    <x v="0"/>
    <n v="0.12128251499999999"/>
    <m/>
    <x v="8"/>
    <x v="2"/>
    <x v="0"/>
    <x v="4"/>
    <x v="2"/>
  </r>
  <r>
    <s v="Singapore"/>
    <x v="1"/>
    <s v="SG1"/>
    <m/>
    <x v="5"/>
    <x v="1"/>
    <x v="0"/>
    <x v="4"/>
    <x v="0"/>
    <x v="0"/>
    <x v="0"/>
    <m/>
    <x v="0"/>
    <x v="0"/>
    <n v="-1.2447621"/>
    <m/>
    <x v="1"/>
    <x v="1"/>
    <x v="0"/>
    <x v="3"/>
    <x v="2"/>
  </r>
  <r>
    <s v="Singapore"/>
    <x v="0"/>
    <s v="SG3"/>
    <m/>
    <x v="4"/>
    <x v="2"/>
    <x v="4"/>
    <x v="3"/>
    <x v="0"/>
    <x v="0"/>
    <x v="0"/>
    <m/>
    <x v="0"/>
    <x v="0"/>
    <n v="2.7263250000000001"/>
    <m/>
    <x v="1"/>
    <x v="2"/>
    <x v="0"/>
    <x v="1"/>
    <x v="1"/>
  </r>
  <r>
    <s v="Singapore"/>
    <x v="1"/>
    <s v="SG3"/>
    <m/>
    <x v="2"/>
    <x v="1"/>
    <x v="4"/>
    <x v="3"/>
    <x v="0"/>
    <x v="0"/>
    <x v="0"/>
    <m/>
    <x v="0"/>
    <x v="0"/>
    <n v="-0.1838322"/>
    <m/>
    <x v="4"/>
    <x v="3"/>
    <x v="0"/>
    <x v="3"/>
    <x v="1"/>
  </r>
  <r>
    <s v="Singapore"/>
    <x v="4"/>
    <s v="SG4"/>
    <m/>
    <x v="1"/>
    <x v="2"/>
    <x v="4"/>
    <x v="1"/>
    <x v="0"/>
    <x v="0"/>
    <x v="0"/>
    <m/>
    <x v="0"/>
    <x v="0"/>
    <n v="2.897694"/>
    <m/>
    <x v="4"/>
    <x v="0"/>
    <x v="0"/>
    <x v="0"/>
    <x v="2"/>
  </r>
  <r>
    <s v="Singapore"/>
    <x v="5"/>
    <s v="SG1"/>
    <m/>
    <x v="1"/>
    <x v="2"/>
    <x v="1"/>
    <x v="2"/>
    <x v="0"/>
    <x v="0"/>
    <x v="0"/>
    <m/>
    <x v="0"/>
    <x v="0"/>
    <n v="-0.140211"/>
    <m/>
    <x v="0"/>
    <x v="1"/>
    <x v="0"/>
    <x v="0"/>
    <x v="1"/>
  </r>
  <r>
    <s v="Singapore"/>
    <x v="3"/>
    <s v="SG4"/>
    <m/>
    <x v="4"/>
    <x v="1"/>
    <x v="3"/>
    <x v="5"/>
    <x v="0"/>
    <x v="0"/>
    <x v="0"/>
    <m/>
    <x v="0"/>
    <x v="0"/>
    <n v="-0.233685"/>
    <m/>
    <x v="0"/>
    <x v="0"/>
    <x v="0"/>
    <x v="2"/>
    <x v="0"/>
  </r>
  <r>
    <s v="Singapore"/>
    <x v="1"/>
    <s v="SG4"/>
    <m/>
    <x v="1"/>
    <x v="1"/>
    <x v="3"/>
    <x v="3"/>
    <x v="0"/>
    <x v="0"/>
    <x v="0"/>
    <m/>
    <x v="0"/>
    <x v="0"/>
    <n v="-1.9161858420000002"/>
    <m/>
    <x v="4"/>
    <x v="3"/>
    <x v="0"/>
    <x v="5"/>
    <x v="0"/>
  </r>
  <r>
    <s v="Singapore"/>
    <x v="5"/>
    <s v="SG2"/>
    <m/>
    <x v="0"/>
    <x v="4"/>
    <x v="0"/>
    <x v="5"/>
    <x v="0"/>
    <x v="0"/>
    <x v="0"/>
    <m/>
    <x v="0"/>
    <x v="0"/>
    <n v="1.8458622359999999"/>
    <m/>
    <x v="8"/>
    <x v="2"/>
    <x v="0"/>
    <x v="5"/>
    <x v="1"/>
  </r>
  <r>
    <s v="Singapore"/>
    <x v="1"/>
    <s v="SG1"/>
    <m/>
    <x v="3"/>
    <x v="4"/>
    <x v="2"/>
    <x v="3"/>
    <x v="0"/>
    <x v="0"/>
    <x v="0"/>
    <m/>
    <x v="0"/>
    <x v="0"/>
    <n v="0.1838322"/>
    <m/>
    <x v="4"/>
    <x v="2"/>
    <x v="0"/>
    <x v="3"/>
    <x v="1"/>
  </r>
  <r>
    <s v="Singapore"/>
    <x v="3"/>
    <s v="SG1"/>
    <m/>
    <x v="5"/>
    <x v="0"/>
    <x v="0"/>
    <x v="5"/>
    <x v="0"/>
    <x v="0"/>
    <x v="0"/>
    <m/>
    <x v="0"/>
    <x v="0"/>
    <n v="-0.15579000000000001"/>
    <m/>
    <x v="0"/>
    <x v="0"/>
    <x v="0"/>
    <x v="1"/>
    <x v="1"/>
  </r>
  <r>
    <s v="Singapore"/>
    <x v="2"/>
    <s v="SG1"/>
    <m/>
    <x v="4"/>
    <x v="3"/>
    <x v="2"/>
    <x v="2"/>
    <x v="0"/>
    <x v="0"/>
    <x v="0"/>
    <m/>
    <x v="0"/>
    <x v="0"/>
    <n v="0.85684500000000008"/>
    <m/>
    <x v="1"/>
    <x v="0"/>
    <x v="0"/>
    <x v="2"/>
    <x v="2"/>
  </r>
  <r>
    <s v="Singapore"/>
    <x v="0"/>
    <s v="SG1"/>
    <m/>
    <x v="2"/>
    <x v="1"/>
    <x v="1"/>
    <x v="4"/>
    <x v="0"/>
    <x v="0"/>
    <x v="0"/>
    <m/>
    <x v="0"/>
    <x v="0"/>
    <n v="-0.62316000000000005"/>
    <m/>
    <x v="2"/>
    <x v="0"/>
    <x v="0"/>
    <x v="4"/>
    <x v="1"/>
  </r>
  <r>
    <s v="Singapore"/>
    <x v="1"/>
    <s v="SG1"/>
    <m/>
    <x v="0"/>
    <x v="4"/>
    <x v="4"/>
    <x v="1"/>
    <x v="0"/>
    <x v="0"/>
    <x v="0"/>
    <m/>
    <x v="0"/>
    <x v="0"/>
    <n v="0.233685"/>
    <m/>
    <x v="0"/>
    <x v="1"/>
    <x v="0"/>
    <x v="5"/>
    <x v="1"/>
  </r>
  <r>
    <s v="Singapore"/>
    <x v="0"/>
    <s v="SG1"/>
    <m/>
    <x v="0"/>
    <x v="0"/>
    <x v="0"/>
    <x v="2"/>
    <x v="0"/>
    <x v="0"/>
    <x v="0"/>
    <m/>
    <x v="0"/>
    <x v="0"/>
    <n v="3.1158000000000002E-3"/>
    <m/>
    <x v="3"/>
    <x v="3"/>
    <x v="0"/>
    <x v="4"/>
    <x v="0"/>
  </r>
  <r>
    <s v="Singapore"/>
    <x v="2"/>
    <s v="SG3"/>
    <m/>
    <x v="1"/>
    <x v="3"/>
    <x v="0"/>
    <x v="3"/>
    <x v="0"/>
    <x v="0"/>
    <x v="0"/>
    <m/>
    <x v="0"/>
    <x v="0"/>
    <n v="-0.15579000000000001"/>
    <m/>
    <x v="0"/>
    <x v="2"/>
    <x v="0"/>
    <x v="4"/>
    <x v="1"/>
  </r>
  <r>
    <s v="Singapore"/>
    <x v="0"/>
    <s v="SG3"/>
    <m/>
    <x v="3"/>
    <x v="1"/>
    <x v="0"/>
    <x v="3"/>
    <x v="0"/>
    <x v="0"/>
    <x v="0"/>
    <m/>
    <x v="0"/>
    <x v="0"/>
    <n v="-0.77895000000000003"/>
    <m/>
    <x v="4"/>
    <x v="3"/>
    <x v="0"/>
    <x v="5"/>
    <x v="2"/>
  </r>
  <r>
    <s v="Singapore"/>
    <x v="2"/>
    <s v="SG1"/>
    <m/>
    <x v="4"/>
    <x v="1"/>
    <x v="3"/>
    <x v="5"/>
    <x v="0"/>
    <x v="0"/>
    <x v="0"/>
    <m/>
    <x v="0"/>
    <x v="0"/>
    <n v="46.259846388000007"/>
    <m/>
    <x v="5"/>
    <x v="1"/>
    <x v="0"/>
    <x v="3"/>
    <x v="0"/>
  </r>
  <r>
    <s v="Singapore"/>
    <x v="3"/>
    <s v="SG2"/>
    <m/>
    <x v="1"/>
    <x v="1"/>
    <x v="4"/>
    <x v="0"/>
    <x v="0"/>
    <x v="0"/>
    <x v="0"/>
    <m/>
    <x v="0"/>
    <x v="0"/>
    <n v="-0.77895000000000003"/>
    <m/>
    <x v="4"/>
    <x v="3"/>
    <x v="0"/>
    <x v="1"/>
    <x v="2"/>
  </r>
  <r>
    <s v="Singapore"/>
    <x v="1"/>
    <s v="SG2"/>
    <m/>
    <x v="4"/>
    <x v="1"/>
    <x v="1"/>
    <x v="3"/>
    <x v="0"/>
    <x v="0"/>
    <x v="0"/>
    <m/>
    <x v="0"/>
    <x v="0"/>
    <n v="-0.31158000000000002"/>
    <m/>
    <x v="0"/>
    <x v="0"/>
    <x v="0"/>
    <x v="2"/>
    <x v="2"/>
  </r>
  <r>
    <s v="Singapore"/>
    <x v="3"/>
    <s v="SG4"/>
    <m/>
    <x v="4"/>
    <x v="3"/>
    <x v="0"/>
    <x v="2"/>
    <x v="0"/>
    <x v="0"/>
    <x v="0"/>
    <m/>
    <x v="0"/>
    <x v="0"/>
    <n v="-0.24926400000000001"/>
    <m/>
    <x v="0"/>
    <x v="2"/>
    <x v="0"/>
    <x v="0"/>
    <x v="2"/>
  </r>
  <r>
    <s v="Singapore"/>
    <x v="5"/>
    <s v="SG4"/>
    <m/>
    <x v="0"/>
    <x v="0"/>
    <x v="4"/>
    <x v="4"/>
    <x v="0"/>
    <x v="0"/>
    <x v="0"/>
    <m/>
    <x v="0"/>
    <x v="0"/>
    <n v="-0.77895000000000003"/>
    <m/>
    <x v="4"/>
    <x v="2"/>
    <x v="0"/>
    <x v="3"/>
    <x v="0"/>
  </r>
  <r>
    <s v="Singapore"/>
    <x v="0"/>
    <s v="SG2"/>
    <m/>
    <x v="4"/>
    <x v="4"/>
    <x v="0"/>
    <x v="1"/>
    <x v="0"/>
    <x v="0"/>
    <x v="0"/>
    <m/>
    <x v="0"/>
    <x v="0"/>
    <n v="-2.1031650000000002"/>
    <m/>
    <x v="4"/>
    <x v="3"/>
    <x v="0"/>
    <x v="4"/>
    <x v="2"/>
  </r>
  <r>
    <s v="Singapore"/>
    <x v="1"/>
    <s v="SG4"/>
    <m/>
    <x v="4"/>
    <x v="3"/>
    <x v="4"/>
    <x v="2"/>
    <x v="0"/>
    <x v="0"/>
    <x v="0"/>
    <m/>
    <x v="0"/>
    <x v="0"/>
    <n v="0.22277970000000002"/>
    <m/>
    <x v="2"/>
    <x v="0"/>
    <x v="0"/>
    <x v="5"/>
    <x v="1"/>
  </r>
  <r>
    <s v="Singapore"/>
    <x v="3"/>
    <s v="SG1"/>
    <m/>
    <x v="0"/>
    <x v="0"/>
    <x v="4"/>
    <x v="3"/>
    <x v="0"/>
    <x v="0"/>
    <x v="0"/>
    <m/>
    <x v="0"/>
    <x v="0"/>
    <n v="-1.9193328000000001"/>
    <m/>
    <x v="6"/>
    <x v="2"/>
    <x v="0"/>
    <x v="2"/>
    <x v="0"/>
  </r>
  <r>
    <s v="Singapore"/>
    <x v="1"/>
    <s v="SG4"/>
    <m/>
    <x v="2"/>
    <x v="4"/>
    <x v="2"/>
    <x v="2"/>
    <x v="0"/>
    <x v="0"/>
    <x v="0"/>
    <m/>
    <x v="0"/>
    <x v="0"/>
    <n v="-4.6737000000000001E-2"/>
    <m/>
    <x v="0"/>
    <x v="3"/>
    <x v="0"/>
    <x v="4"/>
    <x v="2"/>
  </r>
  <r>
    <s v="Singapore"/>
    <x v="5"/>
    <s v="SG1"/>
    <m/>
    <x v="0"/>
    <x v="1"/>
    <x v="2"/>
    <x v="3"/>
    <x v="0"/>
    <x v="0"/>
    <x v="0"/>
    <m/>
    <x v="0"/>
    <x v="0"/>
    <n v="-2.6484300000000003"/>
    <m/>
    <x v="1"/>
    <x v="3"/>
    <x v="0"/>
    <x v="3"/>
    <x v="2"/>
  </r>
  <r>
    <s v="Singapore"/>
    <x v="5"/>
    <s v="SG2"/>
    <m/>
    <x v="3"/>
    <x v="3"/>
    <x v="3"/>
    <x v="0"/>
    <x v="0"/>
    <x v="0"/>
    <x v="0"/>
    <m/>
    <x v="0"/>
    <x v="0"/>
    <n v="-4.2842250000000002"/>
    <m/>
    <x v="4"/>
    <x v="1"/>
    <x v="0"/>
    <x v="3"/>
    <x v="2"/>
  </r>
  <r>
    <s v="Singapore"/>
    <x v="4"/>
    <s v="SG2"/>
    <m/>
    <x v="4"/>
    <x v="1"/>
    <x v="1"/>
    <x v="1"/>
    <x v="0"/>
    <x v="0"/>
    <x v="0"/>
    <m/>
    <x v="0"/>
    <x v="0"/>
    <n v="9.0198203669999995"/>
    <m/>
    <x v="7"/>
    <x v="3"/>
    <x v="0"/>
    <x v="5"/>
    <x v="2"/>
  </r>
  <r>
    <s v="Singapore"/>
    <x v="3"/>
    <s v="SG3"/>
    <m/>
    <x v="4"/>
    <x v="4"/>
    <x v="4"/>
    <x v="3"/>
    <x v="0"/>
    <x v="0"/>
    <x v="0"/>
    <m/>
    <x v="0"/>
    <x v="0"/>
    <n v="-0.280422"/>
    <m/>
    <x v="0"/>
    <x v="1"/>
    <x v="0"/>
    <x v="1"/>
    <x v="2"/>
  </r>
  <r>
    <s v="Singapore"/>
    <x v="0"/>
    <s v="SG2"/>
    <m/>
    <x v="2"/>
    <x v="4"/>
    <x v="3"/>
    <x v="5"/>
    <x v="0"/>
    <x v="0"/>
    <x v="0"/>
    <m/>
    <x v="0"/>
    <x v="0"/>
    <n v="-0.12463200000000001"/>
    <m/>
    <x v="4"/>
    <x v="0"/>
    <x v="0"/>
    <x v="5"/>
    <x v="1"/>
  </r>
  <r>
    <s v="Singapore"/>
    <x v="1"/>
    <s v="SG1"/>
    <m/>
    <x v="0"/>
    <x v="4"/>
    <x v="3"/>
    <x v="1"/>
    <x v="0"/>
    <x v="0"/>
    <x v="0"/>
    <m/>
    <x v="0"/>
    <x v="0"/>
    <n v="-0.37389600000000001"/>
    <m/>
    <x v="4"/>
    <x v="2"/>
    <x v="0"/>
    <x v="5"/>
    <x v="0"/>
  </r>
  <r>
    <s v="Singapore"/>
    <x v="1"/>
    <s v="SG4"/>
    <m/>
    <x v="3"/>
    <x v="0"/>
    <x v="4"/>
    <x v="5"/>
    <x v="0"/>
    <x v="0"/>
    <x v="0"/>
    <m/>
    <x v="0"/>
    <x v="0"/>
    <n v="-4.6737000000000001E-2"/>
    <m/>
    <x v="0"/>
    <x v="1"/>
    <x v="0"/>
    <x v="3"/>
    <x v="1"/>
  </r>
  <r>
    <s v="Singapore"/>
    <x v="0"/>
    <s v="SG4"/>
    <m/>
    <x v="2"/>
    <x v="0"/>
    <x v="3"/>
    <x v="0"/>
    <x v="0"/>
    <x v="0"/>
    <x v="0"/>
    <m/>
    <x v="0"/>
    <x v="0"/>
    <n v="-0.77895000000000003"/>
    <m/>
    <x v="4"/>
    <x v="2"/>
    <x v="0"/>
    <x v="3"/>
    <x v="1"/>
  </r>
  <r>
    <s v="Singapore"/>
    <x v="3"/>
    <s v="SG2"/>
    <m/>
    <x v="1"/>
    <x v="2"/>
    <x v="3"/>
    <x v="0"/>
    <x v="0"/>
    <x v="0"/>
    <x v="0"/>
    <m/>
    <x v="0"/>
    <x v="0"/>
    <n v="-6.5431799999999998E-2"/>
    <m/>
    <x v="3"/>
    <x v="0"/>
    <x v="0"/>
    <x v="2"/>
    <x v="1"/>
  </r>
  <r>
    <s v="Singapore"/>
    <x v="0"/>
    <s v="SG4"/>
    <m/>
    <x v="5"/>
    <x v="4"/>
    <x v="2"/>
    <x v="5"/>
    <x v="0"/>
    <x v="0"/>
    <x v="0"/>
    <m/>
    <x v="0"/>
    <x v="0"/>
    <n v="-0.24926400000000001"/>
    <m/>
    <x v="0"/>
    <x v="0"/>
    <x v="0"/>
    <x v="5"/>
    <x v="2"/>
  </r>
  <r>
    <s v="Singapore"/>
    <x v="5"/>
    <s v="SG2"/>
    <m/>
    <x v="5"/>
    <x v="2"/>
    <x v="2"/>
    <x v="2"/>
    <x v="0"/>
    <x v="0"/>
    <x v="0"/>
    <m/>
    <x v="0"/>
    <x v="0"/>
    <n v="-2.243376"/>
    <m/>
    <x v="0"/>
    <x v="2"/>
    <x v="0"/>
    <x v="5"/>
    <x v="0"/>
  </r>
  <r>
    <s v="Singapore"/>
    <x v="4"/>
    <s v="SG1"/>
    <m/>
    <x v="1"/>
    <x v="1"/>
    <x v="0"/>
    <x v="3"/>
    <x v="0"/>
    <x v="0"/>
    <x v="0"/>
    <m/>
    <x v="0"/>
    <x v="0"/>
    <n v="-0.12463200000000001"/>
    <m/>
    <x v="0"/>
    <x v="1"/>
    <x v="0"/>
    <x v="3"/>
    <x v="1"/>
  </r>
  <r>
    <s v="Singapore"/>
    <x v="1"/>
    <s v="SG1"/>
    <m/>
    <x v="5"/>
    <x v="0"/>
    <x v="1"/>
    <x v="5"/>
    <x v="0"/>
    <x v="0"/>
    <x v="0"/>
    <m/>
    <x v="0"/>
    <x v="0"/>
    <n v="4.36212"/>
    <m/>
    <x v="1"/>
    <x v="1"/>
    <x v="0"/>
    <x v="5"/>
    <x v="2"/>
  </r>
  <r>
    <s v="Singapore"/>
    <x v="3"/>
    <s v="SG3"/>
    <m/>
    <x v="5"/>
    <x v="4"/>
    <x v="2"/>
    <x v="3"/>
    <x v="0"/>
    <x v="0"/>
    <x v="0"/>
    <m/>
    <x v="0"/>
    <x v="0"/>
    <n v="0.56863350000000001"/>
    <m/>
    <x v="1"/>
    <x v="3"/>
    <x v="0"/>
    <x v="1"/>
    <x v="2"/>
  </r>
  <r>
    <s v="Singapore"/>
    <x v="4"/>
    <s v="SG1"/>
    <m/>
    <x v="5"/>
    <x v="4"/>
    <x v="0"/>
    <x v="3"/>
    <x v="0"/>
    <x v="0"/>
    <x v="0"/>
    <m/>
    <x v="0"/>
    <x v="0"/>
    <n v="0.70527690899999995"/>
    <m/>
    <x v="9"/>
    <x v="2"/>
    <x v="0"/>
    <x v="5"/>
    <x v="0"/>
  </r>
  <r>
    <s v="Singapore"/>
    <x v="1"/>
    <s v="SG3"/>
    <m/>
    <x v="0"/>
    <x v="0"/>
    <x v="3"/>
    <x v="0"/>
    <x v="0"/>
    <x v="0"/>
    <x v="0"/>
    <m/>
    <x v="0"/>
    <x v="0"/>
    <n v="0.15579000000000001"/>
    <m/>
    <x v="1"/>
    <x v="0"/>
    <x v="0"/>
    <x v="2"/>
    <x v="2"/>
  </r>
  <r>
    <s v="Singapore"/>
    <x v="0"/>
    <s v="SG1"/>
    <m/>
    <x v="5"/>
    <x v="3"/>
    <x v="3"/>
    <x v="5"/>
    <x v="0"/>
    <x v="0"/>
    <x v="0"/>
    <m/>
    <x v="0"/>
    <x v="0"/>
    <n v="-0.81010800000000005"/>
    <m/>
    <x v="4"/>
    <x v="1"/>
    <x v="0"/>
    <x v="3"/>
    <x v="1"/>
  </r>
  <r>
    <s v="Singapore"/>
    <x v="1"/>
    <s v="SG2"/>
    <m/>
    <x v="1"/>
    <x v="1"/>
    <x v="0"/>
    <x v="4"/>
    <x v="0"/>
    <x v="0"/>
    <x v="0"/>
    <m/>
    <x v="0"/>
    <x v="0"/>
    <n v="0.70105499999999998"/>
    <m/>
    <x v="1"/>
    <x v="2"/>
    <x v="0"/>
    <x v="2"/>
    <x v="1"/>
  </r>
  <r>
    <s v="Singapore"/>
    <x v="3"/>
    <s v="SG2"/>
    <m/>
    <x v="4"/>
    <x v="3"/>
    <x v="2"/>
    <x v="1"/>
    <x v="0"/>
    <x v="0"/>
    <x v="0"/>
    <m/>
    <x v="0"/>
    <x v="0"/>
    <n v="-0.81010800000000005"/>
    <m/>
    <x v="4"/>
    <x v="1"/>
    <x v="0"/>
    <x v="5"/>
    <x v="1"/>
  </r>
  <r>
    <s v="Singapore"/>
    <x v="1"/>
    <s v="SG3"/>
    <m/>
    <x v="1"/>
    <x v="2"/>
    <x v="4"/>
    <x v="2"/>
    <x v="0"/>
    <x v="0"/>
    <x v="0"/>
    <m/>
    <x v="0"/>
    <x v="0"/>
    <n v="2.9132730000000002"/>
    <m/>
    <x v="1"/>
    <x v="2"/>
    <x v="0"/>
    <x v="4"/>
    <x v="1"/>
  </r>
  <r>
    <s v="Singapore"/>
    <x v="3"/>
    <s v="SG3"/>
    <m/>
    <x v="5"/>
    <x v="3"/>
    <x v="3"/>
    <x v="2"/>
    <x v="0"/>
    <x v="0"/>
    <x v="0"/>
    <m/>
    <x v="0"/>
    <x v="0"/>
    <n v="-0.12463200000000001"/>
    <m/>
    <x v="4"/>
    <x v="2"/>
    <x v="0"/>
    <x v="0"/>
    <x v="0"/>
  </r>
  <r>
    <s v="Singapore"/>
    <x v="3"/>
    <s v="SG2"/>
    <m/>
    <x v="4"/>
    <x v="3"/>
    <x v="0"/>
    <x v="5"/>
    <x v="0"/>
    <x v="0"/>
    <x v="0"/>
    <m/>
    <x v="0"/>
    <x v="0"/>
    <n v="-0.37389600000000001"/>
    <m/>
    <x v="4"/>
    <x v="1"/>
    <x v="0"/>
    <x v="3"/>
    <x v="2"/>
  </r>
  <r>
    <s v="Singapore"/>
    <x v="2"/>
    <s v="SG2"/>
    <m/>
    <x v="2"/>
    <x v="3"/>
    <x v="4"/>
    <x v="3"/>
    <x v="0"/>
    <x v="0"/>
    <x v="0"/>
    <m/>
    <x v="0"/>
    <x v="0"/>
    <n v="-0.280422"/>
    <m/>
    <x v="0"/>
    <x v="3"/>
    <x v="0"/>
    <x v="4"/>
    <x v="2"/>
  </r>
  <r>
    <s v="Singapore"/>
    <x v="0"/>
    <s v="SG4"/>
    <m/>
    <x v="2"/>
    <x v="0"/>
    <x v="0"/>
    <x v="3"/>
    <x v="0"/>
    <x v="0"/>
    <x v="0"/>
    <m/>
    <x v="0"/>
    <x v="0"/>
    <n v="0.1838322"/>
    <m/>
    <x v="4"/>
    <x v="1"/>
    <x v="0"/>
    <x v="1"/>
    <x v="0"/>
  </r>
  <r>
    <s v="Singapore"/>
    <x v="0"/>
    <s v="SG1"/>
    <m/>
    <x v="3"/>
    <x v="0"/>
    <x v="4"/>
    <x v="1"/>
    <x v="0"/>
    <x v="0"/>
    <x v="0"/>
    <m/>
    <x v="0"/>
    <x v="0"/>
    <n v="71.974980000000002"/>
    <m/>
    <x v="3"/>
    <x v="1"/>
    <x v="0"/>
    <x v="3"/>
    <x v="2"/>
  </r>
  <r>
    <s v="Singapore"/>
    <x v="2"/>
    <s v="SG1"/>
    <m/>
    <x v="0"/>
    <x v="0"/>
    <x v="0"/>
    <x v="3"/>
    <x v="0"/>
    <x v="0"/>
    <x v="0"/>
    <m/>
    <x v="0"/>
    <x v="0"/>
    <n v="9.3474000000000002E-2"/>
    <m/>
    <x v="0"/>
    <x v="0"/>
    <x v="0"/>
    <x v="2"/>
    <x v="2"/>
  </r>
  <r>
    <s v="Singapore"/>
    <x v="2"/>
    <s v="SG1"/>
    <m/>
    <x v="3"/>
    <x v="2"/>
    <x v="3"/>
    <x v="0"/>
    <x v="0"/>
    <x v="0"/>
    <x v="0"/>
    <m/>
    <x v="0"/>
    <x v="0"/>
    <n v="-0.24926400000000001"/>
    <m/>
    <x v="0"/>
    <x v="1"/>
    <x v="0"/>
    <x v="0"/>
    <x v="0"/>
  </r>
  <r>
    <s v="Singapore"/>
    <x v="4"/>
    <s v="SG4"/>
    <m/>
    <x v="5"/>
    <x v="2"/>
    <x v="0"/>
    <x v="0"/>
    <x v="0"/>
    <x v="0"/>
    <x v="0"/>
    <m/>
    <x v="0"/>
    <x v="0"/>
    <n v="0.15579000000000001"/>
    <m/>
    <x v="1"/>
    <x v="2"/>
    <x v="0"/>
    <x v="0"/>
    <x v="0"/>
  </r>
  <r>
    <s v="Singapore"/>
    <x v="2"/>
    <s v="SG4"/>
    <m/>
    <x v="5"/>
    <x v="2"/>
    <x v="2"/>
    <x v="4"/>
    <x v="0"/>
    <x v="0"/>
    <x v="0"/>
    <m/>
    <x v="0"/>
    <x v="0"/>
    <n v="-0.86307660000000008"/>
    <m/>
    <x v="3"/>
    <x v="3"/>
    <x v="0"/>
    <x v="3"/>
    <x v="0"/>
  </r>
  <r>
    <s v="Singapore"/>
    <x v="1"/>
    <s v="SG2"/>
    <m/>
    <x v="5"/>
    <x v="2"/>
    <x v="4"/>
    <x v="1"/>
    <x v="0"/>
    <x v="0"/>
    <x v="0"/>
    <m/>
    <x v="0"/>
    <x v="0"/>
    <n v="0.1168425"/>
    <m/>
    <x v="1"/>
    <x v="3"/>
    <x v="0"/>
    <x v="0"/>
    <x v="2"/>
  </r>
  <r>
    <s v="Singapore"/>
    <x v="5"/>
    <s v="SG1"/>
    <m/>
    <x v="1"/>
    <x v="0"/>
    <x v="2"/>
    <x v="0"/>
    <x v="0"/>
    <x v="0"/>
    <x v="0"/>
    <m/>
    <x v="0"/>
    <x v="0"/>
    <n v="29.136406644000001"/>
    <m/>
    <x v="5"/>
    <x v="2"/>
    <x v="0"/>
    <x v="5"/>
    <x v="1"/>
  </r>
  <r>
    <s v="Singapore"/>
    <x v="4"/>
    <s v="SG1"/>
    <m/>
    <x v="4"/>
    <x v="3"/>
    <x v="4"/>
    <x v="2"/>
    <x v="0"/>
    <x v="0"/>
    <x v="0"/>
    <m/>
    <x v="0"/>
    <x v="0"/>
    <n v="-4.6737000000000001E-2"/>
    <m/>
    <x v="0"/>
    <x v="3"/>
    <x v="0"/>
    <x v="2"/>
    <x v="0"/>
  </r>
  <r>
    <s v="Singapore"/>
    <x v="1"/>
    <s v="SG1"/>
    <m/>
    <x v="2"/>
    <x v="0"/>
    <x v="4"/>
    <x v="5"/>
    <x v="0"/>
    <x v="0"/>
    <x v="0"/>
    <m/>
    <x v="0"/>
    <x v="0"/>
    <n v="-0.15579000000000001"/>
    <m/>
    <x v="0"/>
    <x v="2"/>
    <x v="0"/>
    <x v="5"/>
    <x v="2"/>
  </r>
  <r>
    <s v="Singapore"/>
    <x v="3"/>
    <s v="SG3"/>
    <m/>
    <x v="1"/>
    <x v="0"/>
    <x v="3"/>
    <x v="4"/>
    <x v="0"/>
    <x v="0"/>
    <x v="0"/>
    <m/>
    <x v="0"/>
    <x v="0"/>
    <n v="-0.21810600000000002"/>
    <m/>
    <x v="4"/>
    <x v="3"/>
    <x v="0"/>
    <x v="4"/>
    <x v="0"/>
  </r>
  <r>
    <s v="Singapore"/>
    <x v="1"/>
    <s v="SG4"/>
    <m/>
    <x v="2"/>
    <x v="3"/>
    <x v="3"/>
    <x v="1"/>
    <x v="0"/>
    <x v="0"/>
    <x v="0"/>
    <m/>
    <x v="0"/>
    <x v="0"/>
    <n v="-1869.48"/>
    <m/>
    <x v="2"/>
    <x v="0"/>
    <x v="0"/>
    <x v="1"/>
    <x v="2"/>
  </r>
  <r>
    <s v="Singapore"/>
    <x v="3"/>
    <s v="SG1"/>
    <m/>
    <x v="3"/>
    <x v="3"/>
    <x v="4"/>
    <x v="5"/>
    <x v="0"/>
    <x v="0"/>
    <x v="0"/>
    <m/>
    <x v="0"/>
    <x v="0"/>
    <n v="32.882439510000005"/>
    <m/>
    <x v="3"/>
    <x v="2"/>
    <x v="0"/>
    <x v="2"/>
    <x v="0"/>
  </r>
  <r>
    <s v="Singapore"/>
    <x v="3"/>
    <s v="SG2"/>
    <m/>
    <x v="5"/>
    <x v="0"/>
    <x v="1"/>
    <x v="5"/>
    <x v="0"/>
    <x v="0"/>
    <x v="0"/>
    <m/>
    <x v="0"/>
    <x v="0"/>
    <n v="-0.65431800000000007"/>
    <m/>
    <x v="0"/>
    <x v="1"/>
    <x v="0"/>
    <x v="2"/>
    <x v="2"/>
  </r>
  <r>
    <s v="Singapore"/>
    <x v="0"/>
    <s v="SG1"/>
    <m/>
    <x v="2"/>
    <x v="1"/>
    <x v="1"/>
    <x v="3"/>
    <x v="0"/>
    <x v="0"/>
    <x v="0"/>
    <m/>
    <x v="0"/>
    <x v="0"/>
    <n v="-0.21810600000000002"/>
    <m/>
    <x v="1"/>
    <x v="1"/>
    <x v="0"/>
    <x v="3"/>
    <x v="1"/>
  </r>
  <r>
    <s v="Singapore"/>
    <x v="4"/>
    <s v="SG4"/>
    <m/>
    <x v="5"/>
    <x v="1"/>
    <x v="4"/>
    <x v="0"/>
    <x v="0"/>
    <x v="0"/>
    <x v="0"/>
    <m/>
    <x v="0"/>
    <x v="0"/>
    <n v="-0.12463200000000001"/>
    <m/>
    <x v="0"/>
    <x v="0"/>
    <x v="0"/>
    <x v="4"/>
    <x v="2"/>
  </r>
  <r>
    <s v="Singapore"/>
    <x v="0"/>
    <s v="SG3"/>
    <m/>
    <x v="1"/>
    <x v="3"/>
    <x v="2"/>
    <x v="0"/>
    <x v="0"/>
    <x v="0"/>
    <x v="0"/>
    <m/>
    <x v="0"/>
    <x v="0"/>
    <n v="-0.12463200000000001"/>
    <m/>
    <x v="0"/>
    <x v="0"/>
    <x v="0"/>
    <x v="4"/>
    <x v="1"/>
  </r>
  <r>
    <s v="Singapore"/>
    <x v="5"/>
    <s v="SG2"/>
    <m/>
    <x v="3"/>
    <x v="1"/>
    <x v="2"/>
    <x v="3"/>
    <x v="0"/>
    <x v="0"/>
    <x v="0"/>
    <m/>
    <x v="0"/>
    <x v="0"/>
    <n v="-4.6737000000000001E-2"/>
    <m/>
    <x v="0"/>
    <x v="0"/>
    <x v="0"/>
    <x v="5"/>
    <x v="2"/>
  </r>
  <r>
    <s v="Singapore"/>
    <x v="1"/>
    <s v="SG3"/>
    <m/>
    <x v="2"/>
    <x v="4"/>
    <x v="1"/>
    <x v="0"/>
    <x v="0"/>
    <x v="0"/>
    <x v="0"/>
    <m/>
    <x v="0"/>
    <x v="0"/>
    <n v="-0.140211"/>
    <m/>
    <x v="0"/>
    <x v="1"/>
    <x v="0"/>
    <x v="1"/>
    <x v="0"/>
  </r>
  <r>
    <s v="Singapore"/>
    <x v="4"/>
    <s v="SG4"/>
    <m/>
    <x v="4"/>
    <x v="4"/>
    <x v="0"/>
    <x v="0"/>
    <x v="0"/>
    <x v="0"/>
    <x v="0"/>
    <m/>
    <x v="0"/>
    <x v="0"/>
    <n v="-198.32067000000001"/>
    <m/>
    <x v="2"/>
    <x v="0"/>
    <x v="0"/>
    <x v="0"/>
    <x v="0"/>
  </r>
  <r>
    <s v="Singapore"/>
    <x v="4"/>
    <s v="SG1"/>
    <m/>
    <x v="2"/>
    <x v="1"/>
    <x v="3"/>
    <x v="5"/>
    <x v="0"/>
    <x v="0"/>
    <x v="0"/>
    <m/>
    <x v="0"/>
    <x v="0"/>
    <n v="-0.14800050000000001"/>
    <m/>
    <x v="4"/>
    <x v="1"/>
    <x v="0"/>
    <x v="5"/>
    <x v="2"/>
  </r>
  <r>
    <s v="Singapore"/>
    <x v="4"/>
    <s v="SG3"/>
    <m/>
    <x v="3"/>
    <x v="4"/>
    <x v="2"/>
    <x v="5"/>
    <x v="0"/>
    <x v="0"/>
    <x v="0"/>
    <m/>
    <x v="0"/>
    <x v="0"/>
    <n v="-0.93020651100000007"/>
    <m/>
    <x v="4"/>
    <x v="2"/>
    <x v="0"/>
    <x v="3"/>
    <x v="2"/>
  </r>
  <r>
    <s v="Singapore"/>
    <x v="1"/>
    <s v="SG3"/>
    <m/>
    <x v="1"/>
    <x v="2"/>
    <x v="4"/>
    <x v="3"/>
    <x v="0"/>
    <x v="0"/>
    <x v="0"/>
    <m/>
    <x v="0"/>
    <x v="0"/>
    <n v="0.1838322"/>
    <m/>
    <x v="4"/>
    <x v="2"/>
    <x v="0"/>
    <x v="1"/>
    <x v="0"/>
  </r>
  <r>
    <s v="Singapore"/>
    <x v="3"/>
    <s v="SG4"/>
    <m/>
    <x v="3"/>
    <x v="4"/>
    <x v="2"/>
    <x v="3"/>
    <x v="0"/>
    <x v="0"/>
    <x v="0"/>
    <m/>
    <x v="0"/>
    <x v="0"/>
    <n v="4.36212"/>
    <m/>
    <x v="1"/>
    <x v="1"/>
    <x v="0"/>
    <x v="2"/>
    <x v="0"/>
  </r>
  <r>
    <s v="Singapore"/>
    <x v="5"/>
    <s v="SG3"/>
    <m/>
    <x v="2"/>
    <x v="4"/>
    <x v="0"/>
    <x v="2"/>
    <x v="0"/>
    <x v="0"/>
    <x v="0"/>
    <m/>
    <x v="0"/>
    <x v="0"/>
    <n v="1335.2796108540001"/>
    <m/>
    <x v="5"/>
    <x v="2"/>
    <x v="0"/>
    <x v="4"/>
    <x v="2"/>
  </r>
  <r>
    <s v="Singapore"/>
    <x v="3"/>
    <s v="SG4"/>
    <m/>
    <x v="0"/>
    <x v="3"/>
    <x v="3"/>
    <x v="0"/>
    <x v="0"/>
    <x v="0"/>
    <x v="0"/>
    <m/>
    <x v="0"/>
    <x v="0"/>
    <n v="-0.21810600000000002"/>
    <m/>
    <x v="4"/>
    <x v="2"/>
    <x v="0"/>
    <x v="5"/>
    <x v="0"/>
  </r>
  <r>
    <s v="Singapore"/>
    <x v="1"/>
    <s v="SG4"/>
    <m/>
    <x v="0"/>
    <x v="3"/>
    <x v="1"/>
    <x v="5"/>
    <x v="0"/>
    <x v="0"/>
    <x v="0"/>
    <m/>
    <x v="0"/>
    <x v="0"/>
    <n v="-2.6328510000000001"/>
    <m/>
    <x v="8"/>
    <x v="3"/>
    <x v="0"/>
    <x v="1"/>
    <x v="1"/>
  </r>
  <r>
    <s v="Singapore"/>
    <x v="5"/>
    <s v="SG4"/>
    <m/>
    <x v="3"/>
    <x v="1"/>
    <x v="4"/>
    <x v="3"/>
    <x v="0"/>
    <x v="0"/>
    <x v="0"/>
    <m/>
    <x v="0"/>
    <x v="0"/>
    <n v="0.10972289700000001"/>
    <m/>
    <x v="8"/>
    <x v="3"/>
    <x v="0"/>
    <x v="2"/>
    <x v="0"/>
  </r>
  <r>
    <s v="Singapore"/>
    <x v="4"/>
    <s v="SG2"/>
    <m/>
    <x v="2"/>
    <x v="0"/>
    <x v="4"/>
    <x v="3"/>
    <x v="0"/>
    <x v="0"/>
    <x v="0"/>
    <m/>
    <x v="0"/>
    <x v="0"/>
    <n v="1.7915850000000002"/>
    <m/>
    <x v="11"/>
    <x v="0"/>
    <x v="0"/>
    <x v="1"/>
    <x v="1"/>
  </r>
  <r>
    <s v="Singapore"/>
    <x v="4"/>
    <s v="SG4"/>
    <m/>
    <x v="4"/>
    <x v="2"/>
    <x v="1"/>
    <x v="1"/>
    <x v="0"/>
    <x v="0"/>
    <x v="0"/>
    <m/>
    <x v="0"/>
    <x v="0"/>
    <n v="0.37389600000000001"/>
    <m/>
    <x v="4"/>
    <x v="3"/>
    <x v="0"/>
    <x v="3"/>
    <x v="1"/>
  </r>
  <r>
    <s v="Singapore"/>
    <x v="4"/>
    <s v="SG1"/>
    <m/>
    <x v="0"/>
    <x v="3"/>
    <x v="4"/>
    <x v="2"/>
    <x v="0"/>
    <x v="0"/>
    <x v="0"/>
    <m/>
    <x v="0"/>
    <x v="0"/>
    <n v="53.335797029999995"/>
    <m/>
    <x v="5"/>
    <x v="3"/>
    <x v="0"/>
    <x v="1"/>
    <x v="1"/>
  </r>
  <r>
    <s v="Singapore"/>
    <x v="0"/>
    <s v="SG1"/>
    <m/>
    <x v="2"/>
    <x v="1"/>
    <x v="3"/>
    <x v="2"/>
    <x v="0"/>
    <x v="0"/>
    <x v="0"/>
    <m/>
    <x v="0"/>
    <x v="0"/>
    <n v="1.3008465"/>
    <m/>
    <x v="1"/>
    <x v="0"/>
    <x v="0"/>
    <x v="5"/>
    <x v="2"/>
  </r>
  <r>
    <s v="Singapore"/>
    <x v="3"/>
    <s v="SG3"/>
    <m/>
    <x v="1"/>
    <x v="1"/>
    <x v="2"/>
    <x v="1"/>
    <x v="0"/>
    <x v="0"/>
    <x v="0"/>
    <m/>
    <x v="0"/>
    <x v="0"/>
    <n v="-0.31158000000000002"/>
    <m/>
    <x v="0"/>
    <x v="2"/>
    <x v="0"/>
    <x v="5"/>
    <x v="2"/>
  </r>
  <r>
    <s v="Singapore"/>
    <x v="4"/>
    <s v="SG4"/>
    <m/>
    <x v="0"/>
    <x v="2"/>
    <x v="2"/>
    <x v="1"/>
    <x v="0"/>
    <x v="0"/>
    <x v="0"/>
    <m/>
    <x v="0"/>
    <x v="0"/>
    <n v="-7.7895000000000006E-2"/>
    <m/>
    <x v="0"/>
    <x v="0"/>
    <x v="0"/>
    <x v="0"/>
    <x v="0"/>
  </r>
  <r>
    <s v="Singapore"/>
    <x v="0"/>
    <s v="SG2"/>
    <m/>
    <x v="4"/>
    <x v="1"/>
    <x v="0"/>
    <x v="0"/>
    <x v="0"/>
    <x v="0"/>
    <x v="0"/>
    <m/>
    <x v="0"/>
    <x v="0"/>
    <n v="-7.7895000000000004E-3"/>
    <m/>
    <x v="0"/>
    <x v="0"/>
    <x v="0"/>
    <x v="5"/>
    <x v="1"/>
  </r>
  <r>
    <s v="Singapore"/>
    <x v="2"/>
    <s v="SG4"/>
    <m/>
    <x v="1"/>
    <x v="0"/>
    <x v="1"/>
    <x v="5"/>
    <x v="0"/>
    <x v="0"/>
    <x v="0"/>
    <m/>
    <x v="0"/>
    <x v="0"/>
    <n v="-8.4126600000000007"/>
    <m/>
    <x v="3"/>
    <x v="1"/>
    <x v="0"/>
    <x v="0"/>
    <x v="1"/>
  </r>
  <r>
    <s v="Singapore"/>
    <x v="5"/>
    <s v="SG4"/>
    <m/>
    <x v="5"/>
    <x v="1"/>
    <x v="1"/>
    <x v="4"/>
    <x v="0"/>
    <x v="0"/>
    <x v="0"/>
    <m/>
    <x v="0"/>
    <x v="0"/>
    <n v="-0.38947500000000002"/>
    <m/>
    <x v="0"/>
    <x v="0"/>
    <x v="0"/>
    <x v="1"/>
    <x v="2"/>
  </r>
  <r>
    <s v="Singapore"/>
    <x v="3"/>
    <s v="SG3"/>
    <m/>
    <x v="3"/>
    <x v="4"/>
    <x v="3"/>
    <x v="5"/>
    <x v="0"/>
    <x v="0"/>
    <x v="0"/>
    <m/>
    <x v="0"/>
    <x v="0"/>
    <n v="-0.77895000000000003"/>
    <m/>
    <x v="4"/>
    <x v="2"/>
    <x v="0"/>
    <x v="4"/>
    <x v="1"/>
  </r>
  <r>
    <s v="Singapore"/>
    <x v="5"/>
    <s v="SG3"/>
    <m/>
    <x v="3"/>
    <x v="0"/>
    <x v="1"/>
    <x v="0"/>
    <x v="0"/>
    <x v="0"/>
    <x v="0"/>
    <m/>
    <x v="0"/>
    <x v="0"/>
    <n v="-4.9385430000000001"/>
    <m/>
    <x v="4"/>
    <x v="2"/>
    <x v="0"/>
    <x v="3"/>
    <x v="0"/>
  </r>
  <r>
    <s v="Singapore"/>
    <x v="5"/>
    <s v="SG4"/>
    <m/>
    <x v="3"/>
    <x v="0"/>
    <x v="1"/>
    <x v="5"/>
    <x v="0"/>
    <x v="0"/>
    <x v="0"/>
    <m/>
    <x v="0"/>
    <x v="0"/>
    <n v="0.77895000000000003"/>
    <m/>
    <x v="4"/>
    <x v="1"/>
    <x v="0"/>
    <x v="1"/>
    <x v="0"/>
  </r>
  <r>
    <s v="Singapore"/>
    <x v="1"/>
    <s v="SG1"/>
    <m/>
    <x v="4"/>
    <x v="0"/>
    <x v="2"/>
    <x v="4"/>
    <x v="0"/>
    <x v="0"/>
    <x v="0"/>
    <m/>
    <x v="0"/>
    <x v="0"/>
    <n v="-2.0732533200000001"/>
    <m/>
    <x v="6"/>
    <x v="2"/>
    <x v="0"/>
    <x v="4"/>
    <x v="0"/>
  </r>
  <r>
    <s v="Singapore"/>
    <x v="0"/>
    <s v="SG2"/>
    <m/>
    <x v="1"/>
    <x v="0"/>
    <x v="3"/>
    <x v="5"/>
    <x v="0"/>
    <x v="0"/>
    <x v="0"/>
    <m/>
    <x v="0"/>
    <x v="0"/>
    <n v="-0.280422"/>
    <m/>
    <x v="4"/>
    <x v="1"/>
    <x v="0"/>
    <x v="0"/>
    <x v="0"/>
  </r>
  <r>
    <s v="Singapore"/>
    <x v="0"/>
    <s v="SG1"/>
    <m/>
    <x v="0"/>
    <x v="2"/>
    <x v="3"/>
    <x v="2"/>
    <x v="0"/>
    <x v="0"/>
    <x v="0"/>
    <m/>
    <x v="0"/>
    <x v="0"/>
    <n v="-0.12463200000000001"/>
    <m/>
    <x v="0"/>
    <x v="3"/>
    <x v="0"/>
    <x v="0"/>
    <x v="1"/>
  </r>
  <r>
    <s v="Singapore"/>
    <x v="1"/>
    <s v="SG4"/>
    <m/>
    <x v="3"/>
    <x v="3"/>
    <x v="0"/>
    <x v="2"/>
    <x v="0"/>
    <x v="0"/>
    <x v="0"/>
    <m/>
    <x v="0"/>
    <x v="0"/>
    <n v="-4.9525641"/>
    <m/>
    <x v="0"/>
    <x v="2"/>
    <x v="0"/>
    <x v="4"/>
    <x v="2"/>
  </r>
  <r>
    <s v="Singapore"/>
    <x v="1"/>
    <s v="SG2"/>
    <m/>
    <x v="0"/>
    <x v="1"/>
    <x v="3"/>
    <x v="5"/>
    <x v="0"/>
    <x v="0"/>
    <x v="0"/>
    <m/>
    <x v="0"/>
    <x v="0"/>
    <n v="-0.31158000000000002"/>
    <m/>
    <x v="0"/>
    <x v="0"/>
    <x v="0"/>
    <x v="4"/>
    <x v="2"/>
  </r>
  <r>
    <s v="Singapore"/>
    <x v="0"/>
    <s v="SG2"/>
    <m/>
    <x v="1"/>
    <x v="2"/>
    <x v="3"/>
    <x v="5"/>
    <x v="0"/>
    <x v="0"/>
    <x v="0"/>
    <m/>
    <x v="0"/>
    <x v="0"/>
    <n v="0.233685"/>
    <m/>
    <x v="0"/>
    <x v="3"/>
    <x v="0"/>
    <x v="0"/>
    <x v="2"/>
  </r>
  <r>
    <s v="Singapore"/>
    <x v="5"/>
    <s v="SG1"/>
    <m/>
    <x v="2"/>
    <x v="4"/>
    <x v="2"/>
    <x v="0"/>
    <x v="0"/>
    <x v="0"/>
    <x v="0"/>
    <m/>
    <x v="0"/>
    <x v="0"/>
    <n v="-9.3474000000000002E-2"/>
    <m/>
    <x v="0"/>
    <x v="2"/>
    <x v="0"/>
    <x v="4"/>
    <x v="2"/>
  </r>
  <r>
    <s v="Singapore"/>
    <x v="2"/>
    <s v="SG4"/>
    <m/>
    <x v="4"/>
    <x v="1"/>
    <x v="2"/>
    <x v="0"/>
    <x v="0"/>
    <x v="0"/>
    <x v="0"/>
    <m/>
    <x v="0"/>
    <x v="0"/>
    <n v="-0.10827405000000001"/>
    <m/>
    <x v="6"/>
    <x v="3"/>
    <x v="0"/>
    <x v="2"/>
    <x v="1"/>
  </r>
  <r>
    <s v="Singapore"/>
    <x v="2"/>
    <s v="SG4"/>
    <m/>
    <x v="3"/>
    <x v="0"/>
    <x v="0"/>
    <x v="2"/>
    <x v="0"/>
    <x v="0"/>
    <x v="0"/>
    <m/>
    <x v="0"/>
    <x v="0"/>
    <n v="-4.6737000000000001E-2"/>
    <m/>
    <x v="4"/>
    <x v="2"/>
    <x v="0"/>
    <x v="3"/>
    <x v="0"/>
  </r>
  <r>
    <s v="Singapore"/>
    <x v="5"/>
    <s v="SG4"/>
    <m/>
    <x v="4"/>
    <x v="2"/>
    <x v="2"/>
    <x v="1"/>
    <x v="0"/>
    <x v="0"/>
    <x v="0"/>
    <m/>
    <x v="0"/>
    <x v="0"/>
    <n v="73.610105103000009"/>
    <m/>
    <x v="5"/>
    <x v="2"/>
    <x v="0"/>
    <x v="2"/>
    <x v="1"/>
  </r>
  <r>
    <s v="Singapore"/>
    <x v="3"/>
    <s v="SG4"/>
    <m/>
    <x v="0"/>
    <x v="0"/>
    <x v="4"/>
    <x v="5"/>
    <x v="0"/>
    <x v="0"/>
    <x v="0"/>
    <m/>
    <x v="0"/>
    <x v="0"/>
    <n v="-0.60758100000000004"/>
    <m/>
    <x v="4"/>
    <x v="2"/>
    <x v="0"/>
    <x v="2"/>
    <x v="2"/>
  </r>
  <r>
    <s v="Singapore"/>
    <x v="5"/>
    <s v="SG3"/>
    <m/>
    <x v="1"/>
    <x v="2"/>
    <x v="1"/>
    <x v="2"/>
    <x v="0"/>
    <x v="0"/>
    <x v="0"/>
    <m/>
    <x v="0"/>
    <x v="0"/>
    <n v="-2.775180744"/>
    <m/>
    <x v="4"/>
    <x v="1"/>
    <x v="0"/>
    <x v="5"/>
    <x v="1"/>
  </r>
  <r>
    <s v="Singapore"/>
    <x v="1"/>
    <s v="SG4"/>
    <m/>
    <x v="0"/>
    <x v="3"/>
    <x v="4"/>
    <x v="0"/>
    <x v="0"/>
    <x v="0"/>
    <x v="0"/>
    <m/>
    <x v="0"/>
    <x v="0"/>
    <n v="1.059372"/>
    <m/>
    <x v="1"/>
    <x v="3"/>
    <x v="0"/>
    <x v="4"/>
    <x v="0"/>
  </r>
  <r>
    <s v="Singapore"/>
    <x v="0"/>
    <s v="SG4"/>
    <m/>
    <x v="1"/>
    <x v="3"/>
    <x v="0"/>
    <x v="5"/>
    <x v="0"/>
    <x v="0"/>
    <x v="0"/>
    <m/>
    <x v="0"/>
    <x v="0"/>
    <n v="-0.15579000000000001"/>
    <m/>
    <x v="4"/>
    <x v="1"/>
    <x v="0"/>
    <x v="5"/>
    <x v="1"/>
  </r>
  <r>
    <s v="Singapore"/>
    <x v="2"/>
    <s v="SG4"/>
    <m/>
    <x v="4"/>
    <x v="4"/>
    <x v="2"/>
    <x v="2"/>
    <x v="0"/>
    <x v="0"/>
    <x v="0"/>
    <m/>
    <x v="0"/>
    <x v="0"/>
    <n v="-4.6737000000000001E-2"/>
    <m/>
    <x v="0"/>
    <x v="3"/>
    <x v="0"/>
    <x v="3"/>
    <x v="0"/>
  </r>
  <r>
    <s v="Singapore"/>
    <x v="2"/>
    <s v="SG2"/>
    <m/>
    <x v="5"/>
    <x v="0"/>
    <x v="4"/>
    <x v="3"/>
    <x v="0"/>
    <x v="0"/>
    <x v="0"/>
    <m/>
    <x v="0"/>
    <x v="0"/>
    <n v="-0.42063300000000003"/>
    <m/>
    <x v="4"/>
    <x v="3"/>
    <x v="0"/>
    <x v="0"/>
    <x v="0"/>
  </r>
  <r>
    <s v="Singapore"/>
    <x v="2"/>
    <s v="SG3"/>
    <m/>
    <x v="4"/>
    <x v="3"/>
    <x v="0"/>
    <x v="2"/>
    <x v="0"/>
    <x v="0"/>
    <x v="0"/>
    <m/>
    <x v="0"/>
    <x v="0"/>
    <n v="-0.15579000000000001"/>
    <m/>
    <x v="0"/>
    <x v="2"/>
    <x v="0"/>
    <x v="4"/>
    <x v="1"/>
  </r>
  <r>
    <s v="Singapore"/>
    <x v="5"/>
    <s v="SG3"/>
    <m/>
    <x v="3"/>
    <x v="0"/>
    <x v="3"/>
    <x v="2"/>
    <x v="0"/>
    <x v="0"/>
    <x v="0"/>
    <m/>
    <x v="0"/>
    <x v="0"/>
    <n v="-1.5579000000000001E-2"/>
    <m/>
    <x v="0"/>
    <x v="3"/>
    <x v="0"/>
    <x v="3"/>
    <x v="1"/>
  </r>
  <r>
    <s v="Singapore"/>
    <x v="5"/>
    <s v="SG1"/>
    <m/>
    <x v="3"/>
    <x v="1"/>
    <x v="0"/>
    <x v="4"/>
    <x v="0"/>
    <x v="0"/>
    <x v="0"/>
    <m/>
    <x v="0"/>
    <x v="0"/>
    <n v="-0.1168425"/>
    <m/>
    <x v="0"/>
    <x v="2"/>
    <x v="0"/>
    <x v="1"/>
    <x v="2"/>
  </r>
  <r>
    <s v="Singapore"/>
    <x v="2"/>
    <s v="SG3"/>
    <m/>
    <x v="1"/>
    <x v="3"/>
    <x v="3"/>
    <x v="3"/>
    <x v="0"/>
    <x v="0"/>
    <x v="0"/>
    <m/>
    <x v="0"/>
    <x v="0"/>
    <n v="-4.0505400000000004E-2"/>
    <m/>
    <x v="2"/>
    <x v="3"/>
    <x v="0"/>
    <x v="4"/>
    <x v="0"/>
  </r>
  <r>
    <s v="Singapore"/>
    <x v="2"/>
    <s v="SG4"/>
    <m/>
    <x v="5"/>
    <x v="2"/>
    <x v="2"/>
    <x v="5"/>
    <x v="0"/>
    <x v="0"/>
    <x v="0"/>
    <m/>
    <x v="0"/>
    <x v="0"/>
    <n v="-0.15579000000000001"/>
    <m/>
    <x v="0"/>
    <x v="1"/>
    <x v="0"/>
    <x v="5"/>
    <x v="0"/>
  </r>
  <r>
    <s v="Singapore"/>
    <x v="3"/>
    <s v="SG1"/>
    <m/>
    <x v="0"/>
    <x v="3"/>
    <x v="1"/>
    <x v="5"/>
    <x v="0"/>
    <x v="0"/>
    <x v="0"/>
    <m/>
    <x v="0"/>
    <x v="0"/>
    <n v="-4.6737000000000001E-2"/>
    <m/>
    <x v="0"/>
    <x v="1"/>
    <x v="0"/>
    <x v="1"/>
    <x v="0"/>
  </r>
  <r>
    <s v="Singapore"/>
    <x v="1"/>
    <s v="SG1"/>
    <m/>
    <x v="0"/>
    <x v="1"/>
    <x v="4"/>
    <x v="5"/>
    <x v="0"/>
    <x v="0"/>
    <x v="0"/>
    <m/>
    <x v="0"/>
    <x v="0"/>
    <n v="-0.31158000000000002"/>
    <m/>
    <x v="0"/>
    <x v="3"/>
    <x v="0"/>
    <x v="1"/>
    <x v="0"/>
  </r>
  <r>
    <s v="Singapore"/>
    <x v="4"/>
    <s v="SG1"/>
    <m/>
    <x v="4"/>
    <x v="1"/>
    <x v="1"/>
    <x v="3"/>
    <x v="0"/>
    <x v="0"/>
    <x v="0"/>
    <m/>
    <x v="0"/>
    <x v="0"/>
    <n v="2.7263250000000001"/>
    <m/>
    <x v="1"/>
    <x v="1"/>
    <x v="0"/>
    <x v="5"/>
    <x v="2"/>
  </r>
  <r>
    <s v="Singapore"/>
    <x v="2"/>
    <s v="SG1"/>
    <m/>
    <x v="2"/>
    <x v="0"/>
    <x v="1"/>
    <x v="2"/>
    <x v="0"/>
    <x v="0"/>
    <x v="0"/>
    <m/>
    <x v="0"/>
    <x v="0"/>
    <n v="-0.12463200000000001"/>
    <m/>
    <x v="4"/>
    <x v="1"/>
    <x v="0"/>
    <x v="5"/>
    <x v="1"/>
  </r>
  <r>
    <s v="Singapore"/>
    <x v="1"/>
    <s v="SG2"/>
    <m/>
    <x v="3"/>
    <x v="3"/>
    <x v="3"/>
    <x v="3"/>
    <x v="0"/>
    <x v="0"/>
    <x v="0"/>
    <m/>
    <x v="0"/>
    <x v="0"/>
    <n v="-9.3474000000000002E-2"/>
    <m/>
    <x v="6"/>
    <x v="3"/>
    <x v="0"/>
    <x v="0"/>
    <x v="0"/>
  </r>
  <r>
    <s v="Singapore"/>
    <x v="2"/>
    <s v="SG4"/>
    <m/>
    <x v="4"/>
    <x v="2"/>
    <x v="1"/>
    <x v="5"/>
    <x v="0"/>
    <x v="0"/>
    <x v="0"/>
    <m/>
    <x v="0"/>
    <x v="0"/>
    <n v="-1.5579000000000001E-2"/>
    <m/>
    <x v="0"/>
    <x v="0"/>
    <x v="0"/>
    <x v="1"/>
    <x v="0"/>
  </r>
  <r>
    <s v="Singapore"/>
    <x v="2"/>
    <s v="SG3"/>
    <m/>
    <x v="3"/>
    <x v="0"/>
    <x v="1"/>
    <x v="3"/>
    <x v="0"/>
    <x v="0"/>
    <x v="0"/>
    <m/>
    <x v="0"/>
    <x v="0"/>
    <n v="0.70105499999999998"/>
    <m/>
    <x v="1"/>
    <x v="2"/>
    <x v="0"/>
    <x v="1"/>
    <x v="0"/>
  </r>
  <r>
    <s v="Singapore"/>
    <x v="4"/>
    <s v="SG1"/>
    <m/>
    <x v="2"/>
    <x v="1"/>
    <x v="3"/>
    <x v="3"/>
    <x v="0"/>
    <x v="0"/>
    <x v="0"/>
    <m/>
    <x v="0"/>
    <x v="0"/>
    <n v="0.15579000000000001"/>
    <m/>
    <x v="1"/>
    <x v="1"/>
    <x v="0"/>
    <x v="0"/>
    <x v="0"/>
  </r>
  <r>
    <s v="Singapore"/>
    <x v="5"/>
    <s v="SG2"/>
    <m/>
    <x v="0"/>
    <x v="2"/>
    <x v="4"/>
    <x v="0"/>
    <x v="0"/>
    <x v="0"/>
    <x v="0"/>
    <m/>
    <x v="0"/>
    <x v="0"/>
    <n v="-0.60758100000000004"/>
    <m/>
    <x v="0"/>
    <x v="1"/>
    <x v="0"/>
    <x v="0"/>
    <x v="0"/>
  </r>
  <r>
    <s v="Singapore"/>
    <x v="5"/>
    <s v="SG4"/>
    <m/>
    <x v="2"/>
    <x v="0"/>
    <x v="2"/>
    <x v="5"/>
    <x v="0"/>
    <x v="0"/>
    <x v="0"/>
    <m/>
    <x v="0"/>
    <x v="0"/>
    <n v="-0.10905300000000001"/>
    <m/>
    <x v="4"/>
    <x v="3"/>
    <x v="0"/>
    <x v="3"/>
    <x v="1"/>
  </r>
  <r>
    <s v="Singapore"/>
    <x v="3"/>
    <s v="SG3"/>
    <m/>
    <x v="3"/>
    <x v="0"/>
    <x v="0"/>
    <x v="2"/>
    <x v="0"/>
    <x v="0"/>
    <x v="0"/>
    <m/>
    <x v="0"/>
    <x v="0"/>
    <n v="-0.37389600000000001"/>
    <m/>
    <x v="4"/>
    <x v="2"/>
    <x v="0"/>
    <x v="2"/>
    <x v="2"/>
  </r>
  <r>
    <s v="Singapore"/>
    <x v="4"/>
    <s v="SG1"/>
    <m/>
    <x v="4"/>
    <x v="1"/>
    <x v="4"/>
    <x v="4"/>
    <x v="0"/>
    <x v="0"/>
    <x v="0"/>
    <m/>
    <x v="0"/>
    <x v="0"/>
    <n v="-1.5579000000000001E-2"/>
    <m/>
    <x v="0"/>
    <x v="1"/>
    <x v="0"/>
    <x v="5"/>
    <x v="2"/>
  </r>
  <r>
    <s v="Singapore"/>
    <x v="4"/>
    <s v="SG3"/>
    <m/>
    <x v="0"/>
    <x v="1"/>
    <x v="0"/>
    <x v="0"/>
    <x v="0"/>
    <x v="0"/>
    <x v="0"/>
    <m/>
    <x v="0"/>
    <x v="0"/>
    <n v="-0.280422"/>
    <m/>
    <x v="0"/>
    <x v="1"/>
    <x v="0"/>
    <x v="1"/>
    <x v="0"/>
  </r>
  <r>
    <s v="Singapore"/>
    <x v="3"/>
    <s v="SG1"/>
    <m/>
    <x v="5"/>
    <x v="0"/>
    <x v="4"/>
    <x v="0"/>
    <x v="0"/>
    <x v="0"/>
    <x v="0"/>
    <m/>
    <x v="0"/>
    <x v="0"/>
    <n v="-0.43621200000000004"/>
    <m/>
    <x v="0"/>
    <x v="2"/>
    <x v="0"/>
    <x v="3"/>
    <x v="2"/>
  </r>
  <r>
    <s v="Singapore"/>
    <x v="0"/>
    <s v="SG2"/>
    <m/>
    <x v="4"/>
    <x v="3"/>
    <x v="0"/>
    <x v="0"/>
    <x v="0"/>
    <x v="0"/>
    <x v="0"/>
    <m/>
    <x v="0"/>
    <x v="0"/>
    <n v="-0.21810600000000002"/>
    <m/>
    <x v="4"/>
    <x v="1"/>
    <x v="0"/>
    <x v="5"/>
    <x v="2"/>
  </r>
  <r>
    <s v="Singapore"/>
    <x v="5"/>
    <s v="SG4"/>
    <m/>
    <x v="1"/>
    <x v="2"/>
    <x v="2"/>
    <x v="1"/>
    <x v="0"/>
    <x v="0"/>
    <x v="0"/>
    <m/>
    <x v="0"/>
    <x v="0"/>
    <n v="-0.21810600000000002"/>
    <m/>
    <x v="4"/>
    <x v="3"/>
    <x v="0"/>
    <x v="3"/>
    <x v="0"/>
  </r>
  <r>
    <s v="Singapore"/>
    <x v="0"/>
    <s v="SG2"/>
    <m/>
    <x v="3"/>
    <x v="2"/>
    <x v="0"/>
    <x v="3"/>
    <x v="0"/>
    <x v="0"/>
    <x v="0"/>
    <m/>
    <x v="0"/>
    <x v="0"/>
    <n v="-9.3474000000000002E-2"/>
    <m/>
    <x v="0"/>
    <x v="1"/>
    <x v="0"/>
    <x v="2"/>
    <x v="1"/>
  </r>
  <r>
    <s v="Singapore"/>
    <x v="5"/>
    <s v="SG2"/>
    <m/>
    <x v="3"/>
    <x v="2"/>
    <x v="1"/>
    <x v="5"/>
    <x v="0"/>
    <x v="0"/>
    <x v="0"/>
    <m/>
    <x v="0"/>
    <x v="0"/>
    <n v="-1.86948"/>
    <m/>
    <x v="4"/>
    <x v="2"/>
    <x v="0"/>
    <x v="2"/>
    <x v="2"/>
  </r>
  <r>
    <s v="Singapore"/>
    <x v="1"/>
    <s v="SG3"/>
    <m/>
    <x v="5"/>
    <x v="2"/>
    <x v="4"/>
    <x v="5"/>
    <x v="0"/>
    <x v="0"/>
    <x v="0"/>
    <m/>
    <x v="0"/>
    <x v="0"/>
    <n v="21.51070425"/>
    <m/>
    <x v="7"/>
    <x v="2"/>
    <x v="0"/>
    <x v="5"/>
    <x v="2"/>
  </r>
  <r>
    <s v="Singapore"/>
    <x v="4"/>
    <s v="SG1"/>
    <m/>
    <x v="4"/>
    <x v="4"/>
    <x v="0"/>
    <x v="3"/>
    <x v="0"/>
    <x v="0"/>
    <x v="0"/>
    <m/>
    <x v="0"/>
    <x v="0"/>
    <n v="-7.0105500000000001E-2"/>
    <m/>
    <x v="8"/>
    <x v="3"/>
    <x v="0"/>
    <x v="4"/>
    <x v="1"/>
  </r>
  <r>
    <s v="Singapore"/>
    <x v="5"/>
    <s v="SG3"/>
    <m/>
    <x v="2"/>
    <x v="0"/>
    <x v="3"/>
    <x v="1"/>
    <x v="0"/>
    <x v="0"/>
    <x v="0"/>
    <m/>
    <x v="0"/>
    <x v="0"/>
    <n v="-0.17136900000000002"/>
    <m/>
    <x v="8"/>
    <x v="1"/>
    <x v="0"/>
    <x v="5"/>
    <x v="0"/>
  </r>
  <r>
    <s v="Singapore"/>
    <x v="2"/>
    <s v="SG2"/>
    <m/>
    <x v="2"/>
    <x v="3"/>
    <x v="0"/>
    <x v="3"/>
    <x v="0"/>
    <x v="0"/>
    <x v="0"/>
    <m/>
    <x v="0"/>
    <x v="0"/>
    <n v="0.233685"/>
    <m/>
    <x v="1"/>
    <x v="2"/>
    <x v="0"/>
    <x v="5"/>
    <x v="0"/>
  </r>
  <r>
    <s v="Singapore"/>
    <x v="4"/>
    <s v="SG3"/>
    <m/>
    <x v="5"/>
    <x v="2"/>
    <x v="0"/>
    <x v="2"/>
    <x v="0"/>
    <x v="0"/>
    <x v="0"/>
    <m/>
    <x v="0"/>
    <x v="0"/>
    <n v="-0.77895000000000003"/>
    <m/>
    <x v="4"/>
    <x v="3"/>
    <x v="0"/>
    <x v="2"/>
    <x v="1"/>
  </r>
  <r>
    <s v="Singapore"/>
    <x v="2"/>
    <s v="SG4"/>
    <m/>
    <x v="1"/>
    <x v="4"/>
    <x v="2"/>
    <x v="3"/>
    <x v="0"/>
    <x v="0"/>
    <x v="0"/>
    <m/>
    <x v="0"/>
    <x v="0"/>
    <n v="-0.21810600000000002"/>
    <m/>
    <x v="4"/>
    <x v="1"/>
    <x v="0"/>
    <x v="5"/>
    <x v="2"/>
  </r>
  <r>
    <s v="Singapore"/>
    <x v="5"/>
    <s v="SG1"/>
    <m/>
    <x v="2"/>
    <x v="2"/>
    <x v="4"/>
    <x v="2"/>
    <x v="0"/>
    <x v="0"/>
    <x v="0"/>
    <m/>
    <x v="0"/>
    <x v="0"/>
    <n v="0.15968475000000001"/>
    <m/>
    <x v="7"/>
    <x v="3"/>
    <x v="0"/>
    <x v="3"/>
    <x v="0"/>
  </r>
  <r>
    <s v="Singapore"/>
    <x v="4"/>
    <s v="SG4"/>
    <m/>
    <x v="2"/>
    <x v="4"/>
    <x v="1"/>
    <x v="2"/>
    <x v="0"/>
    <x v="0"/>
    <x v="0"/>
    <m/>
    <x v="0"/>
    <x v="0"/>
    <n v="0.69843772800000004"/>
    <m/>
    <x v="1"/>
    <x v="2"/>
    <x v="0"/>
    <x v="0"/>
    <x v="1"/>
  </r>
  <r>
    <s v="Singapore"/>
    <x v="4"/>
    <s v="SG2"/>
    <m/>
    <x v="3"/>
    <x v="1"/>
    <x v="2"/>
    <x v="4"/>
    <x v="0"/>
    <x v="0"/>
    <x v="0"/>
    <m/>
    <x v="0"/>
    <x v="0"/>
    <n v="-2.8042199999999999"/>
    <m/>
    <x v="4"/>
    <x v="1"/>
    <x v="0"/>
    <x v="1"/>
    <x v="2"/>
  </r>
  <r>
    <s v="Singapore"/>
    <x v="0"/>
    <s v="SG4"/>
    <m/>
    <x v="0"/>
    <x v="1"/>
    <x v="3"/>
    <x v="0"/>
    <x v="0"/>
    <x v="0"/>
    <x v="0"/>
    <m/>
    <x v="0"/>
    <x v="0"/>
    <n v="1.0469088"/>
    <m/>
    <x v="3"/>
    <x v="1"/>
    <x v="0"/>
    <x v="3"/>
    <x v="2"/>
  </r>
  <r>
    <s v="Singapore"/>
    <x v="1"/>
    <s v="SG1"/>
    <m/>
    <x v="2"/>
    <x v="1"/>
    <x v="0"/>
    <x v="4"/>
    <x v="0"/>
    <x v="0"/>
    <x v="0"/>
    <m/>
    <x v="0"/>
    <x v="0"/>
    <n v="-0.233685"/>
    <m/>
    <x v="0"/>
    <x v="2"/>
    <x v="0"/>
    <x v="3"/>
    <x v="2"/>
  </r>
  <r>
    <s v="Singapore"/>
    <x v="5"/>
    <s v="SG4"/>
    <m/>
    <x v="4"/>
    <x v="0"/>
    <x v="4"/>
    <x v="2"/>
    <x v="0"/>
    <x v="0"/>
    <x v="0"/>
    <m/>
    <x v="0"/>
    <x v="0"/>
    <n v="-1.168425"/>
    <m/>
    <x v="0"/>
    <x v="0"/>
    <x v="0"/>
    <x v="3"/>
    <x v="2"/>
  </r>
  <r>
    <s v="Singapore"/>
    <x v="0"/>
    <s v="SG3"/>
    <m/>
    <x v="4"/>
    <x v="0"/>
    <x v="4"/>
    <x v="0"/>
    <x v="0"/>
    <x v="0"/>
    <x v="0"/>
    <m/>
    <x v="0"/>
    <x v="0"/>
    <n v="-0.30690630000000002"/>
    <m/>
    <x v="0"/>
    <x v="3"/>
    <x v="0"/>
    <x v="2"/>
    <x v="1"/>
  </r>
  <r>
    <s v="Singapore"/>
    <x v="0"/>
    <s v="SG2"/>
    <m/>
    <x v="4"/>
    <x v="4"/>
    <x v="3"/>
    <x v="2"/>
    <x v="0"/>
    <x v="0"/>
    <x v="0"/>
    <m/>
    <x v="0"/>
    <x v="0"/>
    <n v="0.37389600000000001"/>
    <m/>
    <x v="4"/>
    <x v="1"/>
    <x v="0"/>
    <x v="4"/>
    <x v="0"/>
  </r>
  <r>
    <s v="Singapore"/>
    <x v="0"/>
    <s v="SG3"/>
    <m/>
    <x v="2"/>
    <x v="4"/>
    <x v="2"/>
    <x v="3"/>
    <x v="0"/>
    <x v="0"/>
    <x v="0"/>
    <m/>
    <x v="0"/>
    <x v="0"/>
    <n v="-62.120639340000004"/>
    <m/>
    <x v="3"/>
    <x v="2"/>
    <x v="0"/>
    <x v="1"/>
    <x v="0"/>
  </r>
  <r>
    <s v="Singapore"/>
    <x v="5"/>
    <s v="SG1"/>
    <m/>
    <x v="1"/>
    <x v="1"/>
    <x v="0"/>
    <x v="1"/>
    <x v="0"/>
    <x v="0"/>
    <x v="0"/>
    <m/>
    <x v="0"/>
    <x v="0"/>
    <n v="-0.184938309"/>
    <m/>
    <x v="2"/>
    <x v="3"/>
    <x v="0"/>
    <x v="5"/>
    <x v="1"/>
  </r>
  <r>
    <s v="Singapore"/>
    <x v="0"/>
    <s v="SG1"/>
    <m/>
    <x v="3"/>
    <x v="2"/>
    <x v="4"/>
    <x v="1"/>
    <x v="0"/>
    <x v="0"/>
    <x v="0"/>
    <m/>
    <x v="0"/>
    <x v="0"/>
    <n v="-0.81010800000000005"/>
    <m/>
    <x v="4"/>
    <x v="2"/>
    <x v="0"/>
    <x v="1"/>
    <x v="2"/>
  </r>
  <r>
    <s v="Singapore"/>
    <x v="1"/>
    <s v="SG4"/>
    <m/>
    <x v="1"/>
    <x v="2"/>
    <x v="3"/>
    <x v="1"/>
    <x v="0"/>
    <x v="0"/>
    <x v="0"/>
    <m/>
    <x v="0"/>
    <x v="0"/>
    <n v="-0.233685"/>
    <m/>
    <x v="0"/>
    <x v="0"/>
    <x v="0"/>
    <x v="0"/>
    <x v="1"/>
  </r>
  <r>
    <s v="Singapore"/>
    <x v="3"/>
    <s v="SG1"/>
    <m/>
    <x v="0"/>
    <x v="4"/>
    <x v="2"/>
    <x v="5"/>
    <x v="0"/>
    <x v="0"/>
    <x v="0"/>
    <m/>
    <x v="0"/>
    <x v="0"/>
    <n v="-9.3474000000000002E-2"/>
    <m/>
    <x v="0"/>
    <x v="2"/>
    <x v="0"/>
    <x v="1"/>
    <x v="0"/>
  </r>
  <r>
    <s v="Singapore"/>
    <x v="0"/>
    <s v="SG4"/>
    <m/>
    <x v="5"/>
    <x v="0"/>
    <x v="0"/>
    <x v="0"/>
    <x v="0"/>
    <x v="0"/>
    <x v="0"/>
    <m/>
    <x v="0"/>
    <x v="0"/>
    <n v="2.601693"/>
    <m/>
    <x v="1"/>
    <x v="0"/>
    <x v="0"/>
    <x v="5"/>
    <x v="2"/>
  </r>
  <r>
    <s v="Singapore"/>
    <x v="1"/>
    <s v="SG4"/>
    <m/>
    <x v="3"/>
    <x v="0"/>
    <x v="4"/>
    <x v="0"/>
    <x v="0"/>
    <x v="0"/>
    <x v="0"/>
    <m/>
    <x v="0"/>
    <x v="0"/>
    <n v="-3.8947500000000003E-2"/>
    <m/>
    <x v="0"/>
    <x v="2"/>
    <x v="0"/>
    <x v="2"/>
    <x v="0"/>
  </r>
  <r>
    <s v="Singapore"/>
    <x v="1"/>
    <s v="SG1"/>
    <m/>
    <x v="3"/>
    <x v="3"/>
    <x v="1"/>
    <x v="3"/>
    <x v="0"/>
    <x v="0"/>
    <x v="0"/>
    <m/>
    <x v="0"/>
    <x v="0"/>
    <n v="2.1343230000000002"/>
    <m/>
    <x v="1"/>
    <x v="1"/>
    <x v="0"/>
    <x v="0"/>
    <x v="0"/>
  </r>
  <r>
    <s v="Singapore"/>
    <x v="5"/>
    <s v="SG2"/>
    <m/>
    <x v="2"/>
    <x v="3"/>
    <x v="1"/>
    <x v="1"/>
    <x v="0"/>
    <x v="0"/>
    <x v="0"/>
    <m/>
    <x v="0"/>
    <x v="0"/>
    <n v="-5.3233910370000004"/>
    <m/>
    <x v="0"/>
    <x v="3"/>
    <x v="0"/>
    <x v="5"/>
    <x v="0"/>
  </r>
  <r>
    <s v="Singapore"/>
    <x v="5"/>
    <s v="SG3"/>
    <m/>
    <x v="1"/>
    <x v="0"/>
    <x v="4"/>
    <x v="0"/>
    <x v="0"/>
    <x v="0"/>
    <x v="0"/>
    <m/>
    <x v="0"/>
    <x v="0"/>
    <n v="-2.775180744"/>
    <m/>
    <x v="4"/>
    <x v="3"/>
    <x v="0"/>
    <x v="2"/>
    <x v="0"/>
  </r>
  <r>
    <s v="Singapore"/>
    <x v="1"/>
    <s v="SG4"/>
    <m/>
    <x v="1"/>
    <x v="4"/>
    <x v="4"/>
    <x v="2"/>
    <x v="0"/>
    <x v="0"/>
    <x v="0"/>
    <m/>
    <x v="0"/>
    <x v="0"/>
    <n v="-4.6737000000000001E-2"/>
    <m/>
    <x v="0"/>
    <x v="2"/>
    <x v="0"/>
    <x v="0"/>
    <x v="2"/>
  </r>
  <r>
    <s v="Singapore"/>
    <x v="0"/>
    <s v="SG1"/>
    <m/>
    <x v="5"/>
    <x v="1"/>
    <x v="3"/>
    <x v="3"/>
    <x v="0"/>
    <x v="0"/>
    <x v="0"/>
    <m/>
    <x v="0"/>
    <x v="0"/>
    <n v="0.38268255600000001"/>
    <m/>
    <x v="1"/>
    <x v="3"/>
    <x v="0"/>
    <x v="5"/>
    <x v="2"/>
  </r>
  <r>
    <s v="Singapore"/>
    <x v="0"/>
    <s v="SG2"/>
    <m/>
    <x v="3"/>
    <x v="0"/>
    <x v="3"/>
    <x v="3"/>
    <x v="0"/>
    <x v="0"/>
    <x v="0"/>
    <m/>
    <x v="0"/>
    <x v="0"/>
    <n v="-623.16000000000008"/>
    <m/>
    <x v="3"/>
    <x v="3"/>
    <x v="0"/>
    <x v="3"/>
    <x v="0"/>
  </r>
  <r>
    <s v="Singapore"/>
    <x v="2"/>
    <s v="SG4"/>
    <m/>
    <x v="1"/>
    <x v="2"/>
    <x v="0"/>
    <x v="2"/>
    <x v="0"/>
    <x v="0"/>
    <x v="0"/>
    <m/>
    <x v="0"/>
    <x v="0"/>
    <n v="-0.17136900000000002"/>
    <m/>
    <x v="0"/>
    <x v="0"/>
    <x v="0"/>
    <x v="4"/>
    <x v="2"/>
  </r>
  <r>
    <s v="Singapore"/>
    <x v="3"/>
    <s v="SG1"/>
    <m/>
    <x v="5"/>
    <x v="1"/>
    <x v="3"/>
    <x v="1"/>
    <x v="0"/>
    <x v="0"/>
    <x v="0"/>
    <m/>
    <x v="0"/>
    <x v="0"/>
    <n v="-2.4926400000000002"/>
    <m/>
    <x v="4"/>
    <x v="0"/>
    <x v="0"/>
    <x v="2"/>
    <x v="2"/>
  </r>
  <r>
    <s v="Singapore"/>
    <x v="1"/>
    <s v="SG3"/>
    <m/>
    <x v="5"/>
    <x v="4"/>
    <x v="4"/>
    <x v="1"/>
    <x v="0"/>
    <x v="0"/>
    <x v="0"/>
    <m/>
    <x v="0"/>
    <x v="0"/>
    <n v="-9.3474000000000002E-2"/>
    <m/>
    <x v="0"/>
    <x v="0"/>
    <x v="0"/>
    <x v="1"/>
    <x v="2"/>
  </r>
  <r>
    <s v="Singapore"/>
    <x v="1"/>
    <s v="SG1"/>
    <m/>
    <x v="2"/>
    <x v="1"/>
    <x v="1"/>
    <x v="0"/>
    <x v="0"/>
    <x v="0"/>
    <x v="0"/>
    <m/>
    <x v="0"/>
    <x v="0"/>
    <n v="-80.714580894000008"/>
    <m/>
    <x v="2"/>
    <x v="2"/>
    <x v="0"/>
    <x v="2"/>
    <x v="1"/>
  </r>
  <r>
    <s v="Singapore"/>
    <x v="0"/>
    <s v="SG1"/>
    <m/>
    <x v="3"/>
    <x v="2"/>
    <x v="4"/>
    <x v="5"/>
    <x v="0"/>
    <x v="0"/>
    <x v="0"/>
    <m/>
    <x v="0"/>
    <x v="0"/>
    <n v="0.98717891400000002"/>
    <m/>
    <x v="4"/>
    <x v="0"/>
    <x v="0"/>
    <x v="2"/>
    <x v="1"/>
  </r>
  <r>
    <s v="Singapore"/>
    <x v="2"/>
    <s v="SG3"/>
    <m/>
    <x v="1"/>
    <x v="2"/>
    <x v="0"/>
    <x v="3"/>
    <x v="0"/>
    <x v="0"/>
    <x v="0"/>
    <m/>
    <x v="0"/>
    <x v="0"/>
    <n v="8.8800299999999999E-2"/>
    <m/>
    <x v="3"/>
    <x v="1"/>
    <x v="0"/>
    <x v="5"/>
    <x v="1"/>
  </r>
  <r>
    <s v="Singapore"/>
    <x v="2"/>
    <s v="SG4"/>
    <m/>
    <x v="5"/>
    <x v="3"/>
    <x v="3"/>
    <x v="2"/>
    <x v="0"/>
    <x v="0"/>
    <x v="0"/>
    <m/>
    <x v="0"/>
    <x v="0"/>
    <n v="1.7956043820000001"/>
    <m/>
    <x v="8"/>
    <x v="1"/>
    <x v="0"/>
    <x v="1"/>
    <x v="1"/>
  </r>
  <r>
    <s v="Singapore"/>
    <x v="5"/>
    <s v="SG3"/>
    <m/>
    <x v="5"/>
    <x v="3"/>
    <x v="1"/>
    <x v="4"/>
    <x v="0"/>
    <x v="0"/>
    <x v="0"/>
    <m/>
    <x v="0"/>
    <x v="0"/>
    <n v="0.14955840000000001"/>
    <m/>
    <x v="6"/>
    <x v="2"/>
    <x v="0"/>
    <x v="1"/>
    <x v="2"/>
  </r>
  <r>
    <s v="Singapore"/>
    <x v="0"/>
    <s v="SG2"/>
    <m/>
    <x v="2"/>
    <x v="2"/>
    <x v="1"/>
    <x v="2"/>
    <x v="0"/>
    <x v="0"/>
    <x v="0"/>
    <m/>
    <x v="0"/>
    <x v="0"/>
    <n v="-0.17136900000000002"/>
    <m/>
    <x v="4"/>
    <x v="1"/>
    <x v="0"/>
    <x v="4"/>
    <x v="1"/>
  </r>
  <r>
    <s v="Singapore"/>
    <x v="3"/>
    <s v="SG1"/>
    <m/>
    <x v="4"/>
    <x v="0"/>
    <x v="2"/>
    <x v="2"/>
    <x v="0"/>
    <x v="0"/>
    <x v="0"/>
    <m/>
    <x v="0"/>
    <x v="0"/>
    <n v="-4.5271795050000003"/>
    <m/>
    <x v="7"/>
    <x v="2"/>
    <x v="0"/>
    <x v="5"/>
    <x v="0"/>
  </r>
  <r>
    <s v="Singapore"/>
    <x v="4"/>
    <s v="SG2"/>
    <m/>
    <x v="3"/>
    <x v="2"/>
    <x v="4"/>
    <x v="4"/>
    <x v="0"/>
    <x v="0"/>
    <x v="0"/>
    <m/>
    <x v="0"/>
    <x v="0"/>
    <n v="-6.9993331200000011"/>
    <m/>
    <x v="3"/>
    <x v="3"/>
    <x v="0"/>
    <x v="5"/>
    <x v="0"/>
  </r>
  <r>
    <s v="Singapore"/>
    <x v="5"/>
    <s v="SG4"/>
    <m/>
    <x v="5"/>
    <x v="1"/>
    <x v="4"/>
    <x v="0"/>
    <x v="0"/>
    <x v="0"/>
    <x v="0"/>
    <m/>
    <x v="0"/>
    <x v="0"/>
    <n v="2.6484300000000003"/>
    <m/>
    <x v="1"/>
    <x v="3"/>
    <x v="0"/>
    <x v="3"/>
    <x v="1"/>
  </r>
  <r>
    <s v="Singapore"/>
    <x v="3"/>
    <s v="SG3"/>
    <m/>
    <x v="0"/>
    <x v="3"/>
    <x v="0"/>
    <x v="0"/>
    <x v="0"/>
    <x v="0"/>
    <x v="0"/>
    <m/>
    <x v="0"/>
    <x v="0"/>
    <n v="-0.233685"/>
    <m/>
    <x v="0"/>
    <x v="1"/>
    <x v="0"/>
    <x v="1"/>
    <x v="2"/>
  </r>
  <r>
    <s v="Singapore"/>
    <x v="2"/>
    <s v="SG1"/>
    <m/>
    <x v="2"/>
    <x v="2"/>
    <x v="0"/>
    <x v="2"/>
    <x v="0"/>
    <x v="0"/>
    <x v="0"/>
    <m/>
    <x v="0"/>
    <x v="0"/>
    <n v="-0.12463200000000001"/>
    <m/>
    <x v="0"/>
    <x v="2"/>
    <x v="0"/>
    <x v="3"/>
    <x v="1"/>
  </r>
  <r>
    <s v="Singapore"/>
    <x v="0"/>
    <s v="SG4"/>
    <m/>
    <x v="4"/>
    <x v="1"/>
    <x v="1"/>
    <x v="0"/>
    <x v="0"/>
    <x v="0"/>
    <x v="0"/>
    <m/>
    <x v="0"/>
    <x v="0"/>
    <n v="-7.5402360000000002"/>
    <m/>
    <x v="8"/>
    <x v="0"/>
    <x v="0"/>
    <x v="4"/>
    <x v="0"/>
  </r>
  <r>
    <s v="Singapore"/>
    <x v="3"/>
    <s v="SG2"/>
    <m/>
    <x v="4"/>
    <x v="2"/>
    <x v="1"/>
    <x v="2"/>
    <x v="0"/>
    <x v="0"/>
    <x v="0"/>
    <m/>
    <x v="0"/>
    <x v="0"/>
    <n v="-0.15579000000000001"/>
    <m/>
    <x v="4"/>
    <x v="2"/>
    <x v="0"/>
    <x v="1"/>
    <x v="0"/>
  </r>
  <r>
    <s v="Singapore"/>
    <x v="2"/>
    <s v="SG2"/>
    <m/>
    <x v="4"/>
    <x v="1"/>
    <x v="3"/>
    <x v="2"/>
    <x v="0"/>
    <x v="0"/>
    <x v="0"/>
    <m/>
    <x v="0"/>
    <x v="0"/>
    <n v="-2.8042199999999999"/>
    <m/>
    <x v="1"/>
    <x v="3"/>
    <x v="0"/>
    <x v="3"/>
    <x v="1"/>
  </r>
  <r>
    <s v="Singapore"/>
    <x v="4"/>
    <s v="SG2"/>
    <m/>
    <x v="3"/>
    <x v="4"/>
    <x v="1"/>
    <x v="5"/>
    <x v="0"/>
    <x v="0"/>
    <x v="0"/>
    <m/>
    <x v="0"/>
    <x v="0"/>
    <n v="-0.37389600000000001"/>
    <m/>
    <x v="4"/>
    <x v="1"/>
    <x v="0"/>
    <x v="5"/>
    <x v="2"/>
  </r>
  <r>
    <s v="Singapore"/>
    <x v="1"/>
    <s v="SG4"/>
    <m/>
    <x v="2"/>
    <x v="0"/>
    <x v="3"/>
    <x v="0"/>
    <x v="0"/>
    <x v="0"/>
    <x v="0"/>
    <m/>
    <x v="0"/>
    <x v="0"/>
    <n v="-0.1838322"/>
    <m/>
    <x v="4"/>
    <x v="0"/>
    <x v="0"/>
    <x v="4"/>
    <x v="1"/>
  </r>
  <r>
    <s v="Singapore"/>
    <x v="3"/>
    <s v="SG4"/>
    <m/>
    <x v="5"/>
    <x v="1"/>
    <x v="3"/>
    <x v="3"/>
    <x v="0"/>
    <x v="0"/>
    <x v="0"/>
    <m/>
    <x v="0"/>
    <x v="0"/>
    <n v="-3.3011901000000003"/>
    <m/>
    <x v="4"/>
    <x v="2"/>
    <x v="0"/>
    <x v="1"/>
    <x v="1"/>
  </r>
  <r>
    <s v="Singapore"/>
    <x v="5"/>
    <s v="SG1"/>
    <m/>
    <x v="0"/>
    <x v="2"/>
    <x v="0"/>
    <x v="5"/>
    <x v="0"/>
    <x v="0"/>
    <x v="0"/>
    <m/>
    <x v="0"/>
    <x v="0"/>
    <n v="-4.6737000000000001E-2"/>
    <m/>
    <x v="0"/>
    <x v="3"/>
    <x v="0"/>
    <x v="3"/>
    <x v="1"/>
  </r>
  <r>
    <s v="Singapore"/>
    <x v="2"/>
    <s v="SG1"/>
    <m/>
    <x v="5"/>
    <x v="0"/>
    <x v="2"/>
    <x v="0"/>
    <x v="0"/>
    <x v="0"/>
    <x v="0"/>
    <m/>
    <x v="0"/>
    <x v="0"/>
    <n v="-7.7895000000000006E-2"/>
    <m/>
    <x v="0"/>
    <x v="2"/>
    <x v="0"/>
    <x v="1"/>
    <x v="1"/>
  </r>
  <r>
    <s v="Singapore"/>
    <x v="5"/>
    <s v="SG2"/>
    <m/>
    <x v="5"/>
    <x v="1"/>
    <x v="4"/>
    <x v="1"/>
    <x v="0"/>
    <x v="0"/>
    <x v="0"/>
    <m/>
    <x v="0"/>
    <x v="0"/>
    <n v="-0.545265"/>
    <m/>
    <x v="0"/>
    <x v="2"/>
    <x v="0"/>
    <x v="2"/>
    <x v="0"/>
  </r>
  <r>
    <s v="Singapore"/>
    <x v="1"/>
    <s v="SG2"/>
    <m/>
    <x v="5"/>
    <x v="0"/>
    <x v="0"/>
    <x v="5"/>
    <x v="0"/>
    <x v="0"/>
    <x v="0"/>
    <m/>
    <x v="0"/>
    <x v="0"/>
    <n v="-0.21810600000000002"/>
    <m/>
    <x v="4"/>
    <x v="3"/>
    <x v="0"/>
    <x v="4"/>
    <x v="0"/>
  </r>
  <r>
    <s v="Singapore"/>
    <x v="3"/>
    <s v="SG1"/>
    <m/>
    <x v="4"/>
    <x v="3"/>
    <x v="0"/>
    <x v="3"/>
    <x v="0"/>
    <x v="0"/>
    <x v="0"/>
    <m/>
    <x v="0"/>
    <x v="0"/>
    <n v="-2.3555448000000001"/>
    <m/>
    <x v="3"/>
    <x v="2"/>
    <x v="0"/>
    <x v="0"/>
    <x v="0"/>
  </r>
  <r>
    <s v="Singapore"/>
    <x v="5"/>
    <s v="SG1"/>
    <m/>
    <x v="2"/>
    <x v="1"/>
    <x v="3"/>
    <x v="0"/>
    <x v="0"/>
    <x v="0"/>
    <x v="0"/>
    <m/>
    <x v="0"/>
    <x v="0"/>
    <n v="0.1838322"/>
    <m/>
    <x v="4"/>
    <x v="2"/>
    <x v="0"/>
    <x v="3"/>
    <x v="1"/>
  </r>
  <r>
    <s v="Singapore"/>
    <x v="2"/>
    <s v="SG3"/>
    <m/>
    <x v="4"/>
    <x v="4"/>
    <x v="1"/>
    <x v="5"/>
    <x v="0"/>
    <x v="0"/>
    <x v="0"/>
    <m/>
    <x v="0"/>
    <x v="0"/>
    <n v="-3.1158000000000002E-2"/>
    <m/>
    <x v="0"/>
    <x v="3"/>
    <x v="0"/>
    <x v="3"/>
    <x v="0"/>
  </r>
  <r>
    <s v="Singapore"/>
    <x v="0"/>
    <s v="SG3"/>
    <m/>
    <x v="4"/>
    <x v="2"/>
    <x v="4"/>
    <x v="1"/>
    <x v="0"/>
    <x v="0"/>
    <x v="0"/>
    <m/>
    <x v="0"/>
    <x v="0"/>
    <n v="-0.233685"/>
    <m/>
    <x v="0"/>
    <x v="1"/>
    <x v="0"/>
    <x v="4"/>
    <x v="2"/>
  </r>
  <r>
    <s v="Singapore"/>
    <x v="0"/>
    <s v="SG1"/>
    <m/>
    <x v="0"/>
    <x v="2"/>
    <x v="0"/>
    <x v="2"/>
    <x v="0"/>
    <x v="0"/>
    <x v="0"/>
    <m/>
    <x v="0"/>
    <x v="0"/>
    <n v="-0.42063300000000003"/>
    <m/>
    <x v="4"/>
    <x v="0"/>
    <x v="0"/>
    <x v="1"/>
    <x v="2"/>
  </r>
  <r>
    <s v="Singapore"/>
    <x v="4"/>
    <s v="SG4"/>
    <m/>
    <x v="3"/>
    <x v="4"/>
    <x v="0"/>
    <x v="0"/>
    <x v="0"/>
    <x v="0"/>
    <x v="0"/>
    <m/>
    <x v="0"/>
    <x v="0"/>
    <n v="-1.2463200000000001"/>
    <m/>
    <x v="4"/>
    <x v="0"/>
    <x v="0"/>
    <x v="3"/>
    <x v="2"/>
  </r>
  <r>
    <s v="Singapore"/>
    <x v="1"/>
    <s v="SG2"/>
    <m/>
    <x v="3"/>
    <x v="4"/>
    <x v="4"/>
    <x v="5"/>
    <x v="0"/>
    <x v="0"/>
    <x v="0"/>
    <m/>
    <x v="0"/>
    <x v="0"/>
    <n v="-3.1158000000000002E-2"/>
    <m/>
    <x v="0"/>
    <x v="1"/>
    <x v="0"/>
    <x v="0"/>
    <x v="0"/>
  </r>
  <r>
    <s v="Singapore"/>
    <x v="0"/>
    <s v="SG3"/>
    <m/>
    <x v="4"/>
    <x v="1"/>
    <x v="2"/>
    <x v="5"/>
    <x v="0"/>
    <x v="0"/>
    <x v="0"/>
    <m/>
    <x v="0"/>
    <x v="0"/>
    <n v="-0.15579000000000001"/>
    <m/>
    <x v="0"/>
    <x v="1"/>
    <x v="0"/>
    <x v="0"/>
    <x v="0"/>
  </r>
  <r>
    <s v="Singapore"/>
    <x v="1"/>
    <s v="SG4"/>
    <m/>
    <x v="3"/>
    <x v="4"/>
    <x v="3"/>
    <x v="5"/>
    <x v="0"/>
    <x v="0"/>
    <x v="0"/>
    <m/>
    <x v="0"/>
    <x v="0"/>
    <n v="-18.071671158000001"/>
    <m/>
    <x v="6"/>
    <x v="2"/>
    <x v="0"/>
    <x v="3"/>
    <x v="2"/>
  </r>
  <r>
    <s v="Singapore"/>
    <x v="5"/>
    <s v="SG4"/>
    <m/>
    <x v="0"/>
    <x v="0"/>
    <x v="1"/>
    <x v="2"/>
    <x v="0"/>
    <x v="0"/>
    <x v="0"/>
    <m/>
    <x v="0"/>
    <x v="0"/>
    <n v="-12.911875200000001"/>
    <m/>
    <x v="4"/>
    <x v="3"/>
    <x v="0"/>
    <x v="1"/>
    <x v="1"/>
  </r>
  <r>
    <s v="Singapore"/>
    <x v="1"/>
    <s v="SG2"/>
    <m/>
    <x v="2"/>
    <x v="1"/>
    <x v="0"/>
    <x v="4"/>
    <x v="0"/>
    <x v="0"/>
    <x v="0"/>
    <m/>
    <x v="0"/>
    <x v="0"/>
    <n v="-3.8386656000000001"/>
    <m/>
    <x v="4"/>
    <x v="3"/>
    <x v="0"/>
    <x v="3"/>
    <x v="1"/>
  </r>
  <r>
    <s v="Singapore"/>
    <x v="3"/>
    <s v="SG2"/>
    <m/>
    <x v="5"/>
    <x v="2"/>
    <x v="4"/>
    <x v="2"/>
    <x v="0"/>
    <x v="0"/>
    <x v="0"/>
    <m/>
    <x v="0"/>
    <x v="0"/>
    <n v="0.12463200000000001"/>
    <m/>
    <x v="0"/>
    <x v="0"/>
    <x v="0"/>
    <x v="0"/>
    <x v="2"/>
  </r>
  <r>
    <s v="Singapore"/>
    <x v="4"/>
    <s v="SG3"/>
    <m/>
    <x v="0"/>
    <x v="4"/>
    <x v="0"/>
    <x v="1"/>
    <x v="0"/>
    <x v="0"/>
    <x v="0"/>
    <m/>
    <x v="0"/>
    <x v="0"/>
    <n v="2.18106"/>
    <m/>
    <x v="1"/>
    <x v="0"/>
    <x v="0"/>
    <x v="3"/>
    <x v="2"/>
  </r>
  <r>
    <s v="Singapore"/>
    <x v="4"/>
    <s v="SG1"/>
    <m/>
    <x v="3"/>
    <x v="0"/>
    <x v="3"/>
    <x v="5"/>
    <x v="0"/>
    <x v="0"/>
    <x v="0"/>
    <m/>
    <x v="0"/>
    <x v="0"/>
    <n v="-1.84782519"/>
    <m/>
    <x v="6"/>
    <x v="1"/>
    <x v="0"/>
    <x v="1"/>
    <x v="1"/>
  </r>
  <r>
    <s v="Singapore"/>
    <x v="2"/>
    <s v="SG1"/>
    <m/>
    <x v="1"/>
    <x v="3"/>
    <x v="3"/>
    <x v="2"/>
    <x v="0"/>
    <x v="0"/>
    <x v="0"/>
    <m/>
    <x v="0"/>
    <x v="0"/>
    <n v="-7.7895000000000006E-2"/>
    <m/>
    <x v="0"/>
    <x v="1"/>
    <x v="0"/>
    <x v="2"/>
    <x v="2"/>
  </r>
  <r>
    <s v="Singapore"/>
    <x v="1"/>
    <s v="SG2"/>
    <m/>
    <x v="4"/>
    <x v="0"/>
    <x v="4"/>
    <x v="0"/>
    <x v="0"/>
    <x v="0"/>
    <x v="0"/>
    <m/>
    <x v="0"/>
    <x v="0"/>
    <n v="3.2715900000000002"/>
    <m/>
    <x v="1"/>
    <x v="1"/>
    <x v="0"/>
    <x v="2"/>
    <x v="2"/>
  </r>
  <r>
    <s v="Singapore"/>
    <x v="4"/>
    <s v="SG1"/>
    <m/>
    <x v="4"/>
    <x v="4"/>
    <x v="4"/>
    <x v="4"/>
    <x v="0"/>
    <x v="0"/>
    <x v="0"/>
    <m/>
    <x v="0"/>
    <x v="0"/>
    <n v="3.644831682"/>
    <m/>
    <x v="5"/>
    <x v="3"/>
    <x v="0"/>
    <x v="2"/>
    <x v="0"/>
  </r>
  <r>
    <s v="Singapore"/>
    <x v="5"/>
    <s v="SG1"/>
    <m/>
    <x v="4"/>
    <x v="3"/>
    <x v="1"/>
    <x v="2"/>
    <x v="0"/>
    <x v="0"/>
    <x v="0"/>
    <m/>
    <x v="0"/>
    <x v="0"/>
    <n v="-0.46737000000000001"/>
    <m/>
    <x v="1"/>
    <x v="1"/>
    <x v="0"/>
    <x v="0"/>
    <x v="0"/>
  </r>
  <r>
    <s v="Singapore"/>
    <x v="5"/>
    <s v="SG1"/>
    <m/>
    <x v="0"/>
    <x v="2"/>
    <x v="2"/>
    <x v="0"/>
    <x v="0"/>
    <x v="0"/>
    <x v="0"/>
    <m/>
    <x v="0"/>
    <x v="0"/>
    <n v="-4.6737000000000001E-2"/>
    <m/>
    <x v="0"/>
    <x v="1"/>
    <x v="0"/>
    <x v="1"/>
    <x v="0"/>
  </r>
  <r>
    <s v="Singapore"/>
    <x v="2"/>
    <s v="SG4"/>
    <m/>
    <x v="3"/>
    <x v="1"/>
    <x v="1"/>
    <x v="3"/>
    <x v="0"/>
    <x v="0"/>
    <x v="0"/>
    <m/>
    <x v="0"/>
    <x v="0"/>
    <n v="0.21031650000000002"/>
    <m/>
    <x v="1"/>
    <x v="2"/>
    <x v="0"/>
    <x v="5"/>
    <x v="0"/>
  </r>
  <r>
    <s v="Singapore"/>
    <x v="5"/>
    <s v="SG3"/>
    <m/>
    <x v="3"/>
    <x v="2"/>
    <x v="1"/>
    <x v="4"/>
    <x v="0"/>
    <x v="0"/>
    <x v="0"/>
    <m/>
    <x v="0"/>
    <x v="0"/>
    <n v="-1.8211851000000001"/>
    <m/>
    <x v="3"/>
    <x v="3"/>
    <x v="0"/>
    <x v="1"/>
    <x v="0"/>
  </r>
  <r>
    <s v="Singapore"/>
    <x v="3"/>
    <s v="SG4"/>
    <m/>
    <x v="3"/>
    <x v="4"/>
    <x v="1"/>
    <x v="2"/>
    <x v="0"/>
    <x v="0"/>
    <x v="0"/>
    <m/>
    <x v="0"/>
    <x v="0"/>
    <n v="1.1450565000000001"/>
    <m/>
    <x v="1"/>
    <x v="1"/>
    <x v="0"/>
    <x v="4"/>
    <x v="2"/>
  </r>
  <r>
    <s v="Singapore"/>
    <x v="1"/>
    <s v="SG3"/>
    <m/>
    <x v="5"/>
    <x v="2"/>
    <x v="1"/>
    <x v="2"/>
    <x v="0"/>
    <x v="0"/>
    <x v="0"/>
    <m/>
    <x v="0"/>
    <x v="0"/>
    <n v="0.15579000000000001"/>
    <m/>
    <x v="1"/>
    <x v="1"/>
    <x v="0"/>
    <x v="3"/>
    <x v="0"/>
  </r>
  <r>
    <s v="Singapore"/>
    <x v="2"/>
    <s v="SG3"/>
    <m/>
    <x v="1"/>
    <x v="4"/>
    <x v="3"/>
    <x v="0"/>
    <x v="0"/>
    <x v="0"/>
    <x v="0"/>
    <m/>
    <x v="0"/>
    <x v="0"/>
    <n v="-0.10905300000000001"/>
    <m/>
    <x v="4"/>
    <x v="2"/>
    <x v="0"/>
    <x v="1"/>
    <x v="1"/>
  </r>
  <r>
    <s v="Singapore"/>
    <x v="1"/>
    <s v="SG2"/>
    <m/>
    <x v="3"/>
    <x v="4"/>
    <x v="4"/>
    <x v="1"/>
    <x v="0"/>
    <x v="0"/>
    <x v="0"/>
    <m/>
    <x v="0"/>
    <x v="0"/>
    <n v="-0.264843"/>
    <m/>
    <x v="0"/>
    <x v="3"/>
    <x v="0"/>
    <x v="4"/>
    <x v="2"/>
  </r>
  <r>
    <s v="Singapore"/>
    <x v="0"/>
    <s v="SG1"/>
    <m/>
    <x v="1"/>
    <x v="4"/>
    <x v="4"/>
    <x v="3"/>
    <x v="0"/>
    <x v="0"/>
    <x v="0"/>
    <m/>
    <x v="0"/>
    <x v="0"/>
    <n v="-1.495584"/>
    <m/>
    <x v="0"/>
    <x v="3"/>
    <x v="0"/>
    <x v="5"/>
    <x v="0"/>
  </r>
  <r>
    <s v="Singapore"/>
    <x v="1"/>
    <s v="SG4"/>
    <m/>
    <x v="2"/>
    <x v="3"/>
    <x v="0"/>
    <x v="4"/>
    <x v="0"/>
    <x v="0"/>
    <x v="0"/>
    <m/>
    <x v="0"/>
    <x v="0"/>
    <n v="0.27914452200000001"/>
    <m/>
    <x v="8"/>
    <x v="0"/>
    <x v="0"/>
    <x v="1"/>
    <x v="0"/>
  </r>
  <r>
    <s v="Singapore"/>
    <x v="0"/>
    <s v="SG2"/>
    <m/>
    <x v="1"/>
    <x v="1"/>
    <x v="0"/>
    <x v="0"/>
    <x v="0"/>
    <x v="0"/>
    <x v="0"/>
    <m/>
    <x v="0"/>
    <x v="0"/>
    <n v="3.7997336790000005"/>
    <m/>
    <x v="1"/>
    <x v="0"/>
    <x v="0"/>
    <x v="1"/>
    <x v="1"/>
  </r>
  <r>
    <s v="Singapore"/>
    <x v="5"/>
    <s v="SG4"/>
    <m/>
    <x v="5"/>
    <x v="0"/>
    <x v="1"/>
    <x v="4"/>
    <x v="0"/>
    <x v="0"/>
    <x v="0"/>
    <m/>
    <x v="0"/>
    <x v="0"/>
    <n v="0.42063300000000003"/>
    <m/>
    <x v="4"/>
    <x v="0"/>
    <x v="0"/>
    <x v="0"/>
    <x v="0"/>
  </r>
  <r>
    <s v="Singapore"/>
    <x v="5"/>
    <s v="SG2"/>
    <m/>
    <x v="2"/>
    <x v="4"/>
    <x v="1"/>
    <x v="0"/>
    <x v="0"/>
    <x v="0"/>
    <x v="0"/>
    <m/>
    <x v="0"/>
    <x v="0"/>
    <n v="-1.168425"/>
    <m/>
    <x v="4"/>
    <x v="0"/>
    <x v="0"/>
    <x v="0"/>
    <x v="2"/>
  </r>
  <r>
    <s v="Singapore"/>
    <x v="1"/>
    <s v="SG3"/>
    <m/>
    <x v="2"/>
    <x v="2"/>
    <x v="3"/>
    <x v="4"/>
    <x v="0"/>
    <x v="0"/>
    <x v="0"/>
    <m/>
    <x v="0"/>
    <x v="0"/>
    <n v="-6.2316000000000003E-2"/>
    <m/>
    <x v="0"/>
    <x v="1"/>
    <x v="0"/>
    <x v="0"/>
    <x v="2"/>
  </r>
  <r>
    <s v="Singapore"/>
    <x v="5"/>
    <s v="SG4"/>
    <m/>
    <x v="4"/>
    <x v="3"/>
    <x v="2"/>
    <x v="4"/>
    <x v="0"/>
    <x v="0"/>
    <x v="0"/>
    <m/>
    <x v="0"/>
    <x v="0"/>
    <n v="-1.121688"/>
    <m/>
    <x v="0"/>
    <x v="3"/>
    <x v="0"/>
    <x v="3"/>
    <x v="2"/>
  </r>
  <r>
    <s v="Singapore"/>
    <x v="3"/>
    <s v="SG1"/>
    <m/>
    <x v="3"/>
    <x v="4"/>
    <x v="3"/>
    <x v="5"/>
    <x v="0"/>
    <x v="0"/>
    <x v="0"/>
    <m/>
    <x v="0"/>
    <x v="0"/>
    <n v="-0.76337100000000002"/>
    <m/>
    <x v="1"/>
    <x v="3"/>
    <x v="0"/>
    <x v="0"/>
    <x v="1"/>
  </r>
  <r>
    <s v="Singapore"/>
    <x v="2"/>
    <s v="SG3"/>
    <m/>
    <x v="4"/>
    <x v="1"/>
    <x v="2"/>
    <x v="0"/>
    <x v="0"/>
    <x v="0"/>
    <x v="0"/>
    <m/>
    <x v="0"/>
    <x v="0"/>
    <n v="-0.38947500000000002"/>
    <m/>
    <x v="0"/>
    <x v="2"/>
    <x v="0"/>
    <x v="0"/>
    <x v="1"/>
  </r>
  <r>
    <s v="Singapore"/>
    <x v="5"/>
    <s v="SG3"/>
    <m/>
    <x v="2"/>
    <x v="4"/>
    <x v="4"/>
    <x v="3"/>
    <x v="0"/>
    <x v="0"/>
    <x v="0"/>
    <m/>
    <x v="0"/>
    <x v="0"/>
    <n v="-0.81010800000000005"/>
    <m/>
    <x v="4"/>
    <x v="2"/>
    <x v="0"/>
    <x v="4"/>
    <x v="2"/>
  </r>
  <r>
    <s v="Singapore"/>
    <x v="0"/>
    <s v="SG3"/>
    <m/>
    <x v="5"/>
    <x v="4"/>
    <x v="1"/>
    <x v="2"/>
    <x v="0"/>
    <x v="0"/>
    <x v="0"/>
    <m/>
    <x v="0"/>
    <x v="0"/>
    <n v="0.75229433099999998"/>
    <m/>
    <x v="1"/>
    <x v="2"/>
    <x v="0"/>
    <x v="3"/>
    <x v="1"/>
  </r>
  <r>
    <s v="Singapore"/>
    <x v="0"/>
    <s v="SG4"/>
    <m/>
    <x v="1"/>
    <x v="3"/>
    <x v="3"/>
    <x v="3"/>
    <x v="0"/>
    <x v="0"/>
    <x v="0"/>
    <m/>
    <x v="0"/>
    <x v="0"/>
    <n v="-3.1158000000000001"/>
    <m/>
    <x v="11"/>
    <x v="0"/>
    <x v="0"/>
    <x v="0"/>
    <x v="1"/>
  </r>
  <r>
    <s v="Singapore"/>
    <x v="0"/>
    <s v="SG4"/>
    <m/>
    <x v="4"/>
    <x v="1"/>
    <x v="3"/>
    <x v="1"/>
    <x v="0"/>
    <x v="0"/>
    <x v="0"/>
    <m/>
    <x v="0"/>
    <x v="0"/>
    <n v="0.77895000000000003"/>
    <m/>
    <x v="4"/>
    <x v="1"/>
    <x v="0"/>
    <x v="1"/>
    <x v="2"/>
  </r>
  <r>
    <s v="Singapore"/>
    <x v="1"/>
    <s v="SG3"/>
    <m/>
    <x v="2"/>
    <x v="4"/>
    <x v="2"/>
    <x v="0"/>
    <x v="0"/>
    <x v="0"/>
    <x v="0"/>
    <m/>
    <x v="0"/>
    <x v="0"/>
    <n v="-0.38947500000000002"/>
    <m/>
    <x v="0"/>
    <x v="2"/>
    <x v="0"/>
    <x v="0"/>
    <x v="2"/>
  </r>
  <r>
    <s v="Singapore"/>
    <x v="0"/>
    <s v="SG2"/>
    <m/>
    <x v="0"/>
    <x v="0"/>
    <x v="2"/>
    <x v="4"/>
    <x v="0"/>
    <x v="0"/>
    <x v="0"/>
    <m/>
    <x v="0"/>
    <x v="0"/>
    <n v="-0.20252700000000001"/>
    <m/>
    <x v="2"/>
    <x v="2"/>
    <x v="0"/>
    <x v="1"/>
    <x v="1"/>
  </r>
  <r>
    <s v="Singapore"/>
    <x v="0"/>
    <s v="SG1"/>
    <m/>
    <x v="2"/>
    <x v="0"/>
    <x v="1"/>
    <x v="4"/>
    <x v="0"/>
    <x v="0"/>
    <x v="0"/>
    <m/>
    <x v="0"/>
    <x v="0"/>
    <n v="-0.7290972"/>
    <m/>
    <x v="2"/>
    <x v="1"/>
    <x v="0"/>
    <x v="0"/>
    <x v="1"/>
  </r>
  <r>
    <s v="Singapore"/>
    <x v="5"/>
    <s v="SG1"/>
    <m/>
    <x v="2"/>
    <x v="1"/>
    <x v="1"/>
    <x v="4"/>
    <x v="0"/>
    <x v="0"/>
    <x v="0"/>
    <m/>
    <x v="0"/>
    <x v="0"/>
    <n v="-1.5579000000000001E-2"/>
    <m/>
    <x v="0"/>
    <x v="2"/>
    <x v="0"/>
    <x v="0"/>
    <x v="2"/>
  </r>
  <r>
    <s v="Singapore"/>
    <x v="0"/>
    <s v="SG1"/>
    <m/>
    <x v="5"/>
    <x v="2"/>
    <x v="3"/>
    <x v="2"/>
    <x v="0"/>
    <x v="0"/>
    <x v="0"/>
    <m/>
    <x v="0"/>
    <x v="0"/>
    <n v="-0.12463200000000001"/>
    <m/>
    <x v="0"/>
    <x v="3"/>
    <x v="0"/>
    <x v="3"/>
    <x v="1"/>
  </r>
  <r>
    <s v="Singapore"/>
    <x v="0"/>
    <s v="SG3"/>
    <m/>
    <x v="4"/>
    <x v="0"/>
    <x v="0"/>
    <x v="3"/>
    <x v="0"/>
    <x v="0"/>
    <x v="0"/>
    <m/>
    <x v="0"/>
    <x v="0"/>
    <n v="-28.042200000000001"/>
    <m/>
    <x v="2"/>
    <x v="2"/>
    <x v="0"/>
    <x v="4"/>
    <x v="1"/>
  </r>
  <r>
    <s v="Singapore"/>
    <x v="5"/>
    <s v="SG1"/>
    <m/>
    <x v="0"/>
    <x v="1"/>
    <x v="1"/>
    <x v="3"/>
    <x v="0"/>
    <x v="0"/>
    <x v="0"/>
    <m/>
    <x v="0"/>
    <x v="0"/>
    <n v="-3.6664709129999999"/>
    <m/>
    <x v="4"/>
    <x v="1"/>
    <x v="0"/>
    <x v="1"/>
    <x v="0"/>
  </r>
  <r>
    <s v="Singapore"/>
    <x v="4"/>
    <s v="SG3"/>
    <m/>
    <x v="5"/>
    <x v="4"/>
    <x v="3"/>
    <x v="0"/>
    <x v="0"/>
    <x v="0"/>
    <x v="0"/>
    <m/>
    <x v="0"/>
    <x v="0"/>
    <n v="-2.4976720170000002"/>
    <m/>
    <x v="4"/>
    <x v="2"/>
    <x v="0"/>
    <x v="0"/>
    <x v="1"/>
  </r>
  <r>
    <s v="Singapore"/>
    <x v="1"/>
    <s v="SG4"/>
    <m/>
    <x v="1"/>
    <x v="1"/>
    <x v="2"/>
    <x v="3"/>
    <x v="0"/>
    <x v="0"/>
    <x v="0"/>
    <m/>
    <x v="0"/>
    <x v="0"/>
    <n v="-45.189771614999998"/>
    <m/>
    <x v="5"/>
    <x v="3"/>
    <x v="0"/>
    <x v="2"/>
    <x v="2"/>
  </r>
  <r>
    <s v="Singapore"/>
    <x v="1"/>
    <s v="SG3"/>
    <m/>
    <x v="4"/>
    <x v="4"/>
    <x v="2"/>
    <x v="4"/>
    <x v="0"/>
    <x v="0"/>
    <x v="0"/>
    <m/>
    <x v="0"/>
    <x v="0"/>
    <n v="1.5161482800000001"/>
    <m/>
    <x v="1"/>
    <x v="0"/>
    <x v="0"/>
    <x v="1"/>
    <x v="0"/>
  </r>
  <r>
    <s v="Singapore"/>
    <x v="3"/>
    <s v="SG1"/>
    <m/>
    <x v="1"/>
    <x v="1"/>
    <x v="4"/>
    <x v="1"/>
    <x v="0"/>
    <x v="0"/>
    <x v="0"/>
    <m/>
    <x v="0"/>
    <x v="0"/>
    <n v="-7.7895000000000006E-2"/>
    <m/>
    <x v="0"/>
    <x v="2"/>
    <x v="0"/>
    <x v="2"/>
    <x v="1"/>
  </r>
  <r>
    <s v="Singapore"/>
    <x v="5"/>
    <s v="SG4"/>
    <m/>
    <x v="5"/>
    <x v="1"/>
    <x v="4"/>
    <x v="3"/>
    <x v="0"/>
    <x v="0"/>
    <x v="0"/>
    <m/>
    <x v="0"/>
    <x v="0"/>
    <n v="-1.5579000000000001E-2"/>
    <m/>
    <x v="0"/>
    <x v="3"/>
    <x v="0"/>
    <x v="3"/>
    <x v="1"/>
  </r>
  <r>
    <s v="Singapore"/>
    <x v="3"/>
    <s v="SG2"/>
    <m/>
    <x v="4"/>
    <x v="1"/>
    <x v="1"/>
    <x v="1"/>
    <x v="0"/>
    <x v="0"/>
    <x v="0"/>
    <m/>
    <x v="0"/>
    <x v="0"/>
    <n v="0.12463200000000001"/>
    <m/>
    <x v="6"/>
    <x v="0"/>
    <x v="0"/>
    <x v="4"/>
    <x v="0"/>
  </r>
  <r>
    <s v="Singapore"/>
    <x v="5"/>
    <s v="SG1"/>
    <m/>
    <x v="5"/>
    <x v="3"/>
    <x v="4"/>
    <x v="4"/>
    <x v="0"/>
    <x v="0"/>
    <x v="0"/>
    <m/>
    <x v="0"/>
    <x v="0"/>
    <n v="102.271679406"/>
    <m/>
    <x v="1"/>
    <x v="3"/>
    <x v="0"/>
    <x v="3"/>
    <x v="0"/>
  </r>
  <r>
    <s v="Singapore"/>
    <x v="0"/>
    <s v="SG1"/>
    <m/>
    <x v="1"/>
    <x v="0"/>
    <x v="0"/>
    <x v="0"/>
    <x v="0"/>
    <x v="0"/>
    <x v="0"/>
    <m/>
    <x v="0"/>
    <x v="0"/>
    <n v="0.280141578"/>
    <m/>
    <x v="0"/>
    <x v="0"/>
    <x v="0"/>
    <x v="1"/>
    <x v="1"/>
  </r>
  <r>
    <s v="Singapore"/>
    <x v="3"/>
    <s v="SG2"/>
    <m/>
    <x v="4"/>
    <x v="4"/>
    <x v="2"/>
    <x v="0"/>
    <x v="0"/>
    <x v="0"/>
    <x v="0"/>
    <m/>
    <x v="0"/>
    <x v="0"/>
    <n v="-0.15579000000000001"/>
    <m/>
    <x v="0"/>
    <x v="1"/>
    <x v="0"/>
    <x v="4"/>
    <x v="0"/>
  </r>
  <r>
    <s v="Singapore"/>
    <x v="5"/>
    <s v="SG1"/>
    <m/>
    <x v="1"/>
    <x v="3"/>
    <x v="2"/>
    <x v="3"/>
    <x v="0"/>
    <x v="0"/>
    <x v="0"/>
    <m/>
    <x v="0"/>
    <x v="0"/>
    <n v="-0.12463200000000001"/>
    <m/>
    <x v="4"/>
    <x v="1"/>
    <x v="0"/>
    <x v="3"/>
    <x v="2"/>
  </r>
  <r>
    <s v="Singapore"/>
    <x v="2"/>
    <s v="SG1"/>
    <m/>
    <x v="3"/>
    <x v="3"/>
    <x v="0"/>
    <x v="1"/>
    <x v="0"/>
    <x v="0"/>
    <x v="0"/>
    <m/>
    <x v="0"/>
    <x v="0"/>
    <n v="-23.758753950000003"/>
    <m/>
    <x v="4"/>
    <x v="1"/>
    <x v="0"/>
    <x v="3"/>
    <x v="2"/>
  </r>
  <r>
    <s v="Singapore"/>
    <x v="0"/>
    <s v="SG2"/>
    <m/>
    <x v="3"/>
    <x v="4"/>
    <x v="3"/>
    <x v="3"/>
    <x v="0"/>
    <x v="0"/>
    <x v="0"/>
    <m/>
    <x v="0"/>
    <x v="0"/>
    <n v="0.20252700000000001"/>
    <m/>
    <x v="1"/>
    <x v="1"/>
    <x v="0"/>
    <x v="5"/>
    <x v="2"/>
  </r>
  <r>
    <s v="Singapore"/>
    <x v="0"/>
    <s v="SG2"/>
    <m/>
    <x v="4"/>
    <x v="0"/>
    <x v="1"/>
    <x v="2"/>
    <x v="0"/>
    <x v="0"/>
    <x v="0"/>
    <m/>
    <x v="0"/>
    <x v="0"/>
    <n v="587.71777500000007"/>
    <m/>
    <x v="5"/>
    <x v="0"/>
    <x v="0"/>
    <x v="2"/>
    <x v="2"/>
  </r>
  <r>
    <s v="Singapore"/>
    <x v="5"/>
    <s v="SG2"/>
    <m/>
    <x v="1"/>
    <x v="3"/>
    <x v="3"/>
    <x v="3"/>
    <x v="0"/>
    <x v="0"/>
    <x v="0"/>
    <m/>
    <x v="0"/>
    <x v="0"/>
    <n v="2.4926400000000001E-2"/>
    <m/>
    <x v="6"/>
    <x v="0"/>
    <x v="0"/>
    <x v="1"/>
    <x v="2"/>
  </r>
  <r>
    <s v="Singapore"/>
    <x v="0"/>
    <s v="SG3"/>
    <m/>
    <x v="1"/>
    <x v="2"/>
    <x v="2"/>
    <x v="5"/>
    <x v="0"/>
    <x v="0"/>
    <x v="0"/>
    <m/>
    <x v="0"/>
    <x v="0"/>
    <n v="0.31158000000000002"/>
    <m/>
    <x v="1"/>
    <x v="1"/>
    <x v="0"/>
    <x v="5"/>
    <x v="1"/>
  </r>
  <r>
    <s v="Singapore"/>
    <x v="1"/>
    <s v="SG3"/>
    <m/>
    <x v="1"/>
    <x v="3"/>
    <x v="2"/>
    <x v="1"/>
    <x v="0"/>
    <x v="0"/>
    <x v="0"/>
    <m/>
    <x v="0"/>
    <x v="0"/>
    <n v="-9.3474000000000002E-2"/>
    <m/>
    <x v="0"/>
    <x v="3"/>
    <x v="0"/>
    <x v="4"/>
    <x v="0"/>
  </r>
  <r>
    <s v="Singapore"/>
    <x v="4"/>
    <s v="SG3"/>
    <m/>
    <x v="4"/>
    <x v="2"/>
    <x v="0"/>
    <x v="2"/>
    <x v="0"/>
    <x v="0"/>
    <x v="0"/>
    <m/>
    <x v="0"/>
    <x v="0"/>
    <n v="-4.6737000000000001E-2"/>
    <m/>
    <x v="0"/>
    <x v="2"/>
    <x v="0"/>
    <x v="1"/>
    <x v="0"/>
  </r>
  <r>
    <s v="Singapore"/>
    <x v="5"/>
    <s v="SG1"/>
    <m/>
    <x v="4"/>
    <x v="1"/>
    <x v="1"/>
    <x v="1"/>
    <x v="0"/>
    <x v="0"/>
    <x v="0"/>
    <m/>
    <x v="0"/>
    <x v="0"/>
    <n v="0.16808183100000001"/>
    <m/>
    <x v="5"/>
    <x v="1"/>
    <x v="0"/>
    <x v="3"/>
    <x v="1"/>
  </r>
  <r>
    <s v="Singapore"/>
    <x v="3"/>
    <s v="SG3"/>
    <m/>
    <x v="3"/>
    <x v="0"/>
    <x v="3"/>
    <x v="3"/>
    <x v="0"/>
    <x v="0"/>
    <x v="0"/>
    <m/>
    <x v="0"/>
    <x v="0"/>
    <n v="-0.81010800000000005"/>
    <m/>
    <x v="4"/>
    <x v="3"/>
    <x v="0"/>
    <x v="0"/>
    <x v="2"/>
  </r>
  <r>
    <s v="Singapore"/>
    <x v="1"/>
    <s v="SG3"/>
    <m/>
    <x v="2"/>
    <x v="2"/>
    <x v="0"/>
    <x v="3"/>
    <x v="0"/>
    <x v="0"/>
    <x v="0"/>
    <m/>
    <x v="0"/>
    <x v="0"/>
    <n v="-1.2432042000000001"/>
    <m/>
    <x v="3"/>
    <x v="2"/>
    <x v="0"/>
    <x v="5"/>
    <x v="2"/>
  </r>
  <r>
    <s v="Singapore"/>
    <x v="0"/>
    <s v="SG3"/>
    <m/>
    <x v="3"/>
    <x v="3"/>
    <x v="3"/>
    <x v="3"/>
    <x v="0"/>
    <x v="0"/>
    <x v="0"/>
    <m/>
    <x v="0"/>
    <x v="0"/>
    <n v="-5.4526500000000006E-2"/>
    <m/>
    <x v="0"/>
    <x v="2"/>
    <x v="0"/>
    <x v="2"/>
    <x v="0"/>
  </r>
  <r>
    <s v="Singapore"/>
    <x v="5"/>
    <s v="SG2"/>
    <m/>
    <x v="4"/>
    <x v="4"/>
    <x v="3"/>
    <x v="3"/>
    <x v="0"/>
    <x v="0"/>
    <x v="0"/>
    <m/>
    <x v="0"/>
    <x v="0"/>
    <n v="-5.6240190000000005"/>
    <m/>
    <x v="8"/>
    <x v="3"/>
    <x v="0"/>
    <x v="1"/>
    <x v="2"/>
  </r>
  <r>
    <s v="Singapore"/>
    <x v="4"/>
    <s v="SG4"/>
    <m/>
    <x v="5"/>
    <x v="3"/>
    <x v="3"/>
    <x v="3"/>
    <x v="0"/>
    <x v="0"/>
    <x v="0"/>
    <m/>
    <x v="0"/>
    <x v="0"/>
    <n v="0.21031650000000002"/>
    <m/>
    <x v="1"/>
    <x v="0"/>
    <x v="0"/>
    <x v="3"/>
    <x v="0"/>
  </r>
  <r>
    <s v="Singapore"/>
    <x v="2"/>
    <s v="SG3"/>
    <m/>
    <x v="2"/>
    <x v="1"/>
    <x v="1"/>
    <x v="0"/>
    <x v="0"/>
    <x v="0"/>
    <x v="0"/>
    <m/>
    <x v="0"/>
    <x v="0"/>
    <n v="-2.2589550000000003"/>
    <m/>
    <x v="4"/>
    <x v="1"/>
    <x v="0"/>
    <x v="2"/>
    <x v="2"/>
  </r>
  <r>
    <s v="Singapore"/>
    <x v="0"/>
    <s v="SG1"/>
    <m/>
    <x v="1"/>
    <x v="4"/>
    <x v="3"/>
    <x v="2"/>
    <x v="0"/>
    <x v="0"/>
    <x v="0"/>
    <m/>
    <x v="0"/>
    <x v="0"/>
    <n v="-0.21810600000000002"/>
    <m/>
    <x v="4"/>
    <x v="3"/>
    <x v="0"/>
    <x v="3"/>
    <x v="0"/>
  </r>
  <r>
    <s v="Singapore"/>
    <x v="5"/>
    <s v="SG3"/>
    <m/>
    <x v="0"/>
    <x v="3"/>
    <x v="2"/>
    <x v="2"/>
    <x v="0"/>
    <x v="0"/>
    <x v="0"/>
    <m/>
    <x v="0"/>
    <x v="0"/>
    <n v="-3.1158000000000002E-2"/>
    <m/>
    <x v="0"/>
    <x v="0"/>
    <x v="0"/>
    <x v="0"/>
    <x v="2"/>
  </r>
  <r>
    <s v="Singapore"/>
    <x v="0"/>
    <s v="SG1"/>
    <m/>
    <x v="3"/>
    <x v="3"/>
    <x v="4"/>
    <x v="0"/>
    <x v="0"/>
    <x v="0"/>
    <x v="0"/>
    <m/>
    <x v="0"/>
    <x v="0"/>
    <n v="-0.15579000000000001"/>
    <m/>
    <x v="4"/>
    <x v="3"/>
    <x v="0"/>
    <x v="1"/>
    <x v="2"/>
  </r>
  <r>
    <s v="Singapore"/>
    <x v="4"/>
    <s v="SG4"/>
    <m/>
    <x v="2"/>
    <x v="2"/>
    <x v="0"/>
    <x v="2"/>
    <x v="0"/>
    <x v="0"/>
    <x v="0"/>
    <m/>
    <x v="0"/>
    <x v="0"/>
    <n v="4.1440140000000003"/>
    <m/>
    <x v="1"/>
    <x v="2"/>
    <x v="0"/>
    <x v="3"/>
    <x v="2"/>
  </r>
  <r>
    <s v="Singapore"/>
    <x v="1"/>
    <s v="SG3"/>
    <m/>
    <x v="2"/>
    <x v="0"/>
    <x v="2"/>
    <x v="4"/>
    <x v="0"/>
    <x v="0"/>
    <x v="0"/>
    <m/>
    <x v="0"/>
    <x v="0"/>
    <n v="-1.4020788420000001"/>
    <m/>
    <x v="6"/>
    <x v="1"/>
    <x v="0"/>
    <x v="1"/>
    <x v="1"/>
  </r>
  <r>
    <s v="Singapore"/>
    <x v="5"/>
    <s v="SG1"/>
    <m/>
    <x v="0"/>
    <x v="1"/>
    <x v="2"/>
    <x v="2"/>
    <x v="0"/>
    <x v="0"/>
    <x v="0"/>
    <m/>
    <x v="0"/>
    <x v="0"/>
    <n v="-0.280422"/>
    <m/>
    <x v="0"/>
    <x v="0"/>
    <x v="0"/>
    <x v="5"/>
    <x v="0"/>
  </r>
  <r>
    <s v="Singapore"/>
    <x v="3"/>
    <s v="SG3"/>
    <m/>
    <x v="4"/>
    <x v="1"/>
    <x v="4"/>
    <x v="1"/>
    <x v="0"/>
    <x v="0"/>
    <x v="0"/>
    <m/>
    <x v="0"/>
    <x v="0"/>
    <n v="-0.55735430399999997"/>
    <m/>
    <x v="0"/>
    <x v="0"/>
    <x v="0"/>
    <x v="0"/>
    <x v="0"/>
  </r>
  <r>
    <s v="Singapore"/>
    <x v="3"/>
    <s v="SG2"/>
    <m/>
    <x v="5"/>
    <x v="0"/>
    <x v="0"/>
    <x v="3"/>
    <x v="0"/>
    <x v="0"/>
    <x v="0"/>
    <m/>
    <x v="0"/>
    <x v="0"/>
    <n v="-0.14955840000000001"/>
    <m/>
    <x v="6"/>
    <x v="0"/>
    <x v="0"/>
    <x v="1"/>
    <x v="1"/>
  </r>
  <r>
    <s v="Singapore"/>
    <x v="3"/>
    <s v="SG1"/>
    <m/>
    <x v="2"/>
    <x v="2"/>
    <x v="4"/>
    <x v="1"/>
    <x v="0"/>
    <x v="0"/>
    <x v="0"/>
    <m/>
    <x v="0"/>
    <x v="0"/>
    <n v="0.15579000000000001"/>
    <m/>
    <x v="1"/>
    <x v="1"/>
    <x v="0"/>
    <x v="4"/>
    <x v="2"/>
  </r>
  <r>
    <s v="Singapore"/>
    <x v="1"/>
    <s v="SG2"/>
    <m/>
    <x v="4"/>
    <x v="4"/>
    <x v="1"/>
    <x v="2"/>
    <x v="0"/>
    <x v="0"/>
    <x v="0"/>
    <m/>
    <x v="0"/>
    <x v="0"/>
    <n v="-0.12463200000000001"/>
    <m/>
    <x v="0"/>
    <x v="2"/>
    <x v="0"/>
    <x v="2"/>
    <x v="1"/>
  </r>
  <r>
    <s v="Singapore"/>
    <x v="0"/>
    <s v="SG3"/>
    <m/>
    <x v="0"/>
    <x v="0"/>
    <x v="4"/>
    <x v="4"/>
    <x v="0"/>
    <x v="0"/>
    <x v="0"/>
    <m/>
    <x v="0"/>
    <x v="0"/>
    <n v="-0.43621200000000004"/>
    <m/>
    <x v="4"/>
    <x v="3"/>
    <x v="0"/>
    <x v="2"/>
    <x v="2"/>
  </r>
  <r>
    <s v="Singapore"/>
    <x v="4"/>
    <s v="SG2"/>
    <m/>
    <x v="5"/>
    <x v="0"/>
    <x v="4"/>
    <x v="3"/>
    <x v="0"/>
    <x v="0"/>
    <x v="0"/>
    <m/>
    <x v="0"/>
    <x v="0"/>
    <n v="-1.5579000000000001E-2"/>
    <m/>
    <x v="0"/>
    <x v="0"/>
    <x v="0"/>
    <x v="0"/>
    <x v="0"/>
  </r>
  <r>
    <s v="Singapore"/>
    <x v="5"/>
    <s v="SG1"/>
    <m/>
    <x v="1"/>
    <x v="2"/>
    <x v="4"/>
    <x v="1"/>
    <x v="0"/>
    <x v="0"/>
    <x v="0"/>
    <m/>
    <x v="0"/>
    <x v="0"/>
    <n v="1.1429533350000001"/>
    <m/>
    <x v="1"/>
    <x v="2"/>
    <x v="0"/>
    <x v="3"/>
    <x v="2"/>
  </r>
  <r>
    <s v="Singapore"/>
    <x v="1"/>
    <s v="SG2"/>
    <m/>
    <x v="5"/>
    <x v="0"/>
    <x v="1"/>
    <x v="4"/>
    <x v="0"/>
    <x v="0"/>
    <x v="0"/>
    <m/>
    <x v="0"/>
    <x v="0"/>
    <n v="-0.24926400000000001"/>
    <m/>
    <x v="0"/>
    <x v="1"/>
    <x v="0"/>
    <x v="1"/>
    <x v="2"/>
  </r>
  <r>
    <s v="Singapore"/>
    <x v="1"/>
    <s v="SG4"/>
    <m/>
    <x v="2"/>
    <x v="0"/>
    <x v="4"/>
    <x v="1"/>
    <x v="0"/>
    <x v="0"/>
    <x v="0"/>
    <m/>
    <x v="0"/>
    <x v="0"/>
    <n v="-1.5579000000000001E-2"/>
    <m/>
    <x v="4"/>
    <x v="2"/>
    <x v="0"/>
    <x v="5"/>
    <x v="2"/>
  </r>
  <r>
    <s v="Singapore"/>
    <x v="5"/>
    <s v="SG3"/>
    <m/>
    <x v="5"/>
    <x v="1"/>
    <x v="2"/>
    <x v="1"/>
    <x v="0"/>
    <x v="0"/>
    <x v="0"/>
    <m/>
    <x v="0"/>
    <x v="0"/>
    <n v="-0.77895000000000003"/>
    <m/>
    <x v="4"/>
    <x v="1"/>
    <x v="0"/>
    <x v="3"/>
    <x v="0"/>
  </r>
  <r>
    <s v="Singapore"/>
    <x v="0"/>
    <s v="SG3"/>
    <m/>
    <x v="0"/>
    <x v="3"/>
    <x v="1"/>
    <x v="2"/>
    <x v="0"/>
    <x v="0"/>
    <x v="0"/>
    <m/>
    <x v="0"/>
    <x v="0"/>
    <n v="-11.843482959000001"/>
    <m/>
    <x v="2"/>
    <x v="0"/>
    <x v="0"/>
    <x v="5"/>
    <x v="1"/>
  </r>
  <r>
    <s v="Singapore"/>
    <x v="5"/>
    <s v="SG1"/>
    <m/>
    <x v="0"/>
    <x v="1"/>
    <x v="0"/>
    <x v="2"/>
    <x v="0"/>
    <x v="0"/>
    <x v="0"/>
    <m/>
    <x v="0"/>
    <x v="0"/>
    <n v="-0.73484585099999999"/>
    <m/>
    <x v="9"/>
    <x v="2"/>
    <x v="0"/>
    <x v="5"/>
    <x v="1"/>
  </r>
  <r>
    <s v="Singapore"/>
    <x v="2"/>
    <s v="SG2"/>
    <m/>
    <x v="2"/>
    <x v="4"/>
    <x v="1"/>
    <x v="3"/>
    <x v="0"/>
    <x v="0"/>
    <x v="0"/>
    <m/>
    <x v="0"/>
    <x v="0"/>
    <n v="-9.3474000000000002E-2"/>
    <m/>
    <x v="0"/>
    <x v="2"/>
    <x v="0"/>
    <x v="0"/>
    <x v="2"/>
  </r>
  <r>
    <s v="Singapore"/>
    <x v="0"/>
    <s v="SG3"/>
    <m/>
    <x v="4"/>
    <x v="3"/>
    <x v="2"/>
    <x v="5"/>
    <x v="0"/>
    <x v="0"/>
    <x v="0"/>
    <m/>
    <x v="0"/>
    <x v="0"/>
    <n v="3.548366514"/>
    <m/>
    <x v="1"/>
    <x v="2"/>
    <x v="0"/>
    <x v="5"/>
    <x v="0"/>
  </r>
  <r>
    <s v="Singapore"/>
    <x v="2"/>
    <s v="SG1"/>
    <m/>
    <x v="1"/>
    <x v="1"/>
    <x v="1"/>
    <x v="2"/>
    <x v="0"/>
    <x v="0"/>
    <x v="0"/>
    <m/>
    <x v="0"/>
    <x v="0"/>
    <n v="-0.42063300000000003"/>
    <m/>
    <x v="4"/>
    <x v="3"/>
    <x v="0"/>
    <x v="4"/>
    <x v="0"/>
  </r>
  <r>
    <s v="Singapore"/>
    <x v="0"/>
    <s v="SG1"/>
    <m/>
    <x v="2"/>
    <x v="0"/>
    <x v="4"/>
    <x v="1"/>
    <x v="0"/>
    <x v="0"/>
    <x v="0"/>
    <m/>
    <x v="0"/>
    <x v="0"/>
    <n v="-7.7895000000000006E-2"/>
    <m/>
    <x v="0"/>
    <x v="1"/>
    <x v="0"/>
    <x v="0"/>
    <x v="2"/>
  </r>
  <r>
    <s v="Singapore"/>
    <x v="1"/>
    <s v="SG1"/>
    <m/>
    <x v="5"/>
    <x v="0"/>
    <x v="3"/>
    <x v="3"/>
    <x v="0"/>
    <x v="0"/>
    <x v="0"/>
    <m/>
    <x v="0"/>
    <x v="0"/>
    <n v="-0.46737000000000001"/>
    <m/>
    <x v="4"/>
    <x v="2"/>
    <x v="0"/>
    <x v="3"/>
    <x v="0"/>
  </r>
  <r>
    <s v="Singapore"/>
    <x v="1"/>
    <s v="SG4"/>
    <m/>
    <x v="5"/>
    <x v="3"/>
    <x v="2"/>
    <x v="1"/>
    <x v="0"/>
    <x v="0"/>
    <x v="0"/>
    <m/>
    <x v="0"/>
    <x v="0"/>
    <n v="-0.42063300000000003"/>
    <m/>
    <x v="4"/>
    <x v="0"/>
    <x v="0"/>
    <x v="5"/>
    <x v="0"/>
  </r>
  <r>
    <s v="Singapore"/>
    <x v="3"/>
    <s v="SG3"/>
    <m/>
    <x v="2"/>
    <x v="3"/>
    <x v="1"/>
    <x v="2"/>
    <x v="0"/>
    <x v="0"/>
    <x v="0"/>
    <m/>
    <x v="0"/>
    <x v="0"/>
    <n v="-0.15579000000000001"/>
    <m/>
    <x v="1"/>
    <x v="1"/>
    <x v="0"/>
    <x v="1"/>
    <x v="2"/>
  </r>
  <r>
    <s v="Singapore"/>
    <x v="1"/>
    <s v="SG1"/>
    <m/>
    <x v="1"/>
    <x v="3"/>
    <x v="3"/>
    <x v="0"/>
    <x v="0"/>
    <x v="0"/>
    <x v="0"/>
    <m/>
    <x v="0"/>
    <x v="0"/>
    <n v="0.42063300000000003"/>
    <m/>
    <x v="4"/>
    <x v="3"/>
    <x v="0"/>
    <x v="2"/>
    <x v="0"/>
  </r>
  <r>
    <s v="Singapore"/>
    <x v="0"/>
    <s v="SG3"/>
    <m/>
    <x v="1"/>
    <x v="4"/>
    <x v="1"/>
    <x v="0"/>
    <x v="0"/>
    <x v="0"/>
    <x v="0"/>
    <m/>
    <x v="0"/>
    <x v="0"/>
    <n v="-1.5579000000000001E-2"/>
    <m/>
    <x v="0"/>
    <x v="3"/>
    <x v="0"/>
    <x v="1"/>
    <x v="0"/>
  </r>
  <r>
    <s v="Singapore"/>
    <x v="0"/>
    <s v="SG2"/>
    <m/>
    <x v="2"/>
    <x v="4"/>
    <x v="3"/>
    <x v="5"/>
    <x v="0"/>
    <x v="0"/>
    <x v="0"/>
    <m/>
    <x v="0"/>
    <x v="0"/>
    <n v="-0.42063300000000003"/>
    <m/>
    <x v="4"/>
    <x v="2"/>
    <x v="0"/>
    <x v="0"/>
    <x v="1"/>
  </r>
  <r>
    <s v="Singapore"/>
    <x v="5"/>
    <s v="SG4"/>
    <m/>
    <x v="4"/>
    <x v="1"/>
    <x v="0"/>
    <x v="2"/>
    <x v="0"/>
    <x v="0"/>
    <x v="0"/>
    <m/>
    <x v="0"/>
    <x v="0"/>
    <n v="-1335.2796108540001"/>
    <m/>
    <x v="5"/>
    <x v="1"/>
    <x v="0"/>
    <x v="0"/>
    <x v="0"/>
  </r>
  <r>
    <s v="Singapore"/>
    <x v="0"/>
    <s v="SG2"/>
    <m/>
    <x v="5"/>
    <x v="0"/>
    <x v="0"/>
    <x v="5"/>
    <x v="0"/>
    <x v="0"/>
    <x v="0"/>
    <m/>
    <x v="0"/>
    <x v="0"/>
    <n v="-446.54774733900001"/>
    <m/>
    <x v="1"/>
    <x v="3"/>
    <x v="0"/>
    <x v="4"/>
    <x v="1"/>
  </r>
  <r>
    <s v="Singapore"/>
    <x v="1"/>
    <s v="SG1"/>
    <m/>
    <x v="0"/>
    <x v="4"/>
    <x v="0"/>
    <x v="4"/>
    <x v="0"/>
    <x v="0"/>
    <x v="0"/>
    <m/>
    <x v="0"/>
    <x v="0"/>
    <n v="23.836960530000002"/>
    <m/>
    <x v="7"/>
    <x v="3"/>
    <x v="0"/>
    <x v="3"/>
    <x v="0"/>
  </r>
  <r>
    <s v="Singapore"/>
    <x v="0"/>
    <s v="SG4"/>
    <m/>
    <x v="3"/>
    <x v="4"/>
    <x v="0"/>
    <x v="2"/>
    <x v="0"/>
    <x v="0"/>
    <x v="0"/>
    <m/>
    <x v="0"/>
    <x v="0"/>
    <n v="4.36212"/>
    <m/>
    <x v="1"/>
    <x v="2"/>
    <x v="0"/>
    <x v="5"/>
    <x v="2"/>
  </r>
  <r>
    <s v="Singapore"/>
    <x v="3"/>
    <s v="SG2"/>
    <m/>
    <x v="2"/>
    <x v="4"/>
    <x v="3"/>
    <x v="4"/>
    <x v="0"/>
    <x v="0"/>
    <x v="0"/>
    <m/>
    <x v="0"/>
    <x v="0"/>
    <n v="1.0801232280000002"/>
    <m/>
    <x v="1"/>
    <x v="3"/>
    <x v="0"/>
    <x v="0"/>
    <x v="2"/>
  </r>
  <r>
    <s v="Singapore"/>
    <x v="2"/>
    <s v="SG3"/>
    <m/>
    <x v="0"/>
    <x v="0"/>
    <x v="2"/>
    <x v="1"/>
    <x v="0"/>
    <x v="0"/>
    <x v="0"/>
    <m/>
    <x v="0"/>
    <x v="0"/>
    <n v="-3.8947500000000003E-2"/>
    <m/>
    <x v="0"/>
    <x v="2"/>
    <x v="0"/>
    <x v="2"/>
    <x v="1"/>
  </r>
  <r>
    <s v="Singapore"/>
    <x v="0"/>
    <s v="SG1"/>
    <m/>
    <x v="5"/>
    <x v="3"/>
    <x v="3"/>
    <x v="1"/>
    <x v="0"/>
    <x v="0"/>
    <x v="0"/>
    <m/>
    <x v="0"/>
    <x v="0"/>
    <n v="8.6800267980000001"/>
    <m/>
    <x v="9"/>
    <x v="1"/>
    <x v="0"/>
    <x v="5"/>
    <x v="0"/>
  </r>
  <r>
    <s v="Singapore"/>
    <x v="1"/>
    <s v="SG4"/>
    <m/>
    <x v="1"/>
    <x v="3"/>
    <x v="1"/>
    <x v="5"/>
    <x v="0"/>
    <x v="0"/>
    <x v="0"/>
    <m/>
    <x v="0"/>
    <x v="0"/>
    <n v="2.1666026880000002"/>
    <m/>
    <x v="1"/>
    <x v="3"/>
    <x v="0"/>
    <x v="4"/>
    <x v="1"/>
  </r>
  <r>
    <s v="Singapore"/>
    <x v="2"/>
    <s v="SG3"/>
    <m/>
    <x v="0"/>
    <x v="0"/>
    <x v="0"/>
    <x v="5"/>
    <x v="0"/>
    <x v="0"/>
    <x v="0"/>
    <m/>
    <x v="0"/>
    <x v="0"/>
    <n v="4.4867520000000001"/>
    <m/>
    <x v="7"/>
    <x v="3"/>
    <x v="0"/>
    <x v="2"/>
    <x v="0"/>
  </r>
  <r>
    <s v="Singapore"/>
    <x v="0"/>
    <s v="SG1"/>
    <m/>
    <x v="1"/>
    <x v="4"/>
    <x v="0"/>
    <x v="4"/>
    <x v="0"/>
    <x v="0"/>
    <x v="0"/>
    <m/>
    <x v="0"/>
    <x v="0"/>
    <n v="3.5052750000000004E-3"/>
    <m/>
    <x v="6"/>
    <x v="3"/>
    <x v="0"/>
    <x v="1"/>
    <x v="0"/>
  </r>
  <r>
    <s v="Singapore"/>
    <x v="4"/>
    <s v="SG3"/>
    <m/>
    <x v="4"/>
    <x v="3"/>
    <x v="4"/>
    <x v="5"/>
    <x v="0"/>
    <x v="0"/>
    <x v="0"/>
    <m/>
    <x v="0"/>
    <x v="0"/>
    <n v="-3.1158000000000002E-2"/>
    <m/>
    <x v="0"/>
    <x v="2"/>
    <x v="0"/>
    <x v="3"/>
    <x v="1"/>
  </r>
  <r>
    <s v="Singapore"/>
    <x v="0"/>
    <s v="SG3"/>
    <m/>
    <x v="5"/>
    <x v="2"/>
    <x v="3"/>
    <x v="5"/>
    <x v="0"/>
    <x v="0"/>
    <x v="0"/>
    <m/>
    <x v="0"/>
    <x v="0"/>
    <n v="-2.33685E-2"/>
    <m/>
    <x v="0"/>
    <x v="1"/>
    <x v="0"/>
    <x v="4"/>
    <x v="0"/>
  </r>
  <r>
    <s v="Singapore"/>
    <x v="0"/>
    <s v="SG3"/>
    <m/>
    <x v="2"/>
    <x v="0"/>
    <x v="2"/>
    <x v="5"/>
    <x v="0"/>
    <x v="0"/>
    <x v="0"/>
    <m/>
    <x v="0"/>
    <x v="0"/>
    <n v="0.16753656600000003"/>
    <m/>
    <x v="7"/>
    <x v="0"/>
    <x v="0"/>
    <x v="4"/>
    <x v="1"/>
  </r>
  <r>
    <s v="Singapore"/>
    <x v="3"/>
    <s v="SG2"/>
    <m/>
    <x v="1"/>
    <x v="0"/>
    <x v="4"/>
    <x v="2"/>
    <x v="0"/>
    <x v="0"/>
    <x v="0"/>
    <m/>
    <x v="0"/>
    <x v="0"/>
    <n v="-0.62316000000000005"/>
    <m/>
    <x v="4"/>
    <x v="3"/>
    <x v="0"/>
    <x v="2"/>
    <x v="0"/>
  </r>
  <r>
    <s v="Singapore"/>
    <x v="1"/>
    <s v="SG1"/>
    <m/>
    <x v="2"/>
    <x v="3"/>
    <x v="3"/>
    <x v="2"/>
    <x v="0"/>
    <x v="0"/>
    <x v="0"/>
    <m/>
    <x v="0"/>
    <x v="0"/>
    <n v="-4.6737000000000001E-2"/>
    <m/>
    <x v="0"/>
    <x v="1"/>
    <x v="0"/>
    <x v="3"/>
    <x v="2"/>
  </r>
  <r>
    <s v="Singapore"/>
    <x v="1"/>
    <s v="SG1"/>
    <m/>
    <x v="3"/>
    <x v="1"/>
    <x v="2"/>
    <x v="4"/>
    <x v="0"/>
    <x v="0"/>
    <x v="0"/>
    <m/>
    <x v="0"/>
    <x v="0"/>
    <n v="-0.155057787"/>
    <m/>
    <x v="0"/>
    <x v="2"/>
    <x v="0"/>
    <x v="5"/>
    <x v="1"/>
  </r>
  <r>
    <s v="Singapore"/>
    <x v="2"/>
    <s v="SG4"/>
    <m/>
    <x v="3"/>
    <x v="0"/>
    <x v="4"/>
    <x v="1"/>
    <x v="0"/>
    <x v="0"/>
    <x v="0"/>
    <m/>
    <x v="0"/>
    <x v="0"/>
    <n v="-3.1158000000000002E-2"/>
    <m/>
    <x v="0"/>
    <x v="2"/>
    <x v="0"/>
    <x v="1"/>
    <x v="0"/>
  </r>
  <r>
    <s v="Singapore"/>
    <x v="3"/>
    <s v="SG2"/>
    <m/>
    <x v="2"/>
    <x v="3"/>
    <x v="0"/>
    <x v="4"/>
    <x v="0"/>
    <x v="0"/>
    <x v="0"/>
    <m/>
    <x v="0"/>
    <x v="0"/>
    <n v="-71.590864176000011"/>
    <m/>
    <x v="3"/>
    <x v="1"/>
    <x v="0"/>
    <x v="0"/>
    <x v="0"/>
  </r>
  <r>
    <s v="Singapore"/>
    <x v="0"/>
    <s v="SG3"/>
    <m/>
    <x v="1"/>
    <x v="1"/>
    <x v="0"/>
    <x v="3"/>
    <x v="0"/>
    <x v="0"/>
    <x v="0"/>
    <m/>
    <x v="0"/>
    <x v="0"/>
    <n v="-0.46737000000000001"/>
    <m/>
    <x v="0"/>
    <x v="0"/>
    <x v="0"/>
    <x v="2"/>
    <x v="1"/>
  </r>
  <r>
    <s v="Singapore"/>
    <x v="0"/>
    <s v="SG2"/>
    <m/>
    <x v="3"/>
    <x v="4"/>
    <x v="1"/>
    <x v="0"/>
    <x v="0"/>
    <x v="0"/>
    <x v="0"/>
    <m/>
    <x v="0"/>
    <x v="0"/>
    <n v="-0.1838322"/>
    <m/>
    <x v="4"/>
    <x v="2"/>
    <x v="0"/>
    <x v="2"/>
    <x v="2"/>
  </r>
  <r>
    <s v="Singapore"/>
    <x v="5"/>
    <s v="SG3"/>
    <m/>
    <x v="2"/>
    <x v="4"/>
    <x v="1"/>
    <x v="3"/>
    <x v="0"/>
    <x v="0"/>
    <x v="0"/>
    <m/>
    <x v="0"/>
    <x v="0"/>
    <n v="-7.7895000000000006E-2"/>
    <m/>
    <x v="1"/>
    <x v="3"/>
    <x v="0"/>
    <x v="1"/>
    <x v="2"/>
  </r>
  <r>
    <s v="Singapore"/>
    <x v="4"/>
    <s v="SG2"/>
    <m/>
    <x v="4"/>
    <x v="4"/>
    <x v="1"/>
    <x v="0"/>
    <x v="0"/>
    <x v="0"/>
    <x v="0"/>
    <m/>
    <x v="0"/>
    <x v="0"/>
    <n v="112.79196"/>
    <m/>
    <x v="5"/>
    <x v="3"/>
    <x v="0"/>
    <x v="1"/>
    <x v="2"/>
  </r>
  <r>
    <s v="Singapore"/>
    <x v="0"/>
    <s v="SG2"/>
    <m/>
    <x v="1"/>
    <x v="3"/>
    <x v="4"/>
    <x v="1"/>
    <x v="0"/>
    <x v="0"/>
    <x v="0"/>
    <m/>
    <x v="0"/>
    <x v="0"/>
    <n v="-1.168425"/>
    <m/>
    <x v="4"/>
    <x v="2"/>
    <x v="0"/>
    <x v="5"/>
    <x v="2"/>
  </r>
  <r>
    <s v="Singapore"/>
    <x v="3"/>
    <s v="SG4"/>
    <m/>
    <x v="1"/>
    <x v="4"/>
    <x v="2"/>
    <x v="4"/>
    <x v="0"/>
    <x v="0"/>
    <x v="0"/>
    <m/>
    <x v="0"/>
    <x v="0"/>
    <n v="-1.270015659"/>
    <m/>
    <x v="1"/>
    <x v="2"/>
    <x v="0"/>
    <x v="4"/>
    <x v="1"/>
  </r>
  <r>
    <s v="Singapore"/>
    <x v="0"/>
    <s v="SG4"/>
    <m/>
    <x v="5"/>
    <x v="4"/>
    <x v="4"/>
    <x v="5"/>
    <x v="0"/>
    <x v="0"/>
    <x v="0"/>
    <m/>
    <x v="0"/>
    <x v="0"/>
    <n v="0.20252700000000001"/>
    <m/>
    <x v="1"/>
    <x v="1"/>
    <x v="0"/>
    <x v="2"/>
    <x v="1"/>
  </r>
  <r>
    <s v="Singapore"/>
    <x v="1"/>
    <s v="SG4"/>
    <m/>
    <x v="0"/>
    <x v="4"/>
    <x v="1"/>
    <x v="2"/>
    <x v="0"/>
    <x v="0"/>
    <x v="0"/>
    <m/>
    <x v="0"/>
    <x v="0"/>
    <n v="-0.42063300000000003"/>
    <m/>
    <x v="4"/>
    <x v="1"/>
    <x v="0"/>
    <x v="3"/>
    <x v="1"/>
  </r>
  <r>
    <s v="Singapore"/>
    <x v="4"/>
    <s v="SG1"/>
    <m/>
    <x v="0"/>
    <x v="4"/>
    <x v="2"/>
    <x v="5"/>
    <x v="0"/>
    <x v="0"/>
    <x v="0"/>
    <m/>
    <x v="0"/>
    <x v="0"/>
    <n v="-0.233685"/>
    <m/>
    <x v="0"/>
    <x v="2"/>
    <x v="0"/>
    <x v="5"/>
    <x v="2"/>
  </r>
  <r>
    <s v="Singapore"/>
    <x v="2"/>
    <s v="SG1"/>
    <m/>
    <x v="1"/>
    <x v="2"/>
    <x v="2"/>
    <x v="1"/>
    <x v="0"/>
    <x v="0"/>
    <x v="0"/>
    <m/>
    <x v="0"/>
    <x v="0"/>
    <n v="1.9162170000000001"/>
    <m/>
    <x v="1"/>
    <x v="0"/>
    <x v="0"/>
    <x v="5"/>
    <x v="1"/>
  </r>
  <r>
    <s v="Singapore"/>
    <x v="5"/>
    <s v="SG4"/>
    <m/>
    <x v="0"/>
    <x v="3"/>
    <x v="2"/>
    <x v="3"/>
    <x v="0"/>
    <x v="0"/>
    <x v="0"/>
    <m/>
    <x v="0"/>
    <x v="0"/>
    <n v="2.3368500000000001"/>
    <m/>
    <x v="1"/>
    <x v="0"/>
    <x v="0"/>
    <x v="2"/>
    <x v="1"/>
  </r>
  <r>
    <s v="Singapore"/>
    <x v="5"/>
    <s v="SG4"/>
    <m/>
    <x v="3"/>
    <x v="3"/>
    <x v="2"/>
    <x v="5"/>
    <x v="0"/>
    <x v="0"/>
    <x v="0"/>
    <m/>
    <x v="0"/>
    <x v="0"/>
    <n v="-0.498559158"/>
    <m/>
    <x v="0"/>
    <x v="1"/>
    <x v="0"/>
    <x v="5"/>
    <x v="1"/>
  </r>
  <r>
    <s v="Singapore"/>
    <x v="2"/>
    <s v="SG3"/>
    <m/>
    <x v="1"/>
    <x v="4"/>
    <x v="2"/>
    <x v="2"/>
    <x v="0"/>
    <x v="0"/>
    <x v="0"/>
    <m/>
    <x v="0"/>
    <x v="0"/>
    <n v="-1.5579000000000001E-2"/>
    <m/>
    <x v="4"/>
    <x v="1"/>
    <x v="0"/>
    <x v="3"/>
    <x v="2"/>
  </r>
  <r>
    <s v="Singapore"/>
    <x v="2"/>
    <s v="SG1"/>
    <m/>
    <x v="1"/>
    <x v="2"/>
    <x v="3"/>
    <x v="5"/>
    <x v="0"/>
    <x v="0"/>
    <x v="0"/>
    <m/>
    <x v="0"/>
    <x v="0"/>
    <n v="-0.15579000000000001"/>
    <m/>
    <x v="0"/>
    <x v="3"/>
    <x v="0"/>
    <x v="3"/>
    <x v="1"/>
  </r>
  <r>
    <s v="Singapore"/>
    <x v="4"/>
    <s v="SG3"/>
    <m/>
    <x v="5"/>
    <x v="4"/>
    <x v="4"/>
    <x v="2"/>
    <x v="0"/>
    <x v="0"/>
    <x v="0"/>
    <m/>
    <x v="0"/>
    <x v="0"/>
    <n v="5.1007203900000002"/>
    <m/>
    <x v="7"/>
    <x v="1"/>
    <x v="0"/>
    <x v="1"/>
    <x v="1"/>
  </r>
  <r>
    <s v="Singapore"/>
    <x v="4"/>
    <s v="SG2"/>
    <m/>
    <x v="5"/>
    <x v="3"/>
    <x v="3"/>
    <x v="1"/>
    <x v="0"/>
    <x v="0"/>
    <x v="0"/>
    <m/>
    <x v="0"/>
    <x v="0"/>
    <n v="-0.81010800000000005"/>
    <m/>
    <x v="0"/>
    <x v="1"/>
    <x v="0"/>
    <x v="3"/>
    <x v="0"/>
  </r>
  <r>
    <s v="Singapore"/>
    <x v="3"/>
    <s v="SG1"/>
    <m/>
    <x v="0"/>
    <x v="3"/>
    <x v="3"/>
    <x v="0"/>
    <x v="0"/>
    <x v="0"/>
    <x v="0"/>
    <m/>
    <x v="0"/>
    <x v="0"/>
    <n v="-0.12463200000000001"/>
    <m/>
    <x v="4"/>
    <x v="3"/>
    <x v="0"/>
    <x v="0"/>
    <x v="0"/>
  </r>
  <r>
    <s v="Singapore"/>
    <x v="5"/>
    <s v="SG1"/>
    <m/>
    <x v="1"/>
    <x v="0"/>
    <x v="2"/>
    <x v="5"/>
    <x v="0"/>
    <x v="0"/>
    <x v="0"/>
    <m/>
    <x v="0"/>
    <x v="0"/>
    <n v="10.331868168000002"/>
    <m/>
    <x v="0"/>
    <x v="2"/>
    <x v="0"/>
    <x v="3"/>
    <x v="2"/>
  </r>
  <r>
    <s v="Singapore"/>
    <x v="1"/>
    <s v="SG3"/>
    <m/>
    <x v="0"/>
    <x v="1"/>
    <x v="1"/>
    <x v="3"/>
    <x v="0"/>
    <x v="0"/>
    <x v="0"/>
    <m/>
    <x v="0"/>
    <x v="0"/>
    <n v="-0.10905300000000001"/>
    <m/>
    <x v="4"/>
    <x v="2"/>
    <x v="0"/>
    <x v="2"/>
    <x v="0"/>
  </r>
  <r>
    <s v="Singapore"/>
    <x v="3"/>
    <s v="SG2"/>
    <m/>
    <x v="2"/>
    <x v="2"/>
    <x v="0"/>
    <x v="3"/>
    <x v="0"/>
    <x v="0"/>
    <x v="0"/>
    <m/>
    <x v="0"/>
    <x v="0"/>
    <n v="-0.17136900000000002"/>
    <m/>
    <x v="8"/>
    <x v="0"/>
    <x v="0"/>
    <x v="2"/>
    <x v="2"/>
  </r>
  <r>
    <s v="Singapore"/>
    <x v="0"/>
    <s v="SG3"/>
    <m/>
    <x v="3"/>
    <x v="2"/>
    <x v="3"/>
    <x v="4"/>
    <x v="0"/>
    <x v="0"/>
    <x v="0"/>
    <m/>
    <x v="0"/>
    <x v="0"/>
    <n v="1.168425"/>
    <m/>
    <x v="1"/>
    <x v="2"/>
    <x v="0"/>
    <x v="4"/>
    <x v="1"/>
  </r>
  <r>
    <s v="Singapore"/>
    <x v="0"/>
    <s v="SG4"/>
    <m/>
    <x v="1"/>
    <x v="3"/>
    <x v="2"/>
    <x v="2"/>
    <x v="0"/>
    <x v="0"/>
    <x v="0"/>
    <m/>
    <x v="0"/>
    <x v="0"/>
    <n v="-9.3474000000000005E-3"/>
    <m/>
    <x v="3"/>
    <x v="3"/>
    <x v="0"/>
    <x v="0"/>
    <x v="1"/>
  </r>
  <r>
    <s v="Singapore"/>
    <x v="5"/>
    <s v="SG3"/>
    <m/>
    <x v="0"/>
    <x v="2"/>
    <x v="2"/>
    <x v="5"/>
    <x v="0"/>
    <x v="0"/>
    <x v="0"/>
    <m/>
    <x v="0"/>
    <x v="0"/>
    <n v="0.15579000000000001"/>
    <m/>
    <x v="1"/>
    <x v="2"/>
    <x v="0"/>
    <x v="4"/>
    <x v="1"/>
  </r>
  <r>
    <s v="Singapore"/>
    <x v="1"/>
    <s v="SG4"/>
    <m/>
    <x v="1"/>
    <x v="1"/>
    <x v="2"/>
    <x v="3"/>
    <x v="0"/>
    <x v="0"/>
    <x v="0"/>
    <m/>
    <x v="0"/>
    <x v="0"/>
    <n v="-4.6737000000000001E-2"/>
    <m/>
    <x v="0"/>
    <x v="3"/>
    <x v="0"/>
    <x v="3"/>
    <x v="0"/>
  </r>
  <r>
    <s v="Singapore"/>
    <x v="4"/>
    <s v="SG2"/>
    <m/>
    <x v="4"/>
    <x v="0"/>
    <x v="3"/>
    <x v="2"/>
    <x v="0"/>
    <x v="0"/>
    <x v="0"/>
    <m/>
    <x v="0"/>
    <x v="0"/>
    <n v="2.7263250000000001"/>
    <m/>
    <x v="1"/>
    <x v="2"/>
    <x v="0"/>
    <x v="1"/>
    <x v="1"/>
  </r>
  <r>
    <s v="Singapore"/>
    <x v="4"/>
    <s v="SG1"/>
    <m/>
    <x v="3"/>
    <x v="1"/>
    <x v="2"/>
    <x v="3"/>
    <x v="0"/>
    <x v="0"/>
    <x v="0"/>
    <m/>
    <x v="0"/>
    <x v="0"/>
    <n v="-0.280422"/>
    <m/>
    <x v="4"/>
    <x v="3"/>
    <x v="0"/>
    <x v="3"/>
    <x v="0"/>
  </r>
  <r>
    <s v="Singapore"/>
    <x v="3"/>
    <s v="SG2"/>
    <m/>
    <x v="4"/>
    <x v="3"/>
    <x v="2"/>
    <x v="5"/>
    <x v="0"/>
    <x v="0"/>
    <x v="0"/>
    <m/>
    <x v="0"/>
    <x v="0"/>
    <n v="-0.37389600000000001"/>
    <m/>
    <x v="0"/>
    <x v="1"/>
    <x v="0"/>
    <x v="3"/>
    <x v="1"/>
  </r>
  <r>
    <s v="Singapore"/>
    <x v="4"/>
    <s v="SG4"/>
    <m/>
    <x v="4"/>
    <x v="1"/>
    <x v="3"/>
    <x v="5"/>
    <x v="0"/>
    <x v="0"/>
    <x v="0"/>
    <m/>
    <x v="0"/>
    <x v="0"/>
    <n v="-0.46737000000000001"/>
    <m/>
    <x v="4"/>
    <x v="2"/>
    <x v="0"/>
    <x v="2"/>
    <x v="2"/>
  </r>
  <r>
    <s v="Singapore"/>
    <x v="4"/>
    <s v="SG2"/>
    <m/>
    <x v="1"/>
    <x v="3"/>
    <x v="2"/>
    <x v="5"/>
    <x v="0"/>
    <x v="0"/>
    <x v="0"/>
    <m/>
    <x v="0"/>
    <x v="0"/>
    <n v="-27.668304000000003"/>
    <m/>
    <x v="4"/>
    <x v="1"/>
    <x v="0"/>
    <x v="5"/>
    <x v="2"/>
  </r>
  <r>
    <s v="Singapore"/>
    <x v="2"/>
    <s v="SG3"/>
    <m/>
    <x v="1"/>
    <x v="2"/>
    <x v="1"/>
    <x v="4"/>
    <x v="0"/>
    <x v="0"/>
    <x v="0"/>
    <m/>
    <x v="0"/>
    <x v="0"/>
    <n v="0.20575185300000001"/>
    <m/>
    <x v="0"/>
    <x v="1"/>
    <x v="0"/>
    <x v="2"/>
    <x v="1"/>
  </r>
  <r>
    <s v="Singapore"/>
    <x v="4"/>
    <s v="SG4"/>
    <m/>
    <x v="4"/>
    <x v="4"/>
    <x v="1"/>
    <x v="2"/>
    <x v="0"/>
    <x v="0"/>
    <x v="0"/>
    <m/>
    <x v="0"/>
    <x v="0"/>
    <n v="-0.77895000000000003"/>
    <m/>
    <x v="4"/>
    <x v="1"/>
    <x v="0"/>
    <x v="2"/>
    <x v="0"/>
  </r>
  <r>
    <s v="Singapore"/>
    <x v="1"/>
    <s v="SG4"/>
    <m/>
    <x v="4"/>
    <x v="4"/>
    <x v="0"/>
    <x v="0"/>
    <x v="0"/>
    <x v="0"/>
    <x v="0"/>
    <m/>
    <x v="0"/>
    <x v="0"/>
    <n v="-0.12463200000000001"/>
    <m/>
    <x v="0"/>
    <x v="3"/>
    <x v="0"/>
    <x v="0"/>
    <x v="1"/>
  </r>
  <r>
    <s v="Singapore"/>
    <x v="0"/>
    <s v="SG4"/>
    <m/>
    <x v="5"/>
    <x v="0"/>
    <x v="0"/>
    <x v="1"/>
    <x v="0"/>
    <x v="0"/>
    <x v="0"/>
    <m/>
    <x v="0"/>
    <x v="0"/>
    <n v="-0.12463200000000001"/>
    <m/>
    <x v="4"/>
    <x v="3"/>
    <x v="0"/>
    <x v="5"/>
    <x v="2"/>
  </r>
  <r>
    <s v="Singapore"/>
    <x v="2"/>
    <s v="SG2"/>
    <m/>
    <x v="2"/>
    <x v="2"/>
    <x v="0"/>
    <x v="1"/>
    <x v="0"/>
    <x v="0"/>
    <x v="0"/>
    <m/>
    <x v="0"/>
    <x v="0"/>
    <n v="-0.31158000000000002"/>
    <m/>
    <x v="0"/>
    <x v="2"/>
    <x v="0"/>
    <x v="0"/>
    <x v="1"/>
  </r>
  <r>
    <s v="Singapore"/>
    <x v="2"/>
    <s v="SG1"/>
    <m/>
    <x v="1"/>
    <x v="0"/>
    <x v="2"/>
    <x v="0"/>
    <x v="0"/>
    <x v="0"/>
    <x v="0"/>
    <m/>
    <x v="0"/>
    <x v="0"/>
    <n v="0.73738522800000006"/>
    <m/>
    <x v="1"/>
    <x v="2"/>
    <x v="0"/>
    <x v="0"/>
    <x v="0"/>
  </r>
  <r>
    <s v="Singapore"/>
    <x v="1"/>
    <s v="SG3"/>
    <m/>
    <x v="0"/>
    <x v="3"/>
    <x v="4"/>
    <x v="0"/>
    <x v="0"/>
    <x v="0"/>
    <x v="0"/>
    <m/>
    <x v="0"/>
    <x v="0"/>
    <n v="-0.22433760000000003"/>
    <m/>
    <x v="6"/>
    <x v="3"/>
    <x v="0"/>
    <x v="1"/>
    <x v="1"/>
  </r>
  <r>
    <s v="Singapore"/>
    <x v="4"/>
    <s v="SG1"/>
    <m/>
    <x v="4"/>
    <x v="3"/>
    <x v="3"/>
    <x v="2"/>
    <x v="0"/>
    <x v="0"/>
    <x v="0"/>
    <m/>
    <x v="0"/>
    <x v="0"/>
    <n v="-0.70105499999999998"/>
    <m/>
    <x v="4"/>
    <x v="1"/>
    <x v="0"/>
    <x v="5"/>
    <x v="2"/>
  </r>
  <r>
    <s v="Singapore"/>
    <x v="4"/>
    <s v="SG1"/>
    <m/>
    <x v="0"/>
    <x v="0"/>
    <x v="1"/>
    <x v="4"/>
    <x v="0"/>
    <x v="0"/>
    <x v="0"/>
    <m/>
    <x v="0"/>
    <x v="0"/>
    <n v="4.855210929000001"/>
    <m/>
    <x v="9"/>
    <x v="1"/>
    <x v="0"/>
    <x v="4"/>
    <x v="1"/>
  </r>
  <r>
    <s v="Singapore"/>
    <x v="4"/>
    <s v="SG3"/>
    <m/>
    <x v="3"/>
    <x v="0"/>
    <x v="4"/>
    <x v="4"/>
    <x v="0"/>
    <x v="0"/>
    <x v="0"/>
    <m/>
    <x v="0"/>
    <x v="0"/>
    <n v="0.82903648500000005"/>
    <m/>
    <x v="0"/>
    <x v="3"/>
    <x v="0"/>
    <x v="3"/>
    <x v="2"/>
  </r>
  <r>
    <s v="Singapore"/>
    <x v="1"/>
    <s v="SG2"/>
    <m/>
    <x v="2"/>
    <x v="2"/>
    <x v="1"/>
    <x v="0"/>
    <x v="0"/>
    <x v="0"/>
    <x v="0"/>
    <m/>
    <x v="0"/>
    <x v="0"/>
    <n v="-3.5831700000000004"/>
    <m/>
    <x v="1"/>
    <x v="2"/>
    <x v="0"/>
    <x v="0"/>
    <x v="0"/>
  </r>
  <r>
    <s v="Singapore"/>
    <x v="2"/>
    <s v="SG3"/>
    <m/>
    <x v="1"/>
    <x v="2"/>
    <x v="2"/>
    <x v="2"/>
    <x v="0"/>
    <x v="0"/>
    <x v="0"/>
    <m/>
    <x v="0"/>
    <x v="0"/>
    <n v="-8.3191860000000002"/>
    <m/>
    <x v="4"/>
    <x v="1"/>
    <x v="0"/>
    <x v="3"/>
    <x v="0"/>
  </r>
  <r>
    <s v="Singapore"/>
    <x v="0"/>
    <s v="SG2"/>
    <m/>
    <x v="3"/>
    <x v="2"/>
    <x v="3"/>
    <x v="4"/>
    <x v="0"/>
    <x v="0"/>
    <x v="0"/>
    <m/>
    <x v="0"/>
    <x v="0"/>
    <n v="-9.4252950000000002E-2"/>
    <m/>
    <x v="6"/>
    <x v="3"/>
    <x v="0"/>
    <x v="4"/>
    <x v="0"/>
  </r>
  <r>
    <s v="Singapore"/>
    <x v="1"/>
    <s v="SG1"/>
    <m/>
    <x v="3"/>
    <x v="2"/>
    <x v="1"/>
    <x v="5"/>
    <x v="0"/>
    <x v="0"/>
    <x v="0"/>
    <m/>
    <x v="0"/>
    <x v="0"/>
    <n v="7.5090780000000006"/>
    <m/>
    <x v="3"/>
    <x v="1"/>
    <x v="0"/>
    <x v="4"/>
    <x v="0"/>
  </r>
  <r>
    <s v="Singapore"/>
    <x v="3"/>
    <s v="SG1"/>
    <m/>
    <x v="5"/>
    <x v="1"/>
    <x v="1"/>
    <x v="3"/>
    <x v="0"/>
    <x v="0"/>
    <x v="0"/>
    <m/>
    <x v="0"/>
    <x v="0"/>
    <n v="-7.7895000000000006E-2"/>
    <m/>
    <x v="0"/>
    <x v="3"/>
    <x v="0"/>
    <x v="4"/>
    <x v="2"/>
  </r>
  <r>
    <s v="Singapore"/>
    <x v="0"/>
    <s v="SG1"/>
    <m/>
    <x v="5"/>
    <x v="2"/>
    <x v="0"/>
    <x v="0"/>
    <x v="0"/>
    <x v="0"/>
    <x v="0"/>
    <m/>
    <x v="0"/>
    <x v="0"/>
    <n v="-0.233685"/>
    <m/>
    <x v="1"/>
    <x v="0"/>
    <x v="0"/>
    <x v="4"/>
    <x v="2"/>
  </r>
  <r>
    <s v="Singapore"/>
    <x v="5"/>
    <s v="SG4"/>
    <m/>
    <x v="5"/>
    <x v="4"/>
    <x v="2"/>
    <x v="2"/>
    <x v="0"/>
    <x v="0"/>
    <x v="0"/>
    <m/>
    <x v="0"/>
    <x v="0"/>
    <n v="-0.18373872600000002"/>
    <m/>
    <x v="0"/>
    <x v="1"/>
    <x v="0"/>
    <x v="2"/>
    <x v="2"/>
  </r>
  <r>
    <s v="Singapore"/>
    <x v="5"/>
    <s v="SG3"/>
    <m/>
    <x v="3"/>
    <x v="1"/>
    <x v="1"/>
    <x v="5"/>
    <x v="0"/>
    <x v="0"/>
    <x v="0"/>
    <m/>
    <x v="0"/>
    <x v="0"/>
    <n v="-3.1158000000000001"/>
    <m/>
    <x v="4"/>
    <x v="1"/>
    <x v="0"/>
    <x v="0"/>
    <x v="0"/>
  </r>
  <r>
    <s v="Singapore"/>
    <x v="3"/>
    <s v="SG3"/>
    <m/>
    <x v="1"/>
    <x v="1"/>
    <x v="4"/>
    <x v="2"/>
    <x v="0"/>
    <x v="0"/>
    <x v="0"/>
    <m/>
    <x v="0"/>
    <x v="0"/>
    <n v="0.21031650000000002"/>
    <m/>
    <x v="1"/>
    <x v="0"/>
    <x v="0"/>
    <x v="5"/>
    <x v="2"/>
  </r>
  <r>
    <s v="Singapore"/>
    <x v="4"/>
    <s v="SG3"/>
    <m/>
    <x v="2"/>
    <x v="4"/>
    <x v="2"/>
    <x v="5"/>
    <x v="0"/>
    <x v="0"/>
    <x v="0"/>
    <m/>
    <x v="0"/>
    <x v="0"/>
    <n v="0.264843"/>
    <m/>
    <x v="1"/>
    <x v="3"/>
    <x v="0"/>
    <x v="3"/>
    <x v="1"/>
  </r>
  <r>
    <s v="Singapore"/>
    <x v="4"/>
    <s v="SG2"/>
    <m/>
    <x v="1"/>
    <x v="2"/>
    <x v="2"/>
    <x v="5"/>
    <x v="0"/>
    <x v="0"/>
    <x v="0"/>
    <m/>
    <x v="0"/>
    <x v="0"/>
    <n v="-0.70105499999999998"/>
    <m/>
    <x v="0"/>
    <x v="1"/>
    <x v="0"/>
    <x v="3"/>
    <x v="0"/>
  </r>
  <r>
    <s v="Singapore"/>
    <x v="0"/>
    <s v="SG3"/>
    <m/>
    <x v="2"/>
    <x v="0"/>
    <x v="4"/>
    <x v="5"/>
    <x v="0"/>
    <x v="0"/>
    <x v="0"/>
    <m/>
    <x v="0"/>
    <x v="0"/>
    <n v="9.8147700000000004E-2"/>
    <m/>
    <x v="3"/>
    <x v="2"/>
    <x v="0"/>
    <x v="2"/>
    <x v="2"/>
  </r>
  <r>
    <s v="Singapore"/>
    <x v="5"/>
    <s v="SG2"/>
    <m/>
    <x v="2"/>
    <x v="0"/>
    <x v="1"/>
    <x v="0"/>
    <x v="0"/>
    <x v="0"/>
    <x v="0"/>
    <m/>
    <x v="0"/>
    <x v="0"/>
    <n v="0.20252700000000001"/>
    <m/>
    <x v="1"/>
    <x v="2"/>
    <x v="0"/>
    <x v="0"/>
    <x v="0"/>
  </r>
  <r>
    <s v="Singapore"/>
    <x v="5"/>
    <s v="SG1"/>
    <m/>
    <x v="4"/>
    <x v="2"/>
    <x v="4"/>
    <x v="5"/>
    <x v="0"/>
    <x v="0"/>
    <x v="0"/>
    <m/>
    <x v="0"/>
    <x v="0"/>
    <n v="-18.694800000000001"/>
    <m/>
    <x v="4"/>
    <x v="1"/>
    <x v="0"/>
    <x v="1"/>
    <x v="1"/>
  </r>
  <r>
    <s v="Singapore"/>
    <x v="0"/>
    <s v="SG4"/>
    <m/>
    <x v="2"/>
    <x v="4"/>
    <x v="2"/>
    <x v="1"/>
    <x v="0"/>
    <x v="0"/>
    <x v="0"/>
    <m/>
    <x v="0"/>
    <x v="0"/>
    <n v="0.74467620000000001"/>
    <m/>
    <x v="1"/>
    <x v="3"/>
    <x v="0"/>
    <x v="1"/>
    <x v="2"/>
  </r>
  <r>
    <s v="Singapore"/>
    <x v="0"/>
    <s v="SG3"/>
    <m/>
    <x v="0"/>
    <x v="4"/>
    <x v="2"/>
    <x v="1"/>
    <x v="0"/>
    <x v="0"/>
    <x v="0"/>
    <m/>
    <x v="0"/>
    <x v="0"/>
    <n v="8.8660088999999997E-2"/>
    <m/>
    <x v="1"/>
    <x v="1"/>
    <x v="0"/>
    <x v="1"/>
    <x v="1"/>
  </r>
  <r>
    <s v="Singapore"/>
    <x v="1"/>
    <s v="SG2"/>
    <m/>
    <x v="2"/>
    <x v="2"/>
    <x v="0"/>
    <x v="2"/>
    <x v="0"/>
    <x v="0"/>
    <x v="0"/>
    <m/>
    <x v="0"/>
    <x v="0"/>
    <n v="0.74779200000000001"/>
    <m/>
    <x v="1"/>
    <x v="3"/>
    <x v="0"/>
    <x v="4"/>
    <x v="0"/>
  </r>
  <r>
    <s v="Singapore"/>
    <x v="0"/>
    <s v="SG4"/>
    <m/>
    <x v="2"/>
    <x v="0"/>
    <x v="3"/>
    <x v="1"/>
    <x v="0"/>
    <x v="0"/>
    <x v="0"/>
    <m/>
    <x v="0"/>
    <x v="0"/>
    <n v="-3.1158000000000002E-2"/>
    <m/>
    <x v="0"/>
    <x v="2"/>
    <x v="0"/>
    <x v="5"/>
    <x v="2"/>
  </r>
  <r>
    <s v="Singapore"/>
    <x v="5"/>
    <s v="SG3"/>
    <m/>
    <x v="3"/>
    <x v="4"/>
    <x v="4"/>
    <x v="1"/>
    <x v="0"/>
    <x v="0"/>
    <x v="0"/>
    <m/>
    <x v="0"/>
    <x v="0"/>
    <n v="7.9660412279999999"/>
    <m/>
    <x v="4"/>
    <x v="2"/>
    <x v="0"/>
    <x v="0"/>
    <x v="0"/>
  </r>
  <r>
    <s v="Singapore"/>
    <x v="0"/>
    <s v="SG1"/>
    <m/>
    <x v="1"/>
    <x v="4"/>
    <x v="0"/>
    <x v="2"/>
    <x v="0"/>
    <x v="0"/>
    <x v="0"/>
    <m/>
    <x v="0"/>
    <x v="0"/>
    <n v="0.56084400000000001"/>
    <m/>
    <x v="1"/>
    <x v="1"/>
    <x v="0"/>
    <x v="2"/>
    <x v="2"/>
  </r>
  <r>
    <s v="Singapore"/>
    <x v="0"/>
    <s v="SG4"/>
    <m/>
    <x v="5"/>
    <x v="2"/>
    <x v="1"/>
    <x v="3"/>
    <x v="0"/>
    <x v="0"/>
    <x v="0"/>
    <m/>
    <x v="0"/>
    <x v="0"/>
    <n v="-0.15579000000000001"/>
    <m/>
    <x v="4"/>
    <x v="3"/>
    <x v="0"/>
    <x v="0"/>
    <x v="2"/>
  </r>
  <r>
    <s v="Singapore"/>
    <x v="1"/>
    <s v="SG3"/>
    <m/>
    <x v="4"/>
    <x v="0"/>
    <x v="1"/>
    <x v="4"/>
    <x v="0"/>
    <x v="0"/>
    <x v="0"/>
    <m/>
    <x v="0"/>
    <x v="0"/>
    <n v="15.1599249"/>
    <m/>
    <x v="2"/>
    <x v="1"/>
    <x v="0"/>
    <x v="4"/>
    <x v="1"/>
  </r>
  <r>
    <s v="Singapore"/>
    <x v="3"/>
    <s v="SG3"/>
    <m/>
    <x v="2"/>
    <x v="2"/>
    <x v="3"/>
    <x v="2"/>
    <x v="0"/>
    <x v="0"/>
    <x v="0"/>
    <m/>
    <x v="0"/>
    <x v="0"/>
    <n v="-2.0252700000000002E-2"/>
    <m/>
    <x v="2"/>
    <x v="1"/>
    <x v="0"/>
    <x v="5"/>
    <x v="2"/>
  </r>
  <r>
    <s v="Singapore"/>
    <x v="0"/>
    <s v="SG4"/>
    <m/>
    <x v="5"/>
    <x v="2"/>
    <x v="2"/>
    <x v="3"/>
    <x v="0"/>
    <x v="0"/>
    <x v="0"/>
    <m/>
    <x v="0"/>
    <x v="0"/>
    <n v="-2.8821150000000002"/>
    <m/>
    <x v="1"/>
    <x v="0"/>
    <x v="0"/>
    <x v="5"/>
    <x v="0"/>
  </r>
  <r>
    <s v="Singapore"/>
    <x v="4"/>
    <s v="SG3"/>
    <m/>
    <x v="1"/>
    <x v="3"/>
    <x v="1"/>
    <x v="4"/>
    <x v="0"/>
    <x v="0"/>
    <x v="0"/>
    <m/>
    <x v="0"/>
    <x v="0"/>
    <n v="-13.638588813"/>
    <m/>
    <x v="6"/>
    <x v="2"/>
    <x v="0"/>
    <x v="5"/>
    <x v="0"/>
  </r>
  <r>
    <s v="Singapore"/>
    <x v="1"/>
    <s v="SG4"/>
    <m/>
    <x v="2"/>
    <x v="2"/>
    <x v="2"/>
    <x v="3"/>
    <x v="0"/>
    <x v="0"/>
    <x v="0"/>
    <m/>
    <x v="0"/>
    <x v="0"/>
    <n v="4.4787132360000008"/>
    <m/>
    <x v="7"/>
    <x v="2"/>
    <x v="0"/>
    <x v="1"/>
    <x v="1"/>
  </r>
  <r>
    <s v="Singapore"/>
    <x v="0"/>
    <s v="SG3"/>
    <m/>
    <x v="4"/>
    <x v="1"/>
    <x v="1"/>
    <x v="1"/>
    <x v="0"/>
    <x v="0"/>
    <x v="0"/>
    <m/>
    <x v="0"/>
    <x v="0"/>
    <n v="-0.233685"/>
    <m/>
    <x v="0"/>
    <x v="2"/>
    <x v="0"/>
    <x v="1"/>
    <x v="1"/>
  </r>
  <r>
    <s v="Singapore"/>
    <x v="3"/>
    <s v="SG4"/>
    <m/>
    <x v="0"/>
    <x v="2"/>
    <x v="1"/>
    <x v="2"/>
    <x v="0"/>
    <x v="0"/>
    <x v="0"/>
    <m/>
    <x v="0"/>
    <x v="0"/>
    <n v="-0.12826190700000001"/>
    <m/>
    <x v="4"/>
    <x v="1"/>
    <x v="0"/>
    <x v="5"/>
    <x v="0"/>
  </r>
  <r>
    <s v="Singapore"/>
    <x v="1"/>
    <s v="SG4"/>
    <m/>
    <x v="3"/>
    <x v="0"/>
    <x v="4"/>
    <x v="0"/>
    <x v="0"/>
    <x v="0"/>
    <x v="0"/>
    <m/>
    <x v="0"/>
    <x v="0"/>
    <n v="-4.9145669190000003"/>
    <m/>
    <x v="7"/>
    <x v="2"/>
    <x v="0"/>
    <x v="1"/>
    <x v="1"/>
  </r>
  <r>
    <s v="Singapore"/>
    <x v="0"/>
    <s v="SG3"/>
    <m/>
    <x v="1"/>
    <x v="1"/>
    <x v="2"/>
    <x v="2"/>
    <x v="0"/>
    <x v="0"/>
    <x v="0"/>
    <m/>
    <x v="0"/>
    <x v="0"/>
    <n v="-2.1031650000000002"/>
    <m/>
    <x v="4"/>
    <x v="2"/>
    <x v="0"/>
    <x v="0"/>
    <x v="1"/>
  </r>
  <r>
    <s v="Singapore"/>
    <x v="3"/>
    <s v="SG4"/>
    <m/>
    <x v="0"/>
    <x v="4"/>
    <x v="4"/>
    <x v="1"/>
    <x v="0"/>
    <x v="0"/>
    <x v="0"/>
    <m/>
    <x v="0"/>
    <x v="0"/>
    <n v="-0.15579000000000001"/>
    <m/>
    <x v="0"/>
    <x v="2"/>
    <x v="0"/>
    <x v="4"/>
    <x v="0"/>
  </r>
  <r>
    <s v="Singapore"/>
    <x v="4"/>
    <s v="SG4"/>
    <m/>
    <x v="4"/>
    <x v="3"/>
    <x v="1"/>
    <x v="3"/>
    <x v="0"/>
    <x v="0"/>
    <x v="0"/>
    <m/>
    <x v="0"/>
    <x v="0"/>
    <n v="-4.2770742390000001"/>
    <m/>
    <x v="7"/>
    <x v="0"/>
    <x v="0"/>
    <x v="0"/>
    <x v="1"/>
  </r>
  <r>
    <s v="Singapore"/>
    <x v="4"/>
    <s v="SG2"/>
    <m/>
    <x v="1"/>
    <x v="2"/>
    <x v="2"/>
    <x v="5"/>
    <x v="0"/>
    <x v="0"/>
    <x v="0"/>
    <m/>
    <x v="0"/>
    <x v="0"/>
    <n v="0.280422"/>
    <m/>
    <x v="0"/>
    <x v="2"/>
    <x v="0"/>
    <x v="4"/>
    <x v="1"/>
  </r>
  <r>
    <s v="Singapore"/>
    <x v="2"/>
    <s v="SG3"/>
    <m/>
    <x v="1"/>
    <x v="1"/>
    <x v="1"/>
    <x v="3"/>
    <x v="0"/>
    <x v="0"/>
    <x v="0"/>
    <m/>
    <x v="0"/>
    <x v="0"/>
    <n v="1.8395683199999999"/>
    <m/>
    <x v="1"/>
    <x v="0"/>
    <x v="0"/>
    <x v="1"/>
    <x v="2"/>
  </r>
  <r>
    <s v="Singapore"/>
    <x v="0"/>
    <s v="SG1"/>
    <m/>
    <x v="5"/>
    <x v="3"/>
    <x v="0"/>
    <x v="4"/>
    <x v="0"/>
    <x v="0"/>
    <x v="0"/>
    <m/>
    <x v="0"/>
    <x v="0"/>
    <n v="-9.3474000000000002E-2"/>
    <m/>
    <x v="0"/>
    <x v="2"/>
    <x v="0"/>
    <x v="0"/>
    <x v="1"/>
  </r>
  <r>
    <s v="Singapore"/>
    <x v="4"/>
    <s v="SG3"/>
    <m/>
    <x v="1"/>
    <x v="3"/>
    <x v="4"/>
    <x v="4"/>
    <x v="0"/>
    <x v="0"/>
    <x v="0"/>
    <m/>
    <x v="0"/>
    <x v="0"/>
    <n v="-0.12463200000000001"/>
    <m/>
    <x v="4"/>
    <x v="2"/>
    <x v="0"/>
    <x v="1"/>
    <x v="1"/>
  </r>
  <r>
    <s v="Singapore"/>
    <x v="1"/>
    <s v="SG1"/>
    <m/>
    <x v="2"/>
    <x v="2"/>
    <x v="1"/>
    <x v="5"/>
    <x v="0"/>
    <x v="0"/>
    <x v="0"/>
    <m/>
    <x v="0"/>
    <x v="0"/>
    <n v="-0.77895000000000003"/>
    <m/>
    <x v="0"/>
    <x v="1"/>
    <x v="0"/>
    <x v="4"/>
    <x v="1"/>
  </r>
  <r>
    <s v="Singapore"/>
    <x v="4"/>
    <s v="SG3"/>
    <m/>
    <x v="1"/>
    <x v="2"/>
    <x v="4"/>
    <x v="4"/>
    <x v="0"/>
    <x v="0"/>
    <x v="0"/>
    <m/>
    <x v="0"/>
    <x v="0"/>
    <n v="-4.6737000000000002"/>
    <m/>
    <x v="3"/>
    <x v="1"/>
    <x v="0"/>
    <x v="2"/>
    <x v="0"/>
  </r>
  <r>
    <s v="Singapore"/>
    <x v="3"/>
    <s v="SG3"/>
    <m/>
    <x v="0"/>
    <x v="1"/>
    <x v="4"/>
    <x v="1"/>
    <x v="0"/>
    <x v="0"/>
    <x v="0"/>
    <m/>
    <x v="0"/>
    <x v="0"/>
    <n v="-0.71663399999999999"/>
    <m/>
    <x v="4"/>
    <x v="0"/>
    <x v="0"/>
    <x v="0"/>
    <x v="1"/>
  </r>
  <r>
    <s v="Singapore"/>
    <x v="2"/>
    <s v="SG3"/>
    <m/>
    <x v="4"/>
    <x v="2"/>
    <x v="1"/>
    <x v="3"/>
    <x v="0"/>
    <x v="0"/>
    <x v="0"/>
    <m/>
    <x v="0"/>
    <x v="0"/>
    <n v="2.8556307000000003"/>
    <m/>
    <x v="1"/>
    <x v="2"/>
    <x v="0"/>
    <x v="2"/>
    <x v="2"/>
  </r>
  <r>
    <s v="Singapore"/>
    <x v="4"/>
    <s v="SG2"/>
    <m/>
    <x v="4"/>
    <x v="0"/>
    <x v="4"/>
    <x v="2"/>
    <x v="0"/>
    <x v="0"/>
    <x v="0"/>
    <m/>
    <x v="0"/>
    <x v="0"/>
    <n v="-89.329721157000009"/>
    <m/>
    <x v="1"/>
    <x v="2"/>
    <x v="0"/>
    <x v="4"/>
    <x v="0"/>
  </r>
  <r>
    <s v="Singapore"/>
    <x v="0"/>
    <s v="SG1"/>
    <m/>
    <x v="2"/>
    <x v="1"/>
    <x v="1"/>
    <x v="0"/>
    <x v="0"/>
    <x v="0"/>
    <x v="0"/>
    <m/>
    <x v="0"/>
    <x v="0"/>
    <n v="0.87242400000000009"/>
    <m/>
    <x v="1"/>
    <x v="0"/>
    <x v="0"/>
    <x v="1"/>
    <x v="0"/>
  </r>
  <r>
    <s v="Singapore"/>
    <x v="2"/>
    <s v="SG2"/>
    <m/>
    <x v="2"/>
    <x v="2"/>
    <x v="1"/>
    <x v="3"/>
    <x v="0"/>
    <x v="0"/>
    <x v="0"/>
    <m/>
    <x v="0"/>
    <x v="0"/>
    <n v="-0.59979150000000003"/>
    <m/>
    <x v="0"/>
    <x v="1"/>
    <x v="0"/>
    <x v="1"/>
    <x v="2"/>
  </r>
  <r>
    <s v="Singapore"/>
    <x v="5"/>
    <s v="SG2"/>
    <m/>
    <x v="2"/>
    <x v="3"/>
    <x v="0"/>
    <x v="5"/>
    <x v="0"/>
    <x v="0"/>
    <x v="0"/>
    <m/>
    <x v="0"/>
    <x v="0"/>
    <n v="1.5579000000000001E-2"/>
    <m/>
    <x v="0"/>
    <x v="0"/>
    <x v="0"/>
    <x v="4"/>
    <x v="2"/>
  </r>
  <r>
    <s v="Singapore"/>
    <x v="1"/>
    <s v="SG1"/>
    <m/>
    <x v="0"/>
    <x v="3"/>
    <x v="1"/>
    <x v="1"/>
    <x v="0"/>
    <x v="0"/>
    <x v="0"/>
    <m/>
    <x v="0"/>
    <x v="0"/>
    <n v="-0.12463200000000001"/>
    <m/>
    <x v="4"/>
    <x v="3"/>
    <x v="0"/>
    <x v="1"/>
    <x v="0"/>
  </r>
  <r>
    <s v="Singapore"/>
    <x v="0"/>
    <s v="SG1"/>
    <m/>
    <x v="0"/>
    <x v="0"/>
    <x v="1"/>
    <x v="1"/>
    <x v="0"/>
    <x v="0"/>
    <x v="0"/>
    <m/>
    <x v="0"/>
    <x v="0"/>
    <n v="-0.77895000000000003"/>
    <m/>
    <x v="4"/>
    <x v="1"/>
    <x v="0"/>
    <x v="3"/>
    <x v="2"/>
  </r>
  <r>
    <s v="Singapore"/>
    <x v="1"/>
    <s v="SG3"/>
    <m/>
    <x v="3"/>
    <x v="4"/>
    <x v="0"/>
    <x v="0"/>
    <x v="0"/>
    <x v="0"/>
    <x v="0"/>
    <m/>
    <x v="0"/>
    <x v="0"/>
    <n v="-0.10905300000000001"/>
    <m/>
    <x v="4"/>
    <x v="0"/>
    <x v="0"/>
    <x v="4"/>
    <x v="2"/>
  </r>
  <r>
    <s v="Singapore"/>
    <x v="2"/>
    <s v="SG4"/>
    <m/>
    <x v="0"/>
    <x v="3"/>
    <x v="1"/>
    <x v="2"/>
    <x v="0"/>
    <x v="0"/>
    <x v="0"/>
    <m/>
    <x v="0"/>
    <x v="0"/>
    <n v="-8.5435236000000003"/>
    <m/>
    <x v="2"/>
    <x v="0"/>
    <x v="0"/>
    <x v="5"/>
    <x v="1"/>
  </r>
  <r>
    <s v="Singapore"/>
    <x v="1"/>
    <s v="SG3"/>
    <m/>
    <x v="1"/>
    <x v="3"/>
    <x v="1"/>
    <x v="0"/>
    <x v="0"/>
    <x v="0"/>
    <x v="0"/>
    <m/>
    <x v="0"/>
    <x v="0"/>
    <n v="0.74467620000000001"/>
    <m/>
    <x v="1"/>
    <x v="2"/>
    <x v="0"/>
    <x v="1"/>
    <x v="0"/>
  </r>
  <r>
    <s v="Singapore"/>
    <x v="2"/>
    <s v="SG4"/>
    <m/>
    <x v="5"/>
    <x v="1"/>
    <x v="2"/>
    <x v="3"/>
    <x v="0"/>
    <x v="0"/>
    <x v="0"/>
    <m/>
    <x v="0"/>
    <x v="0"/>
    <n v="1.8405653760000003"/>
    <m/>
    <x v="1"/>
    <x v="2"/>
    <x v="0"/>
    <x v="5"/>
    <x v="0"/>
  </r>
  <r>
    <s v="Singapore"/>
    <x v="2"/>
    <s v="SG2"/>
    <m/>
    <x v="1"/>
    <x v="4"/>
    <x v="0"/>
    <x v="1"/>
    <x v="0"/>
    <x v="0"/>
    <x v="0"/>
    <m/>
    <x v="0"/>
    <x v="0"/>
    <n v="-0.44710172100000006"/>
    <m/>
    <x v="3"/>
    <x v="2"/>
    <x v="0"/>
    <x v="2"/>
    <x v="2"/>
  </r>
  <r>
    <s v="Singapore"/>
    <x v="3"/>
    <s v="SG1"/>
    <m/>
    <x v="2"/>
    <x v="2"/>
    <x v="3"/>
    <x v="0"/>
    <x v="0"/>
    <x v="0"/>
    <x v="0"/>
    <m/>
    <x v="0"/>
    <x v="0"/>
    <n v="-0.42063300000000003"/>
    <m/>
    <x v="4"/>
    <x v="1"/>
    <x v="0"/>
    <x v="3"/>
    <x v="1"/>
  </r>
  <r>
    <s v="Singapore"/>
    <x v="4"/>
    <s v="SG1"/>
    <m/>
    <x v="3"/>
    <x v="0"/>
    <x v="1"/>
    <x v="2"/>
    <x v="0"/>
    <x v="0"/>
    <x v="0"/>
    <m/>
    <x v="0"/>
    <x v="0"/>
    <n v="-171.369"/>
    <m/>
    <x v="2"/>
    <x v="0"/>
    <x v="0"/>
    <x v="4"/>
    <x v="2"/>
  </r>
  <r>
    <s v="Singapore"/>
    <x v="2"/>
    <s v="SG4"/>
    <m/>
    <x v="0"/>
    <x v="1"/>
    <x v="2"/>
    <x v="5"/>
    <x v="0"/>
    <x v="0"/>
    <x v="0"/>
    <m/>
    <x v="0"/>
    <x v="0"/>
    <n v="0.77895000000000003"/>
    <m/>
    <x v="4"/>
    <x v="1"/>
    <x v="0"/>
    <x v="2"/>
    <x v="2"/>
  </r>
  <r>
    <s v="Singapore"/>
    <x v="0"/>
    <s v="SG3"/>
    <m/>
    <x v="3"/>
    <x v="0"/>
    <x v="3"/>
    <x v="1"/>
    <x v="0"/>
    <x v="0"/>
    <x v="0"/>
    <m/>
    <x v="0"/>
    <x v="0"/>
    <n v="-0.15385820400000003"/>
    <m/>
    <x v="0"/>
    <x v="1"/>
    <x v="0"/>
    <x v="4"/>
    <x v="0"/>
  </r>
  <r>
    <s v="Singapore"/>
    <x v="1"/>
    <s v="SG3"/>
    <m/>
    <x v="0"/>
    <x v="1"/>
    <x v="3"/>
    <x v="4"/>
    <x v="0"/>
    <x v="0"/>
    <x v="0"/>
    <m/>
    <x v="0"/>
    <x v="0"/>
    <n v="-4.6737000000000001E-2"/>
    <m/>
    <x v="0"/>
    <x v="0"/>
    <x v="0"/>
    <x v="1"/>
    <x v="0"/>
  </r>
  <r>
    <s v="Singapore"/>
    <x v="2"/>
    <s v="SG1"/>
    <m/>
    <x v="2"/>
    <x v="3"/>
    <x v="0"/>
    <x v="2"/>
    <x v="0"/>
    <x v="0"/>
    <x v="0"/>
    <m/>
    <x v="0"/>
    <x v="0"/>
    <n v="-3.1158000000000002E-2"/>
    <m/>
    <x v="0"/>
    <x v="1"/>
    <x v="0"/>
    <x v="1"/>
    <x v="0"/>
  </r>
  <r>
    <s v="Singapore"/>
    <x v="3"/>
    <s v="SG3"/>
    <m/>
    <x v="3"/>
    <x v="4"/>
    <x v="3"/>
    <x v="4"/>
    <x v="0"/>
    <x v="0"/>
    <x v="0"/>
    <m/>
    <x v="0"/>
    <x v="0"/>
    <n v="-0.59200200000000003"/>
    <m/>
    <x v="1"/>
    <x v="2"/>
    <x v="0"/>
    <x v="2"/>
    <x v="0"/>
  </r>
  <r>
    <s v="Singapore"/>
    <x v="2"/>
    <s v="SG2"/>
    <m/>
    <x v="4"/>
    <x v="4"/>
    <x v="0"/>
    <x v="5"/>
    <x v="0"/>
    <x v="0"/>
    <x v="0"/>
    <m/>
    <x v="0"/>
    <x v="0"/>
    <n v="1.9344288510000003"/>
    <m/>
    <x v="3"/>
    <x v="2"/>
    <x v="0"/>
    <x v="3"/>
    <x v="0"/>
  </r>
  <r>
    <s v="Singapore"/>
    <x v="1"/>
    <s v="SG1"/>
    <m/>
    <x v="2"/>
    <x v="0"/>
    <x v="0"/>
    <x v="5"/>
    <x v="0"/>
    <x v="0"/>
    <x v="0"/>
    <m/>
    <x v="0"/>
    <x v="0"/>
    <n v="-7.7895000000000004E-3"/>
    <m/>
    <x v="0"/>
    <x v="1"/>
    <x v="0"/>
    <x v="5"/>
    <x v="1"/>
  </r>
  <r>
    <s v="Singapore"/>
    <x v="3"/>
    <s v="SG2"/>
    <m/>
    <x v="5"/>
    <x v="3"/>
    <x v="4"/>
    <x v="0"/>
    <x v="0"/>
    <x v="0"/>
    <x v="0"/>
    <m/>
    <x v="0"/>
    <x v="0"/>
    <n v="-0.77895000000000003"/>
    <m/>
    <x v="4"/>
    <x v="2"/>
    <x v="0"/>
    <x v="5"/>
    <x v="2"/>
  </r>
  <r>
    <s v="Singapore"/>
    <x v="1"/>
    <s v="SG3"/>
    <m/>
    <x v="4"/>
    <x v="3"/>
    <x v="2"/>
    <x v="0"/>
    <x v="0"/>
    <x v="0"/>
    <x v="0"/>
    <m/>
    <x v="0"/>
    <x v="0"/>
    <n v="0.62316000000000005"/>
    <m/>
    <x v="1"/>
    <x v="1"/>
    <x v="0"/>
    <x v="5"/>
    <x v="0"/>
  </r>
  <r>
    <s v="Singapore"/>
    <x v="2"/>
    <s v="SG2"/>
    <m/>
    <x v="1"/>
    <x v="0"/>
    <x v="2"/>
    <x v="0"/>
    <x v="0"/>
    <x v="0"/>
    <x v="0"/>
    <m/>
    <x v="0"/>
    <x v="0"/>
    <n v="0.74467620000000001"/>
    <m/>
    <x v="1"/>
    <x v="1"/>
    <x v="0"/>
    <x v="1"/>
    <x v="1"/>
  </r>
  <r>
    <s v="Singapore"/>
    <x v="1"/>
    <s v="SG3"/>
    <m/>
    <x v="2"/>
    <x v="4"/>
    <x v="4"/>
    <x v="1"/>
    <x v="0"/>
    <x v="0"/>
    <x v="0"/>
    <m/>
    <x v="0"/>
    <x v="0"/>
    <n v="-15.394466744999999"/>
    <m/>
    <x v="7"/>
    <x v="2"/>
    <x v="0"/>
    <x v="2"/>
    <x v="0"/>
  </r>
  <r>
    <s v="Singapore"/>
    <x v="3"/>
    <s v="SG4"/>
    <m/>
    <x v="2"/>
    <x v="3"/>
    <x v="3"/>
    <x v="2"/>
    <x v="0"/>
    <x v="0"/>
    <x v="0"/>
    <m/>
    <x v="0"/>
    <x v="0"/>
    <n v="23.051529666000004"/>
    <m/>
    <x v="7"/>
    <x v="0"/>
    <x v="0"/>
    <x v="3"/>
    <x v="2"/>
  </r>
  <r>
    <s v="Singapore"/>
    <x v="3"/>
    <s v="SG4"/>
    <m/>
    <x v="0"/>
    <x v="4"/>
    <x v="2"/>
    <x v="0"/>
    <x v="0"/>
    <x v="0"/>
    <x v="0"/>
    <m/>
    <x v="0"/>
    <x v="0"/>
    <n v="2.3835870000000002E-2"/>
    <m/>
    <x v="8"/>
    <x v="2"/>
    <x v="0"/>
    <x v="3"/>
    <x v="0"/>
  </r>
  <r>
    <s v="Singapore"/>
    <x v="5"/>
    <s v="SG2"/>
    <m/>
    <x v="5"/>
    <x v="4"/>
    <x v="4"/>
    <x v="2"/>
    <x v="0"/>
    <x v="0"/>
    <x v="0"/>
    <m/>
    <x v="0"/>
    <x v="0"/>
    <n v="-1.5579000000000001E-2"/>
    <m/>
    <x v="0"/>
    <x v="0"/>
    <x v="0"/>
    <x v="4"/>
    <x v="1"/>
  </r>
  <r>
    <s v="Singapore"/>
    <x v="3"/>
    <s v="SG2"/>
    <m/>
    <x v="0"/>
    <x v="4"/>
    <x v="4"/>
    <x v="1"/>
    <x v="0"/>
    <x v="0"/>
    <x v="0"/>
    <m/>
    <x v="0"/>
    <x v="0"/>
    <n v="-0.233685"/>
    <m/>
    <x v="0"/>
    <x v="0"/>
    <x v="0"/>
    <x v="4"/>
    <x v="1"/>
  </r>
  <r>
    <s v="Singapore"/>
    <x v="2"/>
    <s v="SG4"/>
    <m/>
    <x v="1"/>
    <x v="2"/>
    <x v="3"/>
    <x v="0"/>
    <x v="0"/>
    <x v="0"/>
    <x v="0"/>
    <m/>
    <x v="0"/>
    <x v="0"/>
    <n v="0.15579000000000001"/>
    <m/>
    <x v="1"/>
    <x v="0"/>
    <x v="0"/>
    <x v="5"/>
    <x v="0"/>
  </r>
  <r>
    <s v="Singapore"/>
    <x v="0"/>
    <s v="SG2"/>
    <m/>
    <x v="0"/>
    <x v="4"/>
    <x v="3"/>
    <x v="0"/>
    <x v="0"/>
    <x v="0"/>
    <x v="0"/>
    <m/>
    <x v="0"/>
    <x v="0"/>
    <n v="-1.3553730000000002"/>
    <m/>
    <x v="6"/>
    <x v="0"/>
    <x v="0"/>
    <x v="1"/>
    <x v="2"/>
  </r>
  <r>
    <s v="Singapore"/>
    <x v="5"/>
    <s v="SG4"/>
    <m/>
    <x v="2"/>
    <x v="0"/>
    <x v="1"/>
    <x v="5"/>
    <x v="0"/>
    <x v="0"/>
    <x v="0"/>
    <m/>
    <x v="0"/>
    <x v="0"/>
    <n v="0.264843"/>
    <m/>
    <x v="1"/>
    <x v="1"/>
    <x v="0"/>
    <x v="4"/>
    <x v="0"/>
  </r>
  <r>
    <s v="Singapore"/>
    <x v="0"/>
    <s v="SG1"/>
    <m/>
    <x v="1"/>
    <x v="3"/>
    <x v="4"/>
    <x v="0"/>
    <x v="0"/>
    <x v="0"/>
    <x v="0"/>
    <m/>
    <x v="0"/>
    <x v="0"/>
    <n v="2.7263250000000001"/>
    <m/>
    <x v="1"/>
    <x v="0"/>
    <x v="0"/>
    <x v="3"/>
    <x v="2"/>
  </r>
  <r>
    <s v="Singapore"/>
    <x v="3"/>
    <s v="SG2"/>
    <m/>
    <x v="4"/>
    <x v="2"/>
    <x v="4"/>
    <x v="4"/>
    <x v="0"/>
    <x v="0"/>
    <x v="0"/>
    <m/>
    <x v="0"/>
    <x v="0"/>
    <n v="-0.5514966"/>
    <m/>
    <x v="4"/>
    <x v="1"/>
    <x v="0"/>
    <x v="4"/>
    <x v="1"/>
  </r>
  <r>
    <s v="Singapore"/>
    <x v="3"/>
    <s v="SG2"/>
    <m/>
    <x v="1"/>
    <x v="0"/>
    <x v="1"/>
    <x v="1"/>
    <x v="0"/>
    <x v="0"/>
    <x v="0"/>
    <m/>
    <x v="0"/>
    <x v="0"/>
    <n v="1.1450565000000001"/>
    <m/>
    <x v="1"/>
    <x v="3"/>
    <x v="0"/>
    <x v="5"/>
    <x v="1"/>
  </r>
  <r>
    <s v="Singapore"/>
    <x v="5"/>
    <s v="SG3"/>
    <m/>
    <x v="5"/>
    <x v="2"/>
    <x v="4"/>
    <x v="4"/>
    <x v="0"/>
    <x v="0"/>
    <x v="0"/>
    <m/>
    <x v="0"/>
    <x v="0"/>
    <n v="1.2307410000000001"/>
    <m/>
    <x v="1"/>
    <x v="1"/>
    <x v="0"/>
    <x v="2"/>
    <x v="1"/>
  </r>
  <r>
    <s v="Singapore"/>
    <x v="2"/>
    <s v="SG2"/>
    <m/>
    <x v="3"/>
    <x v="4"/>
    <x v="0"/>
    <x v="3"/>
    <x v="0"/>
    <x v="0"/>
    <x v="0"/>
    <m/>
    <x v="0"/>
    <x v="0"/>
    <n v="-0.53747549999999999"/>
    <m/>
    <x v="3"/>
    <x v="1"/>
    <x v="0"/>
    <x v="3"/>
    <x v="1"/>
  </r>
  <r>
    <s v="Singapore"/>
    <x v="3"/>
    <s v="SG4"/>
    <m/>
    <x v="5"/>
    <x v="1"/>
    <x v="0"/>
    <x v="0"/>
    <x v="0"/>
    <x v="0"/>
    <x v="0"/>
    <m/>
    <x v="0"/>
    <x v="0"/>
    <n v="-7.0105500000000003"/>
    <m/>
    <x v="4"/>
    <x v="1"/>
    <x v="0"/>
    <x v="1"/>
    <x v="1"/>
  </r>
  <r>
    <s v="Singapore"/>
    <x v="1"/>
    <s v="SG3"/>
    <m/>
    <x v="5"/>
    <x v="1"/>
    <x v="4"/>
    <x v="5"/>
    <x v="0"/>
    <x v="0"/>
    <x v="0"/>
    <m/>
    <x v="0"/>
    <x v="0"/>
    <n v="1.3008465"/>
    <m/>
    <x v="1"/>
    <x v="3"/>
    <x v="0"/>
    <x v="0"/>
    <x v="1"/>
  </r>
  <r>
    <s v="Singapore"/>
    <x v="2"/>
    <s v="SG3"/>
    <m/>
    <x v="3"/>
    <x v="1"/>
    <x v="4"/>
    <x v="1"/>
    <x v="0"/>
    <x v="0"/>
    <x v="0"/>
    <m/>
    <x v="0"/>
    <x v="0"/>
    <n v="-7.7895000000000004E-3"/>
    <m/>
    <x v="0"/>
    <x v="3"/>
    <x v="0"/>
    <x v="4"/>
    <x v="2"/>
  </r>
  <r>
    <s v="Singapore"/>
    <x v="0"/>
    <s v="SG2"/>
    <m/>
    <x v="4"/>
    <x v="0"/>
    <x v="2"/>
    <x v="0"/>
    <x v="0"/>
    <x v="0"/>
    <x v="0"/>
    <m/>
    <x v="0"/>
    <x v="0"/>
    <n v="-26.091272988000004"/>
    <m/>
    <x v="2"/>
    <x v="1"/>
    <x v="0"/>
    <x v="1"/>
    <x v="1"/>
  </r>
  <r>
    <s v="Singapore"/>
    <x v="3"/>
    <s v="SG1"/>
    <m/>
    <x v="0"/>
    <x v="3"/>
    <x v="3"/>
    <x v="3"/>
    <x v="0"/>
    <x v="0"/>
    <x v="0"/>
    <m/>
    <x v="0"/>
    <x v="0"/>
    <n v="-0.15734790000000001"/>
    <m/>
    <x v="6"/>
    <x v="0"/>
    <x v="0"/>
    <x v="5"/>
    <x v="1"/>
  </r>
  <r>
    <s v="Singapore"/>
    <x v="3"/>
    <s v="SG3"/>
    <m/>
    <x v="0"/>
    <x v="0"/>
    <x v="2"/>
    <x v="0"/>
    <x v="0"/>
    <x v="0"/>
    <x v="0"/>
    <m/>
    <x v="0"/>
    <x v="0"/>
    <n v="-4.6737000000000001E-2"/>
    <m/>
    <x v="0"/>
    <x v="0"/>
    <x v="0"/>
    <x v="3"/>
    <x v="2"/>
  </r>
  <r>
    <s v="Singapore"/>
    <x v="1"/>
    <s v="SG2"/>
    <m/>
    <x v="1"/>
    <x v="3"/>
    <x v="2"/>
    <x v="5"/>
    <x v="0"/>
    <x v="0"/>
    <x v="0"/>
    <m/>
    <x v="0"/>
    <x v="0"/>
    <n v="106.01384868"/>
    <m/>
    <x v="5"/>
    <x v="0"/>
    <x v="0"/>
    <x v="2"/>
    <x v="0"/>
  </r>
  <r>
    <s v="Singapore"/>
    <x v="1"/>
    <s v="SG4"/>
    <m/>
    <x v="2"/>
    <x v="2"/>
    <x v="1"/>
    <x v="2"/>
    <x v="0"/>
    <x v="0"/>
    <x v="0"/>
    <m/>
    <x v="0"/>
    <x v="0"/>
    <n v="0.85684500000000008"/>
    <m/>
    <x v="1"/>
    <x v="2"/>
    <x v="0"/>
    <x v="0"/>
    <x v="2"/>
  </r>
  <r>
    <s v="Singapore"/>
    <x v="3"/>
    <s v="SG2"/>
    <m/>
    <x v="1"/>
    <x v="1"/>
    <x v="3"/>
    <x v="4"/>
    <x v="0"/>
    <x v="0"/>
    <x v="0"/>
    <m/>
    <x v="0"/>
    <x v="0"/>
    <n v="-0.15579000000000001"/>
    <m/>
    <x v="0"/>
    <x v="1"/>
    <x v="0"/>
    <x v="4"/>
    <x v="2"/>
  </r>
  <r>
    <s v="Singapore"/>
    <x v="1"/>
    <s v="SG1"/>
    <m/>
    <x v="3"/>
    <x v="2"/>
    <x v="0"/>
    <x v="3"/>
    <x v="0"/>
    <x v="0"/>
    <x v="0"/>
    <m/>
    <x v="0"/>
    <x v="0"/>
    <n v="-0.77895000000000003"/>
    <m/>
    <x v="4"/>
    <x v="0"/>
    <x v="0"/>
    <x v="0"/>
    <x v="1"/>
  </r>
  <r>
    <s v="Singapore"/>
    <x v="3"/>
    <s v="SG3"/>
    <m/>
    <x v="1"/>
    <x v="3"/>
    <x v="0"/>
    <x v="5"/>
    <x v="0"/>
    <x v="0"/>
    <x v="0"/>
    <m/>
    <x v="0"/>
    <x v="0"/>
    <n v="-2.7560185740000001"/>
    <m/>
    <x v="0"/>
    <x v="0"/>
    <x v="0"/>
    <x v="0"/>
    <x v="1"/>
  </r>
  <r>
    <s v="Singapore"/>
    <x v="3"/>
    <s v="SG4"/>
    <m/>
    <x v="1"/>
    <x v="0"/>
    <x v="3"/>
    <x v="1"/>
    <x v="0"/>
    <x v="0"/>
    <x v="0"/>
    <m/>
    <x v="0"/>
    <x v="0"/>
    <n v="-64.185479999999998"/>
    <m/>
    <x v="6"/>
    <x v="2"/>
    <x v="0"/>
    <x v="5"/>
    <x v="1"/>
  </r>
  <r>
    <s v="Singapore"/>
    <x v="0"/>
    <s v="SG2"/>
    <m/>
    <x v="2"/>
    <x v="1"/>
    <x v="4"/>
    <x v="1"/>
    <x v="0"/>
    <x v="0"/>
    <x v="0"/>
    <m/>
    <x v="0"/>
    <x v="0"/>
    <n v="-4.6737000000000001E-2"/>
    <m/>
    <x v="0"/>
    <x v="3"/>
    <x v="0"/>
    <x v="0"/>
    <x v="2"/>
  </r>
  <r>
    <s v="Singapore"/>
    <x v="5"/>
    <s v="SG2"/>
    <m/>
    <x v="0"/>
    <x v="0"/>
    <x v="0"/>
    <x v="2"/>
    <x v="0"/>
    <x v="0"/>
    <x v="0"/>
    <m/>
    <x v="0"/>
    <x v="0"/>
    <n v="4.855210929000001"/>
    <m/>
    <x v="9"/>
    <x v="3"/>
    <x v="0"/>
    <x v="0"/>
    <x v="1"/>
  </r>
  <r>
    <s v="Singapore"/>
    <x v="2"/>
    <s v="SG2"/>
    <m/>
    <x v="3"/>
    <x v="1"/>
    <x v="1"/>
    <x v="3"/>
    <x v="0"/>
    <x v="0"/>
    <x v="0"/>
    <m/>
    <x v="0"/>
    <x v="0"/>
    <n v="0.1838322"/>
    <m/>
    <x v="4"/>
    <x v="1"/>
    <x v="0"/>
    <x v="2"/>
    <x v="0"/>
  </r>
  <r>
    <s v="Singapore"/>
    <x v="1"/>
    <s v="SG4"/>
    <m/>
    <x v="1"/>
    <x v="4"/>
    <x v="0"/>
    <x v="0"/>
    <x v="0"/>
    <x v="0"/>
    <x v="0"/>
    <m/>
    <x v="0"/>
    <x v="0"/>
    <n v="-3.5987490000000002"/>
    <m/>
    <x v="8"/>
    <x v="3"/>
    <x v="0"/>
    <x v="2"/>
    <x v="2"/>
  </r>
  <r>
    <s v="Singapore"/>
    <x v="2"/>
    <s v="SG3"/>
    <m/>
    <x v="3"/>
    <x v="2"/>
    <x v="2"/>
    <x v="3"/>
    <x v="0"/>
    <x v="0"/>
    <x v="0"/>
    <m/>
    <x v="0"/>
    <x v="0"/>
    <n v="-0.14800050000000001"/>
    <m/>
    <x v="4"/>
    <x v="1"/>
    <x v="0"/>
    <x v="4"/>
    <x v="1"/>
  </r>
  <r>
    <s v="Singapore"/>
    <x v="5"/>
    <s v="SG3"/>
    <m/>
    <x v="4"/>
    <x v="2"/>
    <x v="2"/>
    <x v="1"/>
    <x v="0"/>
    <x v="0"/>
    <x v="0"/>
    <m/>
    <x v="0"/>
    <x v="0"/>
    <n v="-0.44400150000000005"/>
    <m/>
    <x v="1"/>
    <x v="2"/>
    <x v="0"/>
    <x v="3"/>
    <x v="2"/>
  </r>
  <r>
    <s v="Singapore"/>
    <x v="3"/>
    <s v="SG3"/>
    <m/>
    <x v="2"/>
    <x v="2"/>
    <x v="3"/>
    <x v="3"/>
    <x v="0"/>
    <x v="0"/>
    <x v="0"/>
    <m/>
    <x v="0"/>
    <x v="0"/>
    <n v="-3.7389600000000001"/>
    <m/>
    <x v="4"/>
    <x v="0"/>
    <x v="0"/>
    <x v="1"/>
    <x v="2"/>
  </r>
  <r>
    <s v="Singapore"/>
    <x v="3"/>
    <s v="SG1"/>
    <m/>
    <x v="4"/>
    <x v="2"/>
    <x v="3"/>
    <x v="5"/>
    <x v="0"/>
    <x v="0"/>
    <x v="0"/>
    <m/>
    <x v="0"/>
    <x v="0"/>
    <n v="-0.48403953"/>
    <m/>
    <x v="0"/>
    <x v="3"/>
    <x v="0"/>
    <x v="2"/>
    <x v="1"/>
  </r>
  <r>
    <s v="Singapore"/>
    <x v="4"/>
    <s v="SG4"/>
    <m/>
    <x v="2"/>
    <x v="3"/>
    <x v="4"/>
    <x v="2"/>
    <x v="0"/>
    <x v="0"/>
    <x v="0"/>
    <m/>
    <x v="0"/>
    <x v="0"/>
    <n v="4.9889722230000002"/>
    <m/>
    <x v="7"/>
    <x v="2"/>
    <x v="0"/>
    <x v="2"/>
    <x v="0"/>
  </r>
  <r>
    <s v="Singapore"/>
    <x v="0"/>
    <s v="SG2"/>
    <m/>
    <x v="3"/>
    <x v="1"/>
    <x v="2"/>
    <x v="2"/>
    <x v="0"/>
    <x v="0"/>
    <x v="0"/>
    <m/>
    <x v="0"/>
    <x v="0"/>
    <n v="1.1493407250000001"/>
    <m/>
    <x v="1"/>
    <x v="0"/>
    <x v="0"/>
    <x v="3"/>
    <x v="2"/>
  </r>
  <r>
    <s v="Singapore"/>
    <x v="1"/>
    <s v="SG1"/>
    <m/>
    <x v="5"/>
    <x v="4"/>
    <x v="2"/>
    <x v="0"/>
    <x v="0"/>
    <x v="0"/>
    <x v="0"/>
    <m/>
    <x v="0"/>
    <x v="0"/>
    <n v="1.137267"/>
    <m/>
    <x v="1"/>
    <x v="1"/>
    <x v="0"/>
    <x v="5"/>
    <x v="0"/>
  </r>
  <r>
    <s v="Singapore"/>
    <x v="0"/>
    <s v="SG1"/>
    <m/>
    <x v="3"/>
    <x v="1"/>
    <x v="4"/>
    <x v="3"/>
    <x v="0"/>
    <x v="0"/>
    <x v="0"/>
    <m/>
    <x v="0"/>
    <x v="0"/>
    <n v="10.690309800000001"/>
    <m/>
    <x v="1"/>
    <x v="3"/>
    <x v="0"/>
    <x v="1"/>
    <x v="0"/>
  </r>
  <r>
    <s v="Singapore"/>
    <x v="3"/>
    <s v="SG1"/>
    <m/>
    <x v="5"/>
    <x v="3"/>
    <x v="1"/>
    <x v="2"/>
    <x v="0"/>
    <x v="0"/>
    <x v="0"/>
    <m/>
    <x v="0"/>
    <x v="0"/>
    <n v="-0.1838322"/>
    <m/>
    <x v="4"/>
    <x v="1"/>
    <x v="0"/>
    <x v="1"/>
    <x v="2"/>
  </r>
  <r>
    <s v="Singapore"/>
    <x v="0"/>
    <s v="SG4"/>
    <m/>
    <x v="0"/>
    <x v="0"/>
    <x v="1"/>
    <x v="1"/>
    <x v="0"/>
    <x v="0"/>
    <x v="0"/>
    <m/>
    <x v="0"/>
    <x v="0"/>
    <n v="1.7837955000000001"/>
    <m/>
    <x v="1"/>
    <x v="3"/>
    <x v="0"/>
    <x v="2"/>
    <x v="1"/>
  </r>
  <r>
    <s v="Singapore"/>
    <x v="0"/>
    <s v="SG4"/>
    <m/>
    <x v="5"/>
    <x v="0"/>
    <x v="1"/>
    <x v="4"/>
    <x v="0"/>
    <x v="0"/>
    <x v="0"/>
    <m/>
    <x v="0"/>
    <x v="0"/>
    <n v="0.1838322"/>
    <m/>
    <x v="4"/>
    <x v="1"/>
    <x v="0"/>
    <x v="3"/>
    <x v="2"/>
  </r>
  <r>
    <s v="Singapore"/>
    <x v="5"/>
    <s v="SG4"/>
    <m/>
    <x v="3"/>
    <x v="0"/>
    <x v="3"/>
    <x v="1"/>
    <x v="0"/>
    <x v="0"/>
    <x v="0"/>
    <m/>
    <x v="0"/>
    <x v="0"/>
    <n v="0.21031650000000002"/>
    <m/>
    <x v="1"/>
    <x v="0"/>
    <x v="0"/>
    <x v="0"/>
    <x v="2"/>
  </r>
  <r>
    <s v="Singapore"/>
    <x v="5"/>
    <s v="SG1"/>
    <m/>
    <x v="4"/>
    <x v="2"/>
    <x v="1"/>
    <x v="0"/>
    <x v="0"/>
    <x v="0"/>
    <x v="0"/>
    <m/>
    <x v="0"/>
    <x v="0"/>
    <n v="-0.15579000000000001"/>
    <m/>
    <x v="4"/>
    <x v="3"/>
    <x v="0"/>
    <x v="2"/>
    <x v="1"/>
  </r>
  <r>
    <s v="Singapore"/>
    <x v="2"/>
    <s v="SG1"/>
    <m/>
    <x v="5"/>
    <x v="3"/>
    <x v="1"/>
    <x v="2"/>
    <x v="0"/>
    <x v="0"/>
    <x v="0"/>
    <m/>
    <x v="0"/>
    <x v="0"/>
    <n v="-152.32273776"/>
    <m/>
    <x v="2"/>
    <x v="1"/>
    <x v="0"/>
    <x v="2"/>
    <x v="0"/>
  </r>
  <r>
    <s v="Singapore"/>
    <x v="1"/>
    <s v="SG4"/>
    <m/>
    <x v="0"/>
    <x v="4"/>
    <x v="3"/>
    <x v="2"/>
    <x v="0"/>
    <x v="0"/>
    <x v="0"/>
    <m/>
    <x v="0"/>
    <x v="0"/>
    <n v="0.98147700000000004"/>
    <m/>
    <x v="1"/>
    <x v="3"/>
    <x v="0"/>
    <x v="3"/>
    <x v="0"/>
  </r>
  <r>
    <s v="Singapore"/>
    <x v="4"/>
    <s v="SG3"/>
    <m/>
    <x v="0"/>
    <x v="3"/>
    <x v="1"/>
    <x v="2"/>
    <x v="0"/>
    <x v="0"/>
    <x v="0"/>
    <m/>
    <x v="0"/>
    <x v="0"/>
    <n v="-0.25544886300000003"/>
    <m/>
    <x v="0"/>
    <x v="2"/>
    <x v="0"/>
    <x v="1"/>
    <x v="0"/>
  </r>
  <r>
    <s v="Singapore"/>
    <x v="5"/>
    <s v="SG4"/>
    <m/>
    <x v="1"/>
    <x v="1"/>
    <x v="3"/>
    <x v="3"/>
    <x v="0"/>
    <x v="0"/>
    <x v="0"/>
    <m/>
    <x v="0"/>
    <x v="0"/>
    <n v="-0.11213764200000001"/>
    <m/>
    <x v="0"/>
    <x v="1"/>
    <x v="0"/>
    <x v="1"/>
    <x v="0"/>
  </r>
  <r>
    <s v="Singapore"/>
    <x v="4"/>
    <s v="SG3"/>
    <m/>
    <x v="1"/>
    <x v="0"/>
    <x v="2"/>
    <x v="5"/>
    <x v="0"/>
    <x v="0"/>
    <x v="0"/>
    <m/>
    <x v="0"/>
    <x v="0"/>
    <n v="0.74467620000000001"/>
    <m/>
    <x v="1"/>
    <x v="1"/>
    <x v="0"/>
    <x v="3"/>
    <x v="1"/>
  </r>
  <r>
    <s v="Singapore"/>
    <x v="1"/>
    <s v="SG3"/>
    <m/>
    <x v="2"/>
    <x v="4"/>
    <x v="1"/>
    <x v="3"/>
    <x v="0"/>
    <x v="0"/>
    <x v="0"/>
    <m/>
    <x v="0"/>
    <x v="0"/>
    <n v="-1.1310354"/>
    <m/>
    <x v="3"/>
    <x v="3"/>
    <x v="0"/>
    <x v="0"/>
    <x v="2"/>
  </r>
  <r>
    <s v="Singapore"/>
    <x v="1"/>
    <s v="SG2"/>
    <m/>
    <x v="0"/>
    <x v="0"/>
    <x v="2"/>
    <x v="3"/>
    <x v="0"/>
    <x v="0"/>
    <x v="0"/>
    <m/>
    <x v="0"/>
    <x v="0"/>
    <n v="-0.12463200000000001"/>
    <m/>
    <x v="0"/>
    <x v="1"/>
    <x v="0"/>
    <x v="5"/>
    <x v="2"/>
  </r>
  <r>
    <s v="Singapore"/>
    <x v="2"/>
    <s v="SG3"/>
    <m/>
    <x v="0"/>
    <x v="0"/>
    <x v="3"/>
    <x v="2"/>
    <x v="0"/>
    <x v="0"/>
    <x v="0"/>
    <m/>
    <x v="0"/>
    <x v="0"/>
    <n v="1.0801232280000002"/>
    <m/>
    <x v="1"/>
    <x v="1"/>
    <x v="0"/>
    <x v="5"/>
    <x v="1"/>
  </r>
  <r>
    <s v="Singapore"/>
    <x v="0"/>
    <s v="SG1"/>
    <m/>
    <x v="4"/>
    <x v="4"/>
    <x v="4"/>
    <x v="1"/>
    <x v="0"/>
    <x v="0"/>
    <x v="0"/>
    <m/>
    <x v="0"/>
    <x v="0"/>
    <n v="-0.31158000000000002"/>
    <m/>
    <x v="4"/>
    <x v="0"/>
    <x v="0"/>
    <x v="4"/>
    <x v="2"/>
  </r>
  <r>
    <s v="Singapore"/>
    <x v="3"/>
    <s v="SG2"/>
    <m/>
    <x v="4"/>
    <x v="0"/>
    <x v="0"/>
    <x v="3"/>
    <x v="0"/>
    <x v="0"/>
    <x v="0"/>
    <m/>
    <x v="0"/>
    <x v="0"/>
    <n v="0.20984912999999999"/>
    <m/>
    <x v="0"/>
    <x v="1"/>
    <x v="0"/>
    <x v="3"/>
    <x v="1"/>
  </r>
  <r>
    <s v="Singapore"/>
    <x v="0"/>
    <s v="SG4"/>
    <m/>
    <x v="5"/>
    <x v="1"/>
    <x v="2"/>
    <x v="0"/>
    <x v="0"/>
    <x v="0"/>
    <x v="0"/>
    <m/>
    <x v="0"/>
    <x v="0"/>
    <n v="1.3008465"/>
    <m/>
    <x v="1"/>
    <x v="1"/>
    <x v="0"/>
    <x v="4"/>
    <x v="2"/>
  </r>
  <r>
    <s v="Singapore"/>
    <x v="4"/>
    <s v="SG1"/>
    <m/>
    <x v="0"/>
    <x v="3"/>
    <x v="3"/>
    <x v="4"/>
    <x v="0"/>
    <x v="0"/>
    <x v="0"/>
    <m/>
    <x v="0"/>
    <x v="0"/>
    <n v="-1.436477274"/>
    <m/>
    <x v="4"/>
    <x v="1"/>
    <x v="0"/>
    <x v="1"/>
    <x v="0"/>
  </r>
  <r>
    <s v="Singapore"/>
    <x v="3"/>
    <s v="SG1"/>
    <m/>
    <x v="0"/>
    <x v="2"/>
    <x v="0"/>
    <x v="0"/>
    <x v="0"/>
    <x v="0"/>
    <x v="0"/>
    <m/>
    <x v="0"/>
    <x v="0"/>
    <n v="1.0801232280000002"/>
    <m/>
    <x v="1"/>
    <x v="2"/>
    <x v="0"/>
    <x v="5"/>
    <x v="1"/>
  </r>
  <r>
    <s v="Singapore"/>
    <x v="1"/>
    <s v="SG1"/>
    <m/>
    <x v="4"/>
    <x v="0"/>
    <x v="0"/>
    <x v="4"/>
    <x v="0"/>
    <x v="0"/>
    <x v="0"/>
    <m/>
    <x v="0"/>
    <x v="0"/>
    <n v="-181.36573272000001"/>
    <m/>
    <x v="3"/>
    <x v="1"/>
    <x v="0"/>
    <x v="0"/>
    <x v="2"/>
  </r>
  <r>
    <s v="Singapore"/>
    <x v="3"/>
    <s v="SG1"/>
    <m/>
    <x v="1"/>
    <x v="4"/>
    <x v="2"/>
    <x v="2"/>
    <x v="0"/>
    <x v="0"/>
    <x v="0"/>
    <m/>
    <x v="0"/>
    <x v="0"/>
    <n v="-0.1838322"/>
    <m/>
    <x v="4"/>
    <x v="2"/>
    <x v="0"/>
    <x v="0"/>
    <x v="1"/>
  </r>
  <r>
    <s v="Singapore"/>
    <x v="2"/>
    <s v="SG4"/>
    <m/>
    <x v="2"/>
    <x v="4"/>
    <x v="4"/>
    <x v="5"/>
    <x v="0"/>
    <x v="0"/>
    <x v="0"/>
    <m/>
    <x v="0"/>
    <x v="0"/>
    <n v="-111.99384783000001"/>
    <m/>
    <x v="2"/>
    <x v="3"/>
    <x v="0"/>
    <x v="0"/>
    <x v="2"/>
  </r>
  <r>
    <s v="Singapore"/>
    <x v="4"/>
    <s v="SG2"/>
    <m/>
    <x v="5"/>
    <x v="2"/>
    <x v="2"/>
    <x v="4"/>
    <x v="0"/>
    <x v="0"/>
    <x v="0"/>
    <m/>
    <x v="0"/>
    <x v="0"/>
    <n v="-0.24926400000000001"/>
    <m/>
    <x v="0"/>
    <x v="1"/>
    <x v="0"/>
    <x v="2"/>
    <x v="1"/>
  </r>
  <r>
    <s v="Singapore"/>
    <x v="0"/>
    <s v="SG4"/>
    <m/>
    <x v="3"/>
    <x v="3"/>
    <x v="4"/>
    <x v="1"/>
    <x v="0"/>
    <x v="0"/>
    <x v="0"/>
    <m/>
    <x v="0"/>
    <x v="0"/>
    <n v="1.4831208"/>
    <m/>
    <x v="1"/>
    <x v="3"/>
    <x v="0"/>
    <x v="3"/>
    <x v="1"/>
  </r>
  <r>
    <s v="Singapore"/>
    <x v="0"/>
    <s v="SG1"/>
    <m/>
    <x v="0"/>
    <x v="3"/>
    <x v="3"/>
    <x v="1"/>
    <x v="0"/>
    <x v="0"/>
    <x v="0"/>
    <m/>
    <x v="0"/>
    <x v="0"/>
    <n v="2.96001"/>
    <m/>
    <x v="1"/>
    <x v="0"/>
    <x v="0"/>
    <x v="3"/>
    <x v="1"/>
  </r>
  <r>
    <s v="Singapore"/>
    <x v="0"/>
    <s v="SG1"/>
    <m/>
    <x v="3"/>
    <x v="2"/>
    <x v="1"/>
    <x v="3"/>
    <x v="0"/>
    <x v="0"/>
    <x v="0"/>
    <m/>
    <x v="0"/>
    <x v="0"/>
    <n v="-22.438511595000001"/>
    <m/>
    <x v="7"/>
    <x v="0"/>
    <x v="0"/>
    <x v="2"/>
    <x v="2"/>
  </r>
  <r>
    <s v="Singapore"/>
    <x v="3"/>
    <s v="SG3"/>
    <m/>
    <x v="3"/>
    <x v="4"/>
    <x v="0"/>
    <x v="1"/>
    <x v="0"/>
    <x v="0"/>
    <x v="0"/>
    <m/>
    <x v="0"/>
    <x v="0"/>
    <n v="-0.77895000000000003"/>
    <m/>
    <x v="4"/>
    <x v="3"/>
    <x v="0"/>
    <x v="1"/>
    <x v="1"/>
  </r>
  <r>
    <s v="Singapore"/>
    <x v="4"/>
    <s v="SG2"/>
    <m/>
    <x v="0"/>
    <x v="1"/>
    <x v="3"/>
    <x v="5"/>
    <x v="0"/>
    <x v="0"/>
    <x v="0"/>
    <m/>
    <x v="0"/>
    <x v="0"/>
    <n v="-0.74779200000000001"/>
    <m/>
    <x v="4"/>
    <x v="3"/>
    <x v="0"/>
    <x v="1"/>
    <x v="1"/>
  </r>
  <r>
    <s v="Singapore"/>
    <x v="1"/>
    <s v="SG3"/>
    <m/>
    <x v="2"/>
    <x v="2"/>
    <x v="2"/>
    <x v="3"/>
    <x v="0"/>
    <x v="0"/>
    <x v="0"/>
    <m/>
    <x v="0"/>
    <x v="0"/>
    <n v="-0.21810600000000002"/>
    <m/>
    <x v="4"/>
    <x v="3"/>
    <x v="0"/>
    <x v="4"/>
    <x v="1"/>
  </r>
  <r>
    <s v="Singapore"/>
    <x v="3"/>
    <s v="SG1"/>
    <m/>
    <x v="4"/>
    <x v="3"/>
    <x v="0"/>
    <x v="1"/>
    <x v="0"/>
    <x v="0"/>
    <x v="0"/>
    <m/>
    <x v="0"/>
    <x v="0"/>
    <n v="1.2463200000000001E-2"/>
    <m/>
    <x v="6"/>
    <x v="3"/>
    <x v="0"/>
    <x v="1"/>
    <x v="0"/>
  </r>
  <r>
    <s v="Singapore"/>
    <x v="0"/>
    <s v="SG4"/>
    <m/>
    <x v="2"/>
    <x v="1"/>
    <x v="0"/>
    <x v="4"/>
    <x v="0"/>
    <x v="0"/>
    <x v="0"/>
    <m/>
    <x v="0"/>
    <x v="0"/>
    <n v="-0.21810600000000002"/>
    <m/>
    <x v="4"/>
    <x v="2"/>
    <x v="0"/>
    <x v="1"/>
    <x v="2"/>
  </r>
  <r>
    <s v="Singapore"/>
    <x v="5"/>
    <s v="SG4"/>
    <m/>
    <x v="1"/>
    <x v="4"/>
    <x v="4"/>
    <x v="3"/>
    <x v="0"/>
    <x v="0"/>
    <x v="0"/>
    <m/>
    <x v="0"/>
    <x v="0"/>
    <n v="-3.3105375000000001"/>
    <m/>
    <x v="3"/>
    <x v="3"/>
    <x v="0"/>
    <x v="4"/>
    <x v="2"/>
  </r>
  <r>
    <s v="Singapore"/>
    <x v="5"/>
    <s v="SG4"/>
    <m/>
    <x v="2"/>
    <x v="1"/>
    <x v="4"/>
    <x v="1"/>
    <x v="0"/>
    <x v="0"/>
    <x v="0"/>
    <m/>
    <x v="0"/>
    <x v="0"/>
    <n v="-1.8694800000000001E-2"/>
    <m/>
    <x v="3"/>
    <x v="2"/>
    <x v="0"/>
    <x v="0"/>
    <x v="1"/>
  </r>
  <r>
    <s v="Singapore"/>
    <x v="5"/>
    <s v="SG1"/>
    <m/>
    <x v="5"/>
    <x v="1"/>
    <x v="1"/>
    <x v="3"/>
    <x v="0"/>
    <x v="0"/>
    <x v="0"/>
    <m/>
    <x v="0"/>
    <x v="0"/>
    <n v="-0.71878390200000009"/>
    <m/>
    <x v="0"/>
    <x v="3"/>
    <x v="0"/>
    <x v="0"/>
    <x v="0"/>
  </r>
  <r>
    <s v="Singapore"/>
    <x v="2"/>
    <s v="SG3"/>
    <m/>
    <x v="3"/>
    <x v="1"/>
    <x v="0"/>
    <x v="3"/>
    <x v="0"/>
    <x v="0"/>
    <x v="0"/>
    <m/>
    <x v="0"/>
    <x v="0"/>
    <n v="1.0801232280000002"/>
    <m/>
    <x v="1"/>
    <x v="3"/>
    <x v="0"/>
    <x v="0"/>
    <x v="1"/>
  </r>
  <r>
    <s v="Singapore"/>
    <x v="0"/>
    <s v="SG1"/>
    <m/>
    <x v="3"/>
    <x v="4"/>
    <x v="2"/>
    <x v="3"/>
    <x v="0"/>
    <x v="0"/>
    <x v="0"/>
    <m/>
    <x v="0"/>
    <x v="0"/>
    <n v="2.7263250000000001"/>
    <m/>
    <x v="1"/>
    <x v="2"/>
    <x v="0"/>
    <x v="5"/>
    <x v="1"/>
  </r>
  <r>
    <s v="Singapore"/>
    <x v="0"/>
    <s v="SG4"/>
    <m/>
    <x v="4"/>
    <x v="3"/>
    <x v="2"/>
    <x v="4"/>
    <x v="0"/>
    <x v="0"/>
    <x v="0"/>
    <m/>
    <x v="0"/>
    <x v="0"/>
    <n v="-0.233685"/>
    <m/>
    <x v="0"/>
    <x v="0"/>
    <x v="0"/>
    <x v="0"/>
    <x v="2"/>
  </r>
  <r>
    <s v="Singapore"/>
    <x v="0"/>
    <s v="SG3"/>
    <m/>
    <x v="2"/>
    <x v="4"/>
    <x v="0"/>
    <x v="1"/>
    <x v="0"/>
    <x v="0"/>
    <x v="0"/>
    <m/>
    <x v="0"/>
    <x v="0"/>
    <n v="-0.280422"/>
    <m/>
    <x v="0"/>
    <x v="1"/>
    <x v="0"/>
    <x v="1"/>
    <x v="1"/>
  </r>
  <r>
    <s v="Singapore"/>
    <x v="2"/>
    <s v="SG1"/>
    <m/>
    <x v="4"/>
    <x v="2"/>
    <x v="3"/>
    <x v="0"/>
    <x v="0"/>
    <x v="0"/>
    <x v="0"/>
    <m/>
    <x v="0"/>
    <x v="0"/>
    <n v="-41.210007011999998"/>
    <m/>
    <x v="6"/>
    <x v="0"/>
    <x v="0"/>
    <x v="3"/>
    <x v="2"/>
  </r>
  <r>
    <s v="Singapore"/>
    <x v="5"/>
    <s v="SG2"/>
    <m/>
    <x v="1"/>
    <x v="1"/>
    <x v="0"/>
    <x v="5"/>
    <x v="0"/>
    <x v="0"/>
    <x v="0"/>
    <m/>
    <x v="0"/>
    <x v="0"/>
    <n v="-5.8421250000000002"/>
    <m/>
    <x v="4"/>
    <x v="1"/>
    <x v="0"/>
    <x v="5"/>
    <x v="0"/>
  </r>
  <r>
    <s v="Singapore"/>
    <x v="5"/>
    <s v="SG2"/>
    <m/>
    <x v="2"/>
    <x v="0"/>
    <x v="3"/>
    <x v="3"/>
    <x v="0"/>
    <x v="0"/>
    <x v="0"/>
    <m/>
    <x v="0"/>
    <x v="0"/>
    <n v="1.2838498110000001"/>
    <m/>
    <x v="1"/>
    <x v="0"/>
    <x v="0"/>
    <x v="2"/>
    <x v="2"/>
  </r>
  <r>
    <s v="Singapore"/>
    <x v="0"/>
    <s v="SG1"/>
    <m/>
    <x v="3"/>
    <x v="3"/>
    <x v="0"/>
    <x v="4"/>
    <x v="0"/>
    <x v="0"/>
    <x v="0"/>
    <m/>
    <x v="0"/>
    <x v="0"/>
    <n v="-0.15579000000000001"/>
    <m/>
    <x v="0"/>
    <x v="3"/>
    <x v="0"/>
    <x v="0"/>
    <x v="1"/>
  </r>
  <r>
    <s v="Singapore"/>
    <x v="4"/>
    <s v="SG4"/>
    <m/>
    <x v="0"/>
    <x v="1"/>
    <x v="1"/>
    <x v="5"/>
    <x v="0"/>
    <x v="0"/>
    <x v="0"/>
    <m/>
    <x v="0"/>
    <x v="0"/>
    <n v="0.17984397600000002"/>
    <m/>
    <x v="1"/>
    <x v="0"/>
    <x v="0"/>
    <x v="4"/>
    <x v="0"/>
  </r>
  <r>
    <s v="Singapore"/>
    <x v="0"/>
    <s v="SG1"/>
    <m/>
    <x v="1"/>
    <x v="1"/>
    <x v="3"/>
    <x v="0"/>
    <x v="0"/>
    <x v="0"/>
    <x v="0"/>
    <m/>
    <x v="0"/>
    <x v="0"/>
    <n v="-0.65431800000000007"/>
    <m/>
    <x v="4"/>
    <x v="1"/>
    <x v="0"/>
    <x v="2"/>
    <x v="2"/>
  </r>
  <r>
    <s v="Singapore"/>
    <x v="0"/>
    <s v="SG3"/>
    <m/>
    <x v="1"/>
    <x v="0"/>
    <x v="2"/>
    <x v="0"/>
    <x v="0"/>
    <x v="0"/>
    <x v="0"/>
    <m/>
    <x v="0"/>
    <x v="0"/>
    <n v="-1.012635"/>
    <m/>
    <x v="2"/>
    <x v="0"/>
    <x v="0"/>
    <x v="3"/>
    <x v="0"/>
  </r>
  <r>
    <s v="Singapore"/>
    <x v="3"/>
    <s v="SG4"/>
    <m/>
    <x v="1"/>
    <x v="1"/>
    <x v="2"/>
    <x v="4"/>
    <x v="0"/>
    <x v="0"/>
    <x v="0"/>
    <m/>
    <x v="0"/>
    <x v="0"/>
    <n v="-0.12463200000000001"/>
    <m/>
    <x v="4"/>
    <x v="3"/>
    <x v="0"/>
    <x v="3"/>
    <x v="2"/>
  </r>
  <r>
    <s v="Singapore"/>
    <x v="4"/>
    <s v="SG4"/>
    <m/>
    <x v="5"/>
    <x v="0"/>
    <x v="0"/>
    <x v="5"/>
    <x v="0"/>
    <x v="0"/>
    <x v="0"/>
    <m/>
    <x v="0"/>
    <x v="0"/>
    <n v="7.0105500000000001E-2"/>
    <m/>
    <x v="1"/>
    <x v="0"/>
    <x v="0"/>
    <x v="2"/>
    <x v="1"/>
  </r>
  <r>
    <s v="Singapore"/>
    <x v="3"/>
    <s v="SG1"/>
    <m/>
    <x v="5"/>
    <x v="1"/>
    <x v="1"/>
    <x v="3"/>
    <x v="0"/>
    <x v="0"/>
    <x v="0"/>
    <m/>
    <x v="0"/>
    <x v="0"/>
    <n v="-0.12073725"/>
    <m/>
    <x v="3"/>
    <x v="0"/>
    <x v="0"/>
    <x v="3"/>
    <x v="1"/>
  </r>
  <r>
    <s v="Singapore"/>
    <x v="1"/>
    <s v="SG3"/>
    <m/>
    <x v="5"/>
    <x v="4"/>
    <x v="0"/>
    <x v="3"/>
    <x v="0"/>
    <x v="0"/>
    <x v="0"/>
    <m/>
    <x v="0"/>
    <x v="0"/>
    <n v="-0.15579000000000001"/>
    <m/>
    <x v="0"/>
    <x v="3"/>
    <x v="0"/>
    <x v="5"/>
    <x v="0"/>
  </r>
  <r>
    <s v="Singapore"/>
    <x v="0"/>
    <s v="SG4"/>
    <m/>
    <x v="5"/>
    <x v="3"/>
    <x v="2"/>
    <x v="2"/>
    <x v="0"/>
    <x v="0"/>
    <x v="0"/>
    <m/>
    <x v="0"/>
    <x v="0"/>
    <n v="-7.7895000000000004E-3"/>
    <m/>
    <x v="0"/>
    <x v="2"/>
    <x v="0"/>
    <x v="1"/>
    <x v="1"/>
  </r>
  <r>
    <s v="Singapore"/>
    <x v="4"/>
    <s v="SG1"/>
    <m/>
    <x v="5"/>
    <x v="1"/>
    <x v="1"/>
    <x v="1"/>
    <x v="0"/>
    <x v="0"/>
    <x v="0"/>
    <m/>
    <x v="0"/>
    <x v="0"/>
    <n v="-0.24926400000000001"/>
    <m/>
    <x v="0"/>
    <x v="2"/>
    <x v="0"/>
    <x v="2"/>
    <x v="0"/>
  </r>
  <r>
    <s v="Singapore"/>
    <x v="1"/>
    <s v="SG3"/>
    <m/>
    <x v="3"/>
    <x v="1"/>
    <x v="1"/>
    <x v="5"/>
    <x v="0"/>
    <x v="0"/>
    <x v="0"/>
    <m/>
    <x v="0"/>
    <x v="0"/>
    <n v="-0.77895000000000003"/>
    <m/>
    <x v="4"/>
    <x v="3"/>
    <x v="0"/>
    <x v="4"/>
    <x v="0"/>
  </r>
  <r>
    <s v="Singapore"/>
    <x v="3"/>
    <s v="SG2"/>
    <m/>
    <x v="4"/>
    <x v="0"/>
    <x v="0"/>
    <x v="0"/>
    <x v="0"/>
    <x v="0"/>
    <x v="0"/>
    <m/>
    <x v="0"/>
    <x v="0"/>
    <n v="-0.30379050000000002"/>
    <m/>
    <x v="0"/>
    <x v="0"/>
    <x v="0"/>
    <x v="5"/>
    <x v="1"/>
  </r>
  <r>
    <s v="Singapore"/>
    <x v="2"/>
    <s v="SG2"/>
    <m/>
    <x v="4"/>
    <x v="3"/>
    <x v="2"/>
    <x v="4"/>
    <x v="0"/>
    <x v="0"/>
    <x v="0"/>
    <m/>
    <x v="0"/>
    <x v="0"/>
    <n v="-4.8933639000000001E-2"/>
    <m/>
    <x v="3"/>
    <x v="1"/>
    <x v="0"/>
    <x v="3"/>
    <x v="1"/>
  </r>
  <r>
    <s v="Singapore"/>
    <x v="5"/>
    <s v="SG1"/>
    <m/>
    <x v="0"/>
    <x v="3"/>
    <x v="4"/>
    <x v="3"/>
    <x v="0"/>
    <x v="0"/>
    <x v="0"/>
    <m/>
    <x v="0"/>
    <x v="0"/>
    <n v="-4.8606480000000003"/>
    <m/>
    <x v="1"/>
    <x v="0"/>
    <x v="0"/>
    <x v="1"/>
    <x v="2"/>
  </r>
  <r>
    <s v="Singapore"/>
    <x v="1"/>
    <s v="SG2"/>
    <m/>
    <x v="1"/>
    <x v="2"/>
    <x v="2"/>
    <x v="5"/>
    <x v="0"/>
    <x v="0"/>
    <x v="0"/>
    <m/>
    <x v="0"/>
    <x v="0"/>
    <n v="-1.1139608160000001"/>
    <m/>
    <x v="0"/>
    <x v="0"/>
    <x v="0"/>
    <x v="0"/>
    <x v="2"/>
  </r>
  <r>
    <s v="Singapore"/>
    <x v="0"/>
    <s v="SG1"/>
    <m/>
    <x v="0"/>
    <x v="2"/>
    <x v="3"/>
    <x v="1"/>
    <x v="0"/>
    <x v="0"/>
    <x v="0"/>
    <m/>
    <x v="0"/>
    <x v="0"/>
    <n v="1.6202160000000001"/>
    <m/>
    <x v="1"/>
    <x v="2"/>
    <x v="0"/>
    <x v="3"/>
    <x v="2"/>
  </r>
  <r>
    <s v="Singapore"/>
    <x v="3"/>
    <s v="SG2"/>
    <m/>
    <x v="2"/>
    <x v="0"/>
    <x v="2"/>
    <x v="4"/>
    <x v="0"/>
    <x v="0"/>
    <x v="0"/>
    <m/>
    <x v="0"/>
    <x v="0"/>
    <n v="-0.140211"/>
    <m/>
    <x v="0"/>
    <x v="1"/>
    <x v="0"/>
    <x v="3"/>
    <x v="2"/>
  </r>
  <r>
    <s v="Singapore"/>
    <x v="5"/>
    <s v="SG4"/>
    <m/>
    <x v="2"/>
    <x v="2"/>
    <x v="3"/>
    <x v="1"/>
    <x v="0"/>
    <x v="0"/>
    <x v="0"/>
    <m/>
    <x v="0"/>
    <x v="0"/>
    <n v="1.9473750000000001"/>
    <m/>
    <x v="1"/>
    <x v="3"/>
    <x v="0"/>
    <x v="2"/>
    <x v="1"/>
  </r>
  <r>
    <s v="Singapore"/>
    <x v="0"/>
    <s v="SG2"/>
    <m/>
    <x v="3"/>
    <x v="3"/>
    <x v="3"/>
    <x v="5"/>
    <x v="0"/>
    <x v="0"/>
    <x v="0"/>
    <m/>
    <x v="0"/>
    <x v="0"/>
    <n v="0.1838322"/>
    <m/>
    <x v="4"/>
    <x v="1"/>
    <x v="0"/>
    <x v="3"/>
    <x v="0"/>
  </r>
  <r>
    <s v="Singapore"/>
    <x v="1"/>
    <s v="SG2"/>
    <m/>
    <x v="1"/>
    <x v="2"/>
    <x v="1"/>
    <x v="1"/>
    <x v="0"/>
    <x v="0"/>
    <x v="0"/>
    <m/>
    <x v="0"/>
    <x v="0"/>
    <n v="-2.2932288000000001"/>
    <m/>
    <x v="6"/>
    <x v="0"/>
    <x v="0"/>
    <x v="0"/>
    <x v="1"/>
  </r>
  <r>
    <s v="Singapore"/>
    <x v="2"/>
    <s v="SG1"/>
    <m/>
    <x v="5"/>
    <x v="0"/>
    <x v="0"/>
    <x v="2"/>
    <x v="0"/>
    <x v="0"/>
    <x v="0"/>
    <m/>
    <x v="0"/>
    <x v="0"/>
    <n v="-16.202159999999999"/>
    <m/>
    <x v="4"/>
    <x v="1"/>
    <x v="0"/>
    <x v="2"/>
    <x v="2"/>
  </r>
  <r>
    <s v="Singapore"/>
    <x v="5"/>
    <s v="SG2"/>
    <m/>
    <x v="3"/>
    <x v="2"/>
    <x v="0"/>
    <x v="5"/>
    <x v="0"/>
    <x v="0"/>
    <x v="0"/>
    <m/>
    <x v="0"/>
    <x v="0"/>
    <n v="16.656241113"/>
    <m/>
    <x v="3"/>
    <x v="1"/>
    <x v="0"/>
    <x v="4"/>
    <x v="1"/>
  </r>
  <r>
    <s v="Singapore"/>
    <x v="3"/>
    <s v="SG1"/>
    <m/>
    <x v="4"/>
    <x v="2"/>
    <x v="3"/>
    <x v="1"/>
    <x v="0"/>
    <x v="0"/>
    <x v="0"/>
    <m/>
    <x v="0"/>
    <x v="0"/>
    <n v="-0.17136900000000002"/>
    <m/>
    <x v="8"/>
    <x v="3"/>
    <x v="0"/>
    <x v="2"/>
    <x v="2"/>
  </r>
  <r>
    <s v="Singapore"/>
    <x v="2"/>
    <s v="SG3"/>
    <m/>
    <x v="1"/>
    <x v="3"/>
    <x v="1"/>
    <x v="4"/>
    <x v="0"/>
    <x v="0"/>
    <x v="0"/>
    <m/>
    <x v="0"/>
    <x v="0"/>
    <n v="-0.15579000000000001"/>
    <m/>
    <x v="4"/>
    <x v="0"/>
    <x v="0"/>
    <x v="1"/>
    <x v="2"/>
  </r>
  <r>
    <s v="Singapore"/>
    <x v="0"/>
    <s v="SG1"/>
    <m/>
    <x v="4"/>
    <x v="3"/>
    <x v="4"/>
    <x v="4"/>
    <x v="0"/>
    <x v="0"/>
    <x v="0"/>
    <m/>
    <x v="0"/>
    <x v="0"/>
    <n v="0.37389600000000001"/>
    <m/>
    <x v="1"/>
    <x v="1"/>
    <x v="0"/>
    <x v="4"/>
    <x v="2"/>
  </r>
  <r>
    <s v="Singapore"/>
    <x v="2"/>
    <s v="SG2"/>
    <m/>
    <x v="1"/>
    <x v="3"/>
    <x v="4"/>
    <x v="2"/>
    <x v="0"/>
    <x v="0"/>
    <x v="0"/>
    <m/>
    <x v="0"/>
    <x v="0"/>
    <n v="-9.3474000000000002E-2"/>
    <m/>
    <x v="0"/>
    <x v="0"/>
    <x v="0"/>
    <x v="0"/>
    <x v="1"/>
  </r>
  <r>
    <s v="Singapore"/>
    <x v="0"/>
    <s v="SG4"/>
    <m/>
    <x v="0"/>
    <x v="3"/>
    <x v="0"/>
    <x v="5"/>
    <x v="0"/>
    <x v="0"/>
    <x v="0"/>
    <m/>
    <x v="0"/>
    <x v="0"/>
    <n v="-4.6737000000000001E-2"/>
    <m/>
    <x v="0"/>
    <x v="0"/>
    <x v="0"/>
    <x v="2"/>
    <x v="0"/>
  </r>
  <r>
    <s v="Singapore"/>
    <x v="0"/>
    <s v="SG3"/>
    <m/>
    <x v="3"/>
    <x v="2"/>
    <x v="0"/>
    <x v="0"/>
    <x v="0"/>
    <x v="0"/>
    <x v="0"/>
    <m/>
    <x v="0"/>
    <x v="0"/>
    <n v="-9.3474000000000002E-2"/>
    <m/>
    <x v="0"/>
    <x v="3"/>
    <x v="0"/>
    <x v="1"/>
    <x v="2"/>
  </r>
  <r>
    <s v="Singapore"/>
    <x v="2"/>
    <s v="SG1"/>
    <m/>
    <x v="0"/>
    <x v="1"/>
    <x v="4"/>
    <x v="0"/>
    <x v="0"/>
    <x v="0"/>
    <x v="0"/>
    <m/>
    <x v="0"/>
    <x v="0"/>
    <n v="0.37532926799999999"/>
    <m/>
    <x v="8"/>
    <x v="3"/>
    <x v="0"/>
    <x v="0"/>
    <x v="0"/>
  </r>
  <r>
    <s v="Singapore"/>
    <x v="2"/>
    <s v="SG4"/>
    <m/>
    <x v="3"/>
    <x v="1"/>
    <x v="3"/>
    <x v="4"/>
    <x v="0"/>
    <x v="0"/>
    <x v="0"/>
    <m/>
    <x v="0"/>
    <x v="0"/>
    <n v="-0.10126350000000001"/>
    <m/>
    <x v="0"/>
    <x v="3"/>
    <x v="0"/>
    <x v="2"/>
    <x v="2"/>
  </r>
  <r>
    <s v="Singapore"/>
    <x v="2"/>
    <s v="SG1"/>
    <m/>
    <x v="4"/>
    <x v="3"/>
    <x v="4"/>
    <x v="5"/>
    <x v="0"/>
    <x v="0"/>
    <x v="0"/>
    <m/>
    <x v="0"/>
    <x v="0"/>
    <n v="-954.90866687400012"/>
    <m/>
    <x v="5"/>
    <x v="1"/>
    <x v="0"/>
    <x v="0"/>
    <x v="1"/>
  </r>
  <r>
    <s v="Singapore"/>
    <x v="5"/>
    <s v="SG4"/>
    <m/>
    <x v="4"/>
    <x v="4"/>
    <x v="0"/>
    <x v="1"/>
    <x v="0"/>
    <x v="0"/>
    <x v="0"/>
    <m/>
    <x v="0"/>
    <x v="0"/>
    <n v="-0.12463200000000001"/>
    <m/>
    <x v="0"/>
    <x v="0"/>
    <x v="0"/>
    <x v="4"/>
    <x v="1"/>
  </r>
  <r>
    <s v="Singapore"/>
    <x v="3"/>
    <s v="SG2"/>
    <m/>
    <x v="2"/>
    <x v="0"/>
    <x v="2"/>
    <x v="3"/>
    <x v="0"/>
    <x v="0"/>
    <x v="0"/>
    <m/>
    <x v="0"/>
    <x v="0"/>
    <n v="12.407676444"/>
    <m/>
    <x v="7"/>
    <x v="1"/>
    <x v="0"/>
    <x v="4"/>
    <x v="0"/>
  </r>
  <r>
    <s v="Singapore"/>
    <x v="2"/>
    <s v="SG2"/>
    <m/>
    <x v="4"/>
    <x v="1"/>
    <x v="4"/>
    <x v="1"/>
    <x v="0"/>
    <x v="0"/>
    <x v="0"/>
    <m/>
    <x v="0"/>
    <x v="0"/>
    <n v="-4.6737000000000001E-2"/>
    <m/>
    <x v="0"/>
    <x v="1"/>
    <x v="0"/>
    <x v="5"/>
    <x v="1"/>
  </r>
  <r>
    <s v="Singapore"/>
    <x v="5"/>
    <s v="SG1"/>
    <m/>
    <x v="4"/>
    <x v="4"/>
    <x v="3"/>
    <x v="5"/>
    <x v="0"/>
    <x v="0"/>
    <x v="0"/>
    <m/>
    <x v="0"/>
    <x v="0"/>
    <n v="86.743030734000001"/>
    <m/>
    <x v="5"/>
    <x v="3"/>
    <x v="0"/>
    <x v="4"/>
    <x v="2"/>
  </r>
  <r>
    <s v="Singapore"/>
    <x v="3"/>
    <s v="SG2"/>
    <m/>
    <x v="1"/>
    <x v="4"/>
    <x v="4"/>
    <x v="5"/>
    <x v="0"/>
    <x v="0"/>
    <x v="0"/>
    <m/>
    <x v="0"/>
    <x v="0"/>
    <n v="-1.5579000000000001E-2"/>
    <m/>
    <x v="0"/>
    <x v="2"/>
    <x v="0"/>
    <x v="4"/>
    <x v="0"/>
  </r>
  <r>
    <s v="Singapore"/>
    <x v="2"/>
    <s v="SG1"/>
    <m/>
    <x v="0"/>
    <x v="2"/>
    <x v="4"/>
    <x v="2"/>
    <x v="0"/>
    <x v="0"/>
    <x v="0"/>
    <m/>
    <x v="0"/>
    <x v="0"/>
    <n v="-42.063300000000005"/>
    <m/>
    <x v="4"/>
    <x v="0"/>
    <x v="0"/>
    <x v="3"/>
    <x v="2"/>
  </r>
  <r>
    <s v="Singapore"/>
    <x v="3"/>
    <s v="SG1"/>
    <m/>
    <x v="5"/>
    <x v="0"/>
    <x v="0"/>
    <x v="1"/>
    <x v="0"/>
    <x v="0"/>
    <x v="0"/>
    <m/>
    <x v="0"/>
    <x v="0"/>
    <n v="-7.3969092000000005"/>
    <m/>
    <x v="3"/>
    <x v="1"/>
    <x v="0"/>
    <x v="4"/>
    <x v="1"/>
  </r>
  <r>
    <s v="Singapore"/>
    <x v="4"/>
    <s v="SG4"/>
    <m/>
    <x v="2"/>
    <x v="3"/>
    <x v="4"/>
    <x v="4"/>
    <x v="0"/>
    <x v="0"/>
    <x v="0"/>
    <m/>
    <x v="0"/>
    <x v="0"/>
    <n v="-0.140211"/>
    <m/>
    <x v="0"/>
    <x v="2"/>
    <x v="0"/>
    <x v="0"/>
    <x v="1"/>
  </r>
  <r>
    <s v="Singapore"/>
    <x v="4"/>
    <s v="SG2"/>
    <m/>
    <x v="1"/>
    <x v="2"/>
    <x v="2"/>
    <x v="3"/>
    <x v="0"/>
    <x v="0"/>
    <x v="0"/>
    <m/>
    <x v="0"/>
    <x v="0"/>
    <n v="6.0010308000000005E-2"/>
    <m/>
    <x v="0"/>
    <x v="2"/>
    <x v="0"/>
    <x v="2"/>
    <x v="1"/>
  </r>
  <r>
    <s v="Singapore"/>
    <x v="4"/>
    <s v="SG3"/>
    <m/>
    <x v="2"/>
    <x v="2"/>
    <x v="1"/>
    <x v="1"/>
    <x v="0"/>
    <x v="0"/>
    <x v="0"/>
    <m/>
    <x v="0"/>
    <x v="0"/>
    <n v="-0.8880030000000001"/>
    <m/>
    <x v="0"/>
    <x v="1"/>
    <x v="0"/>
    <x v="3"/>
    <x v="2"/>
  </r>
  <r>
    <s v="Singapore"/>
    <x v="5"/>
    <s v="SG1"/>
    <m/>
    <x v="1"/>
    <x v="1"/>
    <x v="4"/>
    <x v="4"/>
    <x v="0"/>
    <x v="0"/>
    <x v="0"/>
    <m/>
    <x v="0"/>
    <x v="0"/>
    <n v="-1.5579000000000001E-2"/>
    <m/>
    <x v="0"/>
    <x v="2"/>
    <x v="0"/>
    <x v="5"/>
    <x v="2"/>
  </r>
  <r>
    <s v="Singapore"/>
    <x v="4"/>
    <s v="SG1"/>
    <m/>
    <x v="1"/>
    <x v="4"/>
    <x v="3"/>
    <x v="0"/>
    <x v="0"/>
    <x v="0"/>
    <x v="0"/>
    <m/>
    <x v="0"/>
    <x v="0"/>
    <n v="0.37389600000000001"/>
    <m/>
    <x v="4"/>
    <x v="0"/>
    <x v="0"/>
    <x v="3"/>
    <x v="1"/>
  </r>
  <r>
    <s v="Singapore"/>
    <x v="1"/>
    <s v="SG1"/>
    <m/>
    <x v="1"/>
    <x v="4"/>
    <x v="1"/>
    <x v="2"/>
    <x v="0"/>
    <x v="0"/>
    <x v="0"/>
    <m/>
    <x v="0"/>
    <x v="0"/>
    <n v="-0.545265"/>
    <m/>
    <x v="1"/>
    <x v="1"/>
    <x v="0"/>
    <x v="1"/>
    <x v="2"/>
  </r>
  <r>
    <s v="Singapore"/>
    <x v="2"/>
    <s v="SG2"/>
    <m/>
    <x v="3"/>
    <x v="3"/>
    <x v="2"/>
    <x v="4"/>
    <x v="0"/>
    <x v="0"/>
    <x v="0"/>
    <m/>
    <x v="0"/>
    <x v="0"/>
    <n v="6.1844267879999997"/>
    <m/>
    <x v="7"/>
    <x v="0"/>
    <x v="0"/>
    <x v="2"/>
    <x v="1"/>
  </r>
  <r>
    <s v="Singapore"/>
    <x v="2"/>
    <s v="SG1"/>
    <m/>
    <x v="4"/>
    <x v="4"/>
    <x v="2"/>
    <x v="1"/>
    <x v="0"/>
    <x v="0"/>
    <x v="0"/>
    <m/>
    <x v="0"/>
    <x v="0"/>
    <n v="-0.233685"/>
    <m/>
    <x v="0"/>
    <x v="1"/>
    <x v="0"/>
    <x v="4"/>
    <x v="2"/>
  </r>
  <r>
    <s v="Singapore"/>
    <x v="4"/>
    <s v="SG2"/>
    <m/>
    <x v="0"/>
    <x v="4"/>
    <x v="4"/>
    <x v="4"/>
    <x v="0"/>
    <x v="0"/>
    <x v="0"/>
    <m/>
    <x v="0"/>
    <x v="0"/>
    <n v="1.7292690000000002"/>
    <m/>
    <x v="1"/>
    <x v="2"/>
    <x v="0"/>
    <x v="0"/>
    <x v="1"/>
  </r>
  <r>
    <s v="Singapore"/>
    <x v="0"/>
    <s v="SG1"/>
    <m/>
    <x v="5"/>
    <x v="3"/>
    <x v="0"/>
    <x v="1"/>
    <x v="0"/>
    <x v="0"/>
    <x v="0"/>
    <m/>
    <x v="0"/>
    <x v="0"/>
    <n v="-2.7419040000000003"/>
    <m/>
    <x v="7"/>
    <x v="3"/>
    <x v="0"/>
    <x v="5"/>
    <x v="2"/>
  </r>
  <r>
    <s v="Singapore"/>
    <x v="3"/>
    <s v="SG4"/>
    <m/>
    <x v="4"/>
    <x v="2"/>
    <x v="2"/>
    <x v="0"/>
    <x v="0"/>
    <x v="0"/>
    <x v="0"/>
    <m/>
    <x v="0"/>
    <x v="0"/>
    <n v="5.2968600000000006"/>
    <m/>
    <x v="9"/>
    <x v="3"/>
    <x v="0"/>
    <x v="2"/>
    <x v="0"/>
  </r>
  <r>
    <s v="Singapore"/>
    <x v="0"/>
    <s v="SG3"/>
    <m/>
    <x v="3"/>
    <x v="4"/>
    <x v="2"/>
    <x v="3"/>
    <x v="0"/>
    <x v="0"/>
    <x v="0"/>
    <m/>
    <x v="0"/>
    <x v="0"/>
    <n v="-16.217739000000002"/>
    <m/>
    <x v="1"/>
    <x v="3"/>
    <x v="0"/>
    <x v="5"/>
    <x v="0"/>
  </r>
  <r>
    <s v="Singapore"/>
    <x v="4"/>
    <s v="SG1"/>
    <m/>
    <x v="2"/>
    <x v="1"/>
    <x v="3"/>
    <x v="2"/>
    <x v="0"/>
    <x v="0"/>
    <x v="0"/>
    <m/>
    <x v="0"/>
    <x v="0"/>
    <n v="-4.6737000000000001E-2"/>
    <m/>
    <x v="0"/>
    <x v="1"/>
    <x v="0"/>
    <x v="3"/>
    <x v="2"/>
  </r>
  <r>
    <s v="Singapore"/>
    <x v="4"/>
    <s v="SG1"/>
    <m/>
    <x v="2"/>
    <x v="0"/>
    <x v="0"/>
    <x v="3"/>
    <x v="0"/>
    <x v="0"/>
    <x v="0"/>
    <m/>
    <x v="0"/>
    <x v="0"/>
    <n v="-0.38947500000000002"/>
    <m/>
    <x v="1"/>
    <x v="2"/>
    <x v="0"/>
    <x v="4"/>
    <x v="2"/>
  </r>
  <r>
    <s v="Singapore"/>
    <x v="5"/>
    <s v="SG1"/>
    <m/>
    <x v="2"/>
    <x v="4"/>
    <x v="2"/>
    <x v="1"/>
    <x v="0"/>
    <x v="0"/>
    <x v="0"/>
    <m/>
    <x v="0"/>
    <x v="0"/>
    <n v="-0.46737000000000001"/>
    <m/>
    <x v="0"/>
    <x v="1"/>
    <x v="0"/>
    <x v="0"/>
    <x v="0"/>
  </r>
  <r>
    <s v="Singapore"/>
    <x v="1"/>
    <s v="SG1"/>
    <m/>
    <x v="3"/>
    <x v="3"/>
    <x v="1"/>
    <x v="4"/>
    <x v="0"/>
    <x v="0"/>
    <x v="0"/>
    <m/>
    <x v="0"/>
    <x v="0"/>
    <n v="-0.38947500000000002"/>
    <m/>
    <x v="4"/>
    <x v="3"/>
    <x v="0"/>
    <x v="2"/>
    <x v="2"/>
  </r>
  <r>
    <s v="Singapore"/>
    <x v="1"/>
    <s v="SG1"/>
    <m/>
    <x v="3"/>
    <x v="3"/>
    <x v="3"/>
    <x v="1"/>
    <x v="0"/>
    <x v="0"/>
    <x v="0"/>
    <m/>
    <x v="0"/>
    <x v="0"/>
    <n v="0.88546362300000003"/>
    <m/>
    <x v="0"/>
    <x v="3"/>
    <x v="0"/>
    <x v="5"/>
    <x v="1"/>
  </r>
  <r>
    <s v="Singapore"/>
    <x v="3"/>
    <s v="SG3"/>
    <m/>
    <x v="0"/>
    <x v="3"/>
    <x v="3"/>
    <x v="0"/>
    <x v="0"/>
    <x v="0"/>
    <x v="0"/>
    <m/>
    <x v="0"/>
    <x v="0"/>
    <n v="-12.413923623000001"/>
    <m/>
    <x v="6"/>
    <x v="0"/>
    <x v="0"/>
    <x v="3"/>
    <x v="1"/>
  </r>
  <r>
    <s v="Singapore"/>
    <x v="5"/>
    <s v="SG2"/>
    <m/>
    <x v="4"/>
    <x v="4"/>
    <x v="0"/>
    <x v="2"/>
    <x v="0"/>
    <x v="0"/>
    <x v="0"/>
    <m/>
    <x v="0"/>
    <x v="0"/>
    <n v="-0.12826190700000001"/>
    <m/>
    <x v="4"/>
    <x v="3"/>
    <x v="0"/>
    <x v="3"/>
    <x v="2"/>
  </r>
  <r>
    <s v="Singapore"/>
    <x v="1"/>
    <s v="SG1"/>
    <m/>
    <x v="0"/>
    <x v="4"/>
    <x v="4"/>
    <x v="5"/>
    <x v="0"/>
    <x v="0"/>
    <x v="0"/>
    <m/>
    <x v="0"/>
    <x v="0"/>
    <n v="-0.17136900000000002"/>
    <m/>
    <x v="0"/>
    <x v="3"/>
    <x v="0"/>
    <x v="2"/>
    <x v="2"/>
  </r>
  <r>
    <s v="Singapore"/>
    <x v="5"/>
    <s v="SG3"/>
    <m/>
    <x v="3"/>
    <x v="1"/>
    <x v="3"/>
    <x v="5"/>
    <x v="0"/>
    <x v="0"/>
    <x v="0"/>
    <m/>
    <x v="0"/>
    <x v="0"/>
    <n v="247.31662500000002"/>
    <m/>
    <x v="5"/>
    <x v="2"/>
    <x v="0"/>
    <x v="5"/>
    <x v="2"/>
  </r>
  <r>
    <s v="Singapore"/>
    <x v="4"/>
    <s v="SG4"/>
    <m/>
    <x v="2"/>
    <x v="2"/>
    <x v="3"/>
    <x v="1"/>
    <x v="0"/>
    <x v="0"/>
    <x v="0"/>
    <m/>
    <x v="0"/>
    <x v="0"/>
    <n v="-0.62316000000000005"/>
    <m/>
    <x v="0"/>
    <x v="2"/>
    <x v="0"/>
    <x v="5"/>
    <x v="1"/>
  </r>
  <r>
    <s v="Singapore"/>
    <x v="3"/>
    <s v="SG3"/>
    <m/>
    <x v="0"/>
    <x v="3"/>
    <x v="3"/>
    <x v="2"/>
    <x v="0"/>
    <x v="0"/>
    <x v="0"/>
    <m/>
    <x v="0"/>
    <x v="0"/>
    <n v="-2.33685E-2"/>
    <m/>
    <x v="3"/>
    <x v="2"/>
    <x v="0"/>
    <x v="0"/>
    <x v="0"/>
  </r>
  <r>
    <s v="Singapore"/>
    <x v="1"/>
    <s v="SG1"/>
    <m/>
    <x v="3"/>
    <x v="0"/>
    <x v="0"/>
    <x v="1"/>
    <x v="0"/>
    <x v="0"/>
    <x v="0"/>
    <m/>
    <x v="0"/>
    <x v="0"/>
    <n v="-1.265045958"/>
    <m/>
    <x v="6"/>
    <x v="2"/>
    <x v="0"/>
    <x v="0"/>
    <x v="1"/>
  </r>
  <r>
    <s v="Singapore"/>
    <x v="4"/>
    <s v="SG1"/>
    <m/>
    <x v="2"/>
    <x v="2"/>
    <x v="3"/>
    <x v="4"/>
    <x v="0"/>
    <x v="0"/>
    <x v="0"/>
    <m/>
    <x v="0"/>
    <x v="0"/>
    <n v="-16.464525939000001"/>
    <m/>
    <x v="3"/>
    <x v="3"/>
    <x v="0"/>
    <x v="5"/>
    <x v="1"/>
  </r>
  <r>
    <s v="Singapore"/>
    <x v="2"/>
    <s v="SG2"/>
    <m/>
    <x v="4"/>
    <x v="4"/>
    <x v="1"/>
    <x v="0"/>
    <x v="0"/>
    <x v="0"/>
    <x v="0"/>
    <m/>
    <x v="0"/>
    <x v="0"/>
    <n v="-0.233685"/>
    <m/>
    <x v="0"/>
    <x v="2"/>
    <x v="0"/>
    <x v="0"/>
    <x v="0"/>
  </r>
  <r>
    <s v="Singapore"/>
    <x v="0"/>
    <s v="SG2"/>
    <m/>
    <x v="0"/>
    <x v="1"/>
    <x v="2"/>
    <x v="1"/>
    <x v="0"/>
    <x v="0"/>
    <x v="0"/>
    <m/>
    <x v="0"/>
    <x v="0"/>
    <n v="1.4566365000000001"/>
    <m/>
    <x v="1"/>
    <x v="3"/>
    <x v="0"/>
    <x v="0"/>
    <x v="1"/>
  </r>
  <r>
    <s v="Singapore"/>
    <x v="1"/>
    <s v="SG3"/>
    <m/>
    <x v="3"/>
    <x v="1"/>
    <x v="4"/>
    <x v="2"/>
    <x v="0"/>
    <x v="0"/>
    <x v="0"/>
    <m/>
    <x v="0"/>
    <x v="0"/>
    <n v="10.827405000000001"/>
    <m/>
    <x v="7"/>
    <x v="3"/>
    <x v="0"/>
    <x v="0"/>
    <x v="1"/>
  </r>
  <r>
    <s v="Singapore"/>
    <x v="0"/>
    <s v="SG4"/>
    <m/>
    <x v="1"/>
    <x v="0"/>
    <x v="1"/>
    <x v="2"/>
    <x v="0"/>
    <x v="0"/>
    <x v="0"/>
    <m/>
    <x v="0"/>
    <x v="0"/>
    <n v="-1.09053"/>
    <m/>
    <x v="4"/>
    <x v="1"/>
    <x v="0"/>
    <x v="4"/>
    <x v="0"/>
  </r>
  <r>
    <s v="Singapore"/>
    <x v="1"/>
    <s v="SG3"/>
    <m/>
    <x v="4"/>
    <x v="4"/>
    <x v="1"/>
    <x v="4"/>
    <x v="0"/>
    <x v="0"/>
    <x v="0"/>
    <m/>
    <x v="0"/>
    <x v="0"/>
    <n v="0.37389600000000001"/>
    <m/>
    <x v="4"/>
    <x v="1"/>
    <x v="0"/>
    <x v="3"/>
    <x v="2"/>
  </r>
  <r>
    <s v="Singapore"/>
    <x v="1"/>
    <s v="SG3"/>
    <m/>
    <x v="1"/>
    <x v="1"/>
    <x v="2"/>
    <x v="4"/>
    <x v="0"/>
    <x v="0"/>
    <x v="0"/>
    <m/>
    <x v="0"/>
    <x v="0"/>
    <n v="0.46737000000000001"/>
    <m/>
    <x v="4"/>
    <x v="1"/>
    <x v="0"/>
    <x v="5"/>
    <x v="0"/>
  </r>
  <r>
    <s v="Singapore"/>
    <x v="3"/>
    <s v="SG3"/>
    <m/>
    <x v="5"/>
    <x v="0"/>
    <x v="1"/>
    <x v="3"/>
    <x v="0"/>
    <x v="0"/>
    <x v="0"/>
    <m/>
    <x v="0"/>
    <x v="0"/>
    <n v="-7.7895000000000006E-2"/>
    <m/>
    <x v="0"/>
    <x v="3"/>
    <x v="0"/>
    <x v="0"/>
    <x v="1"/>
  </r>
  <r>
    <s v="Singapore"/>
    <x v="2"/>
    <s v="SG3"/>
    <m/>
    <x v="1"/>
    <x v="0"/>
    <x v="1"/>
    <x v="5"/>
    <x v="0"/>
    <x v="0"/>
    <x v="0"/>
    <m/>
    <x v="0"/>
    <x v="0"/>
    <n v="0.21031650000000002"/>
    <m/>
    <x v="1"/>
    <x v="0"/>
    <x v="0"/>
    <x v="1"/>
    <x v="0"/>
  </r>
  <r>
    <s v="Singapore"/>
    <x v="2"/>
    <s v="SG3"/>
    <m/>
    <x v="3"/>
    <x v="4"/>
    <x v="2"/>
    <x v="3"/>
    <x v="0"/>
    <x v="0"/>
    <x v="0"/>
    <m/>
    <x v="0"/>
    <x v="0"/>
    <n v="1.3008465"/>
    <m/>
    <x v="1"/>
    <x v="2"/>
    <x v="0"/>
    <x v="5"/>
    <x v="2"/>
  </r>
  <r>
    <s v="Singapore"/>
    <x v="5"/>
    <s v="SG2"/>
    <m/>
    <x v="5"/>
    <x v="1"/>
    <x v="1"/>
    <x v="1"/>
    <x v="0"/>
    <x v="0"/>
    <x v="0"/>
    <m/>
    <x v="0"/>
    <x v="0"/>
    <n v="-9.3474000000000002E-2"/>
    <m/>
    <x v="0"/>
    <x v="1"/>
    <x v="0"/>
    <x v="0"/>
    <x v="0"/>
  </r>
  <r>
    <s v="Singapore"/>
    <x v="5"/>
    <s v="SG1"/>
    <m/>
    <x v="2"/>
    <x v="2"/>
    <x v="4"/>
    <x v="1"/>
    <x v="0"/>
    <x v="0"/>
    <x v="0"/>
    <m/>
    <x v="0"/>
    <x v="0"/>
    <n v="-0.12463200000000001"/>
    <m/>
    <x v="0"/>
    <x v="1"/>
    <x v="0"/>
    <x v="4"/>
    <x v="2"/>
  </r>
  <r>
    <s v="Singapore"/>
    <x v="5"/>
    <s v="SG1"/>
    <m/>
    <x v="1"/>
    <x v="1"/>
    <x v="2"/>
    <x v="4"/>
    <x v="0"/>
    <x v="0"/>
    <x v="0"/>
    <m/>
    <x v="0"/>
    <x v="0"/>
    <n v="2.6484300000000003"/>
    <m/>
    <x v="1"/>
    <x v="1"/>
    <x v="0"/>
    <x v="3"/>
    <x v="1"/>
  </r>
  <r>
    <s v="Singapore"/>
    <x v="3"/>
    <s v="SG2"/>
    <m/>
    <x v="3"/>
    <x v="1"/>
    <x v="4"/>
    <x v="1"/>
    <x v="0"/>
    <x v="0"/>
    <x v="0"/>
    <m/>
    <x v="0"/>
    <x v="0"/>
    <n v="-3.1158000000000005E-4"/>
    <m/>
    <x v="1"/>
    <x v="0"/>
    <x v="0"/>
    <x v="0"/>
    <x v="1"/>
  </r>
  <r>
    <s v="Singapore"/>
    <x v="1"/>
    <s v="SG3"/>
    <m/>
    <x v="3"/>
    <x v="0"/>
    <x v="4"/>
    <x v="3"/>
    <x v="0"/>
    <x v="0"/>
    <x v="0"/>
    <m/>
    <x v="0"/>
    <x v="0"/>
    <n v="-4.6737000000000001E-2"/>
    <m/>
    <x v="4"/>
    <x v="1"/>
    <x v="0"/>
    <x v="3"/>
    <x v="2"/>
  </r>
  <r>
    <s v="Singapore"/>
    <x v="5"/>
    <s v="SG3"/>
    <m/>
    <x v="5"/>
    <x v="3"/>
    <x v="4"/>
    <x v="4"/>
    <x v="0"/>
    <x v="0"/>
    <x v="0"/>
    <m/>
    <x v="0"/>
    <x v="0"/>
    <n v="1.020393342"/>
    <m/>
    <x v="8"/>
    <x v="0"/>
    <x v="0"/>
    <x v="1"/>
    <x v="2"/>
  </r>
  <r>
    <s v="Singapore"/>
    <x v="3"/>
    <s v="SG1"/>
    <m/>
    <x v="3"/>
    <x v="4"/>
    <x v="2"/>
    <x v="3"/>
    <x v="0"/>
    <x v="0"/>
    <x v="0"/>
    <m/>
    <x v="0"/>
    <x v="0"/>
    <n v="0.186948"/>
    <m/>
    <x v="8"/>
    <x v="2"/>
    <x v="0"/>
    <x v="1"/>
    <x v="0"/>
  </r>
  <r>
    <s v="Singapore"/>
    <x v="2"/>
    <s v="SG4"/>
    <m/>
    <x v="2"/>
    <x v="4"/>
    <x v="2"/>
    <x v="1"/>
    <x v="0"/>
    <x v="0"/>
    <x v="0"/>
    <m/>
    <x v="0"/>
    <x v="0"/>
    <n v="0.37389600000000001"/>
    <m/>
    <x v="4"/>
    <x v="0"/>
    <x v="0"/>
    <x v="1"/>
    <x v="2"/>
  </r>
  <r>
    <s v="Singapore"/>
    <x v="3"/>
    <s v="SG3"/>
    <m/>
    <x v="4"/>
    <x v="1"/>
    <x v="1"/>
    <x v="4"/>
    <x v="0"/>
    <x v="0"/>
    <x v="0"/>
    <m/>
    <x v="0"/>
    <x v="0"/>
    <n v="1.137267"/>
    <m/>
    <x v="1"/>
    <x v="0"/>
    <x v="0"/>
    <x v="0"/>
    <x v="1"/>
  </r>
  <r>
    <s v="Singapore"/>
    <x v="0"/>
    <s v="SG3"/>
    <m/>
    <x v="5"/>
    <x v="3"/>
    <x v="0"/>
    <x v="0"/>
    <x v="0"/>
    <x v="0"/>
    <x v="0"/>
    <m/>
    <x v="0"/>
    <x v="0"/>
    <n v="-2.33685E-2"/>
    <m/>
    <x v="0"/>
    <x v="2"/>
    <x v="0"/>
    <x v="3"/>
    <x v="0"/>
  </r>
  <r>
    <s v="Singapore"/>
    <x v="4"/>
    <s v="SG4"/>
    <m/>
    <x v="0"/>
    <x v="4"/>
    <x v="3"/>
    <x v="2"/>
    <x v="0"/>
    <x v="0"/>
    <x v="0"/>
    <m/>
    <x v="0"/>
    <x v="0"/>
    <n v="-15.579000000000001"/>
    <m/>
    <x v="2"/>
    <x v="3"/>
    <x v="0"/>
    <x v="1"/>
    <x v="1"/>
  </r>
  <r>
    <s v="Singapore"/>
    <x v="3"/>
    <s v="SG4"/>
    <m/>
    <x v="2"/>
    <x v="0"/>
    <x v="4"/>
    <x v="3"/>
    <x v="0"/>
    <x v="0"/>
    <x v="0"/>
    <m/>
    <x v="0"/>
    <x v="0"/>
    <n v="-9.3474000000000002E-2"/>
    <m/>
    <x v="0"/>
    <x v="2"/>
    <x v="0"/>
    <x v="3"/>
    <x v="0"/>
  </r>
  <r>
    <s v="Singapore"/>
    <x v="5"/>
    <s v="SG3"/>
    <m/>
    <x v="1"/>
    <x v="4"/>
    <x v="4"/>
    <x v="0"/>
    <x v="0"/>
    <x v="0"/>
    <x v="0"/>
    <m/>
    <x v="0"/>
    <x v="0"/>
    <n v="-0.60758100000000004"/>
    <m/>
    <x v="0"/>
    <x v="2"/>
    <x v="0"/>
    <x v="1"/>
    <x v="2"/>
  </r>
  <r>
    <s v="Singapore"/>
    <x v="5"/>
    <s v="SG4"/>
    <m/>
    <x v="3"/>
    <x v="0"/>
    <x v="2"/>
    <x v="1"/>
    <x v="0"/>
    <x v="0"/>
    <x v="0"/>
    <m/>
    <x v="0"/>
    <x v="0"/>
    <n v="-0.280422"/>
    <m/>
    <x v="0"/>
    <x v="1"/>
    <x v="0"/>
    <x v="2"/>
    <x v="0"/>
  </r>
  <r>
    <s v="Singapore"/>
    <x v="4"/>
    <s v="SG1"/>
    <m/>
    <x v="2"/>
    <x v="0"/>
    <x v="4"/>
    <x v="3"/>
    <x v="0"/>
    <x v="0"/>
    <x v="0"/>
    <m/>
    <x v="0"/>
    <x v="0"/>
    <n v="2.6484300000000003"/>
    <m/>
    <x v="1"/>
    <x v="2"/>
    <x v="0"/>
    <x v="5"/>
    <x v="2"/>
  </r>
  <r>
    <s v="Singapore"/>
    <x v="0"/>
    <s v="SG3"/>
    <m/>
    <x v="2"/>
    <x v="4"/>
    <x v="1"/>
    <x v="0"/>
    <x v="0"/>
    <x v="0"/>
    <x v="0"/>
    <m/>
    <x v="0"/>
    <x v="0"/>
    <n v="6.0758100000000002E-2"/>
    <m/>
    <x v="2"/>
    <x v="1"/>
    <x v="0"/>
    <x v="1"/>
    <x v="2"/>
  </r>
  <r>
    <s v="Singapore"/>
    <x v="1"/>
    <s v="SG4"/>
    <m/>
    <x v="1"/>
    <x v="3"/>
    <x v="0"/>
    <x v="2"/>
    <x v="0"/>
    <x v="0"/>
    <x v="0"/>
    <m/>
    <x v="0"/>
    <x v="0"/>
    <n v="-0.77895000000000003"/>
    <m/>
    <x v="4"/>
    <x v="1"/>
    <x v="0"/>
    <x v="4"/>
    <x v="0"/>
  </r>
  <r>
    <s v="Singapore"/>
    <x v="0"/>
    <s v="SG1"/>
    <m/>
    <x v="0"/>
    <x v="1"/>
    <x v="2"/>
    <x v="4"/>
    <x v="0"/>
    <x v="0"/>
    <x v="0"/>
    <m/>
    <x v="0"/>
    <x v="0"/>
    <n v="2.1966390000000002"/>
    <m/>
    <x v="1"/>
    <x v="3"/>
    <x v="0"/>
    <x v="4"/>
    <x v="0"/>
  </r>
  <r>
    <s v="Singapore"/>
    <x v="5"/>
    <s v="SG1"/>
    <m/>
    <x v="5"/>
    <x v="4"/>
    <x v="1"/>
    <x v="1"/>
    <x v="0"/>
    <x v="0"/>
    <x v="0"/>
    <m/>
    <x v="0"/>
    <x v="0"/>
    <n v="-6.2316000000000003E-3"/>
    <m/>
    <x v="6"/>
    <x v="3"/>
    <x v="0"/>
    <x v="2"/>
    <x v="0"/>
  </r>
  <r>
    <s v="Singapore"/>
    <x v="1"/>
    <s v="SG3"/>
    <m/>
    <x v="3"/>
    <x v="4"/>
    <x v="4"/>
    <x v="0"/>
    <x v="0"/>
    <x v="0"/>
    <x v="0"/>
    <m/>
    <x v="0"/>
    <x v="0"/>
    <n v="-0.18373872600000002"/>
    <m/>
    <x v="0"/>
    <x v="1"/>
    <x v="0"/>
    <x v="2"/>
    <x v="2"/>
  </r>
  <r>
    <s v="Singapore"/>
    <x v="0"/>
    <s v="SG4"/>
    <m/>
    <x v="5"/>
    <x v="1"/>
    <x v="0"/>
    <x v="3"/>
    <x v="0"/>
    <x v="0"/>
    <x v="0"/>
    <m/>
    <x v="0"/>
    <x v="0"/>
    <n v="751.82984311500002"/>
    <m/>
    <x v="5"/>
    <x v="3"/>
    <x v="0"/>
    <x v="0"/>
    <x v="0"/>
  </r>
  <r>
    <s v="Singapore"/>
    <x v="5"/>
    <s v="SG1"/>
    <m/>
    <x v="3"/>
    <x v="1"/>
    <x v="1"/>
    <x v="1"/>
    <x v="0"/>
    <x v="0"/>
    <x v="0"/>
    <m/>
    <x v="0"/>
    <x v="0"/>
    <n v="0.77895000000000003"/>
    <m/>
    <x v="4"/>
    <x v="3"/>
    <x v="0"/>
    <x v="4"/>
    <x v="0"/>
  </r>
  <r>
    <s v="Singapore"/>
    <x v="3"/>
    <s v="SG4"/>
    <m/>
    <x v="1"/>
    <x v="1"/>
    <x v="3"/>
    <x v="5"/>
    <x v="0"/>
    <x v="0"/>
    <x v="0"/>
    <m/>
    <x v="0"/>
    <x v="0"/>
    <n v="7.455860136000001"/>
    <m/>
    <x v="9"/>
    <x v="0"/>
    <x v="0"/>
    <x v="2"/>
    <x v="0"/>
  </r>
  <r>
    <s v="Singapore"/>
    <x v="1"/>
    <s v="SG2"/>
    <m/>
    <x v="0"/>
    <x v="3"/>
    <x v="3"/>
    <x v="2"/>
    <x v="0"/>
    <x v="0"/>
    <x v="0"/>
    <m/>
    <x v="0"/>
    <x v="0"/>
    <n v="-0.12463200000000001"/>
    <m/>
    <x v="0"/>
    <x v="0"/>
    <x v="0"/>
    <x v="4"/>
    <x v="2"/>
  </r>
  <r>
    <s v="Singapore"/>
    <x v="0"/>
    <s v="SG1"/>
    <m/>
    <x v="4"/>
    <x v="0"/>
    <x v="3"/>
    <x v="2"/>
    <x v="0"/>
    <x v="0"/>
    <x v="0"/>
    <m/>
    <x v="0"/>
    <x v="0"/>
    <n v="0.17839512900000001"/>
    <m/>
    <x v="1"/>
    <x v="1"/>
    <x v="0"/>
    <x v="5"/>
    <x v="0"/>
  </r>
  <r>
    <s v="Singapore"/>
    <x v="0"/>
    <s v="SG2"/>
    <m/>
    <x v="0"/>
    <x v="3"/>
    <x v="1"/>
    <x v="3"/>
    <x v="0"/>
    <x v="0"/>
    <x v="0"/>
    <m/>
    <x v="0"/>
    <x v="0"/>
    <n v="-1.5579000000000001E-2"/>
    <m/>
    <x v="0"/>
    <x v="0"/>
    <x v="0"/>
    <x v="0"/>
    <x v="2"/>
  </r>
  <r>
    <s v="Singapore"/>
    <x v="3"/>
    <s v="SG3"/>
    <m/>
    <x v="2"/>
    <x v="2"/>
    <x v="1"/>
    <x v="0"/>
    <x v="0"/>
    <x v="0"/>
    <x v="0"/>
    <m/>
    <x v="0"/>
    <x v="0"/>
    <n v="-7.0105500000000001E-2"/>
    <m/>
    <x v="1"/>
    <x v="0"/>
    <x v="0"/>
    <x v="4"/>
    <x v="2"/>
  </r>
  <r>
    <s v="Singapore"/>
    <x v="5"/>
    <s v="SG1"/>
    <m/>
    <x v="4"/>
    <x v="0"/>
    <x v="2"/>
    <x v="5"/>
    <x v="0"/>
    <x v="0"/>
    <x v="0"/>
    <m/>
    <x v="0"/>
    <x v="0"/>
    <n v="-0.21810600000000002"/>
    <m/>
    <x v="4"/>
    <x v="3"/>
    <x v="0"/>
    <x v="1"/>
    <x v="1"/>
  </r>
  <r>
    <s v="Singapore"/>
    <x v="4"/>
    <s v="SG1"/>
    <m/>
    <x v="1"/>
    <x v="2"/>
    <x v="1"/>
    <x v="3"/>
    <x v="0"/>
    <x v="0"/>
    <x v="0"/>
    <m/>
    <x v="0"/>
    <x v="0"/>
    <n v="4.7309216670000005"/>
    <m/>
    <x v="7"/>
    <x v="2"/>
    <x v="0"/>
    <x v="0"/>
    <x v="2"/>
  </r>
  <r>
    <s v="Singapore"/>
    <x v="5"/>
    <s v="SG1"/>
    <m/>
    <x v="2"/>
    <x v="1"/>
    <x v="1"/>
    <x v="1"/>
    <x v="0"/>
    <x v="0"/>
    <x v="0"/>
    <m/>
    <x v="0"/>
    <x v="0"/>
    <n v="-3.1158000000000002E-2"/>
    <m/>
    <x v="0"/>
    <x v="3"/>
    <x v="0"/>
    <x v="5"/>
    <x v="0"/>
  </r>
  <r>
    <s v="Singapore"/>
    <x v="2"/>
    <s v="SG3"/>
    <m/>
    <x v="1"/>
    <x v="2"/>
    <x v="1"/>
    <x v="0"/>
    <x v="0"/>
    <x v="0"/>
    <x v="0"/>
    <m/>
    <x v="0"/>
    <x v="0"/>
    <n v="111.69089859600001"/>
    <m/>
    <x v="3"/>
    <x v="1"/>
    <x v="0"/>
    <x v="5"/>
    <x v="2"/>
  </r>
  <r>
    <s v="Singapore"/>
    <x v="4"/>
    <s v="SG4"/>
    <m/>
    <x v="4"/>
    <x v="0"/>
    <x v="1"/>
    <x v="3"/>
    <x v="0"/>
    <x v="0"/>
    <x v="0"/>
    <m/>
    <x v="0"/>
    <x v="0"/>
    <n v="-3.1158000000000002E-2"/>
    <m/>
    <x v="0"/>
    <x v="1"/>
    <x v="0"/>
    <x v="5"/>
    <x v="2"/>
  </r>
  <r>
    <s v="Singapore"/>
    <x v="4"/>
    <s v="SG4"/>
    <m/>
    <x v="0"/>
    <x v="3"/>
    <x v="0"/>
    <x v="2"/>
    <x v="0"/>
    <x v="0"/>
    <x v="0"/>
    <m/>
    <x v="0"/>
    <x v="0"/>
    <n v="-0.12463200000000001"/>
    <m/>
    <x v="4"/>
    <x v="2"/>
    <x v="0"/>
    <x v="3"/>
    <x v="2"/>
  </r>
  <r>
    <s v="Singapore"/>
    <x v="4"/>
    <s v="SG2"/>
    <m/>
    <x v="1"/>
    <x v="4"/>
    <x v="0"/>
    <x v="1"/>
    <x v="0"/>
    <x v="0"/>
    <x v="0"/>
    <m/>
    <x v="0"/>
    <x v="0"/>
    <n v="-0.14345143200000002"/>
    <m/>
    <x v="0"/>
    <x v="2"/>
    <x v="0"/>
    <x v="0"/>
    <x v="1"/>
  </r>
  <r>
    <s v="Singapore"/>
    <x v="2"/>
    <s v="SG1"/>
    <m/>
    <x v="2"/>
    <x v="1"/>
    <x v="2"/>
    <x v="2"/>
    <x v="0"/>
    <x v="0"/>
    <x v="0"/>
    <m/>
    <x v="0"/>
    <x v="0"/>
    <n v="7.7116050000000005"/>
    <m/>
    <x v="5"/>
    <x v="0"/>
    <x v="0"/>
    <x v="0"/>
    <x v="1"/>
  </r>
  <r>
    <s v="Singapore"/>
    <x v="1"/>
    <s v="SG3"/>
    <m/>
    <x v="1"/>
    <x v="3"/>
    <x v="3"/>
    <x v="3"/>
    <x v="0"/>
    <x v="0"/>
    <x v="0"/>
    <m/>
    <x v="0"/>
    <x v="0"/>
    <n v="-0.233685"/>
    <m/>
    <x v="0"/>
    <x v="3"/>
    <x v="0"/>
    <x v="2"/>
    <x v="1"/>
  </r>
  <r>
    <s v="Singapore"/>
    <x v="4"/>
    <s v="SG2"/>
    <m/>
    <x v="1"/>
    <x v="3"/>
    <x v="3"/>
    <x v="1"/>
    <x v="0"/>
    <x v="0"/>
    <x v="0"/>
    <m/>
    <x v="0"/>
    <x v="0"/>
    <n v="-6.2316000000000003E-2"/>
    <m/>
    <x v="0"/>
    <x v="3"/>
    <x v="0"/>
    <x v="2"/>
    <x v="0"/>
  </r>
  <r>
    <s v="Singapore"/>
    <x v="4"/>
    <s v="SG1"/>
    <m/>
    <x v="4"/>
    <x v="1"/>
    <x v="4"/>
    <x v="5"/>
    <x v="0"/>
    <x v="0"/>
    <x v="0"/>
    <m/>
    <x v="0"/>
    <x v="0"/>
    <n v="-2.4976720170000002"/>
    <m/>
    <x v="4"/>
    <x v="0"/>
    <x v="0"/>
    <x v="2"/>
    <x v="0"/>
  </r>
  <r>
    <s v="Singapore"/>
    <x v="3"/>
    <s v="SG3"/>
    <m/>
    <x v="1"/>
    <x v="1"/>
    <x v="2"/>
    <x v="0"/>
    <x v="0"/>
    <x v="0"/>
    <x v="0"/>
    <m/>
    <x v="0"/>
    <x v="0"/>
    <n v="-0.233685"/>
    <m/>
    <x v="0"/>
    <x v="1"/>
    <x v="0"/>
    <x v="5"/>
    <x v="2"/>
  </r>
  <r>
    <s v="Singapore"/>
    <x v="2"/>
    <s v="SG3"/>
    <m/>
    <x v="0"/>
    <x v="3"/>
    <x v="1"/>
    <x v="1"/>
    <x v="0"/>
    <x v="0"/>
    <x v="0"/>
    <m/>
    <x v="0"/>
    <x v="0"/>
    <n v="-0.233685"/>
    <m/>
    <x v="0"/>
    <x v="3"/>
    <x v="0"/>
    <x v="5"/>
    <x v="1"/>
  </r>
  <r>
    <s v="Singapore"/>
    <x v="5"/>
    <s v="SG4"/>
    <m/>
    <x v="4"/>
    <x v="3"/>
    <x v="4"/>
    <x v="0"/>
    <x v="0"/>
    <x v="0"/>
    <x v="0"/>
    <m/>
    <x v="0"/>
    <x v="0"/>
    <n v="-8.6650242209999995"/>
    <m/>
    <x v="0"/>
    <x v="0"/>
    <x v="0"/>
    <x v="2"/>
    <x v="1"/>
  </r>
  <r>
    <s v="Singapore"/>
    <x v="0"/>
    <s v="SG4"/>
    <m/>
    <x v="3"/>
    <x v="2"/>
    <x v="1"/>
    <x v="3"/>
    <x v="0"/>
    <x v="0"/>
    <x v="0"/>
    <m/>
    <x v="0"/>
    <x v="0"/>
    <n v="0.5530545"/>
    <m/>
    <x v="1"/>
    <x v="3"/>
    <x v="0"/>
    <x v="0"/>
    <x v="1"/>
  </r>
  <r>
    <s v="Singapore"/>
    <x v="2"/>
    <s v="SG3"/>
    <m/>
    <x v="2"/>
    <x v="0"/>
    <x v="1"/>
    <x v="0"/>
    <x v="0"/>
    <x v="0"/>
    <x v="0"/>
    <m/>
    <x v="0"/>
    <x v="0"/>
    <n v="-0.24926400000000001"/>
    <m/>
    <x v="0"/>
    <x v="0"/>
    <x v="0"/>
    <x v="3"/>
    <x v="0"/>
  </r>
  <r>
    <s v="Singapore"/>
    <x v="4"/>
    <s v="SG2"/>
    <m/>
    <x v="0"/>
    <x v="1"/>
    <x v="4"/>
    <x v="3"/>
    <x v="0"/>
    <x v="0"/>
    <x v="0"/>
    <m/>
    <x v="0"/>
    <x v="0"/>
    <n v="-61.684240392000007"/>
    <m/>
    <x v="1"/>
    <x v="2"/>
    <x v="0"/>
    <x v="3"/>
    <x v="2"/>
  </r>
  <r>
    <s v="Singapore"/>
    <x v="0"/>
    <s v="SG4"/>
    <m/>
    <x v="2"/>
    <x v="4"/>
    <x v="3"/>
    <x v="5"/>
    <x v="0"/>
    <x v="0"/>
    <x v="0"/>
    <m/>
    <x v="0"/>
    <x v="0"/>
    <n v="0.12463200000000001"/>
    <m/>
    <x v="0"/>
    <x v="3"/>
    <x v="0"/>
    <x v="5"/>
    <x v="2"/>
  </r>
  <r>
    <s v="Singapore"/>
    <x v="2"/>
    <s v="SG2"/>
    <m/>
    <x v="3"/>
    <x v="2"/>
    <x v="3"/>
    <x v="5"/>
    <x v="0"/>
    <x v="0"/>
    <x v="0"/>
    <m/>
    <x v="0"/>
    <x v="0"/>
    <n v="-1.5579000000000001E-2"/>
    <m/>
    <x v="0"/>
    <x v="2"/>
    <x v="0"/>
    <x v="5"/>
    <x v="1"/>
  </r>
  <r>
    <s v="Singapore"/>
    <x v="5"/>
    <s v="SG4"/>
    <m/>
    <x v="5"/>
    <x v="2"/>
    <x v="4"/>
    <x v="5"/>
    <x v="0"/>
    <x v="0"/>
    <x v="0"/>
    <m/>
    <x v="0"/>
    <x v="0"/>
    <n v="-6.9441211439999995"/>
    <m/>
    <x v="0"/>
    <x v="0"/>
    <x v="0"/>
    <x v="3"/>
    <x v="2"/>
  </r>
  <r>
    <s v="Singapore"/>
    <x v="4"/>
    <s v="SG1"/>
    <m/>
    <x v="1"/>
    <x v="2"/>
    <x v="4"/>
    <x v="5"/>
    <x v="0"/>
    <x v="0"/>
    <x v="0"/>
    <m/>
    <x v="0"/>
    <x v="0"/>
    <n v="-1.4613102000000003E-2"/>
    <m/>
    <x v="8"/>
    <x v="0"/>
    <x v="0"/>
    <x v="1"/>
    <x v="2"/>
  </r>
  <r>
    <s v="Singapore"/>
    <x v="5"/>
    <s v="SG3"/>
    <m/>
    <x v="3"/>
    <x v="0"/>
    <x v="1"/>
    <x v="1"/>
    <x v="0"/>
    <x v="0"/>
    <x v="0"/>
    <m/>
    <x v="0"/>
    <x v="0"/>
    <n v="1.6513740000000001"/>
    <m/>
    <x v="1"/>
    <x v="3"/>
    <x v="0"/>
    <x v="4"/>
    <x v="2"/>
  </r>
  <r>
    <s v="Singapore"/>
    <x v="3"/>
    <s v="SG1"/>
    <m/>
    <x v="3"/>
    <x v="0"/>
    <x v="2"/>
    <x v="4"/>
    <x v="0"/>
    <x v="0"/>
    <x v="0"/>
    <m/>
    <x v="0"/>
    <x v="0"/>
    <n v="-727.55565795000007"/>
    <m/>
    <x v="2"/>
    <x v="0"/>
    <x v="0"/>
    <x v="1"/>
    <x v="1"/>
  </r>
  <r>
    <s v="Singapore"/>
    <x v="2"/>
    <s v="SG1"/>
    <m/>
    <x v="4"/>
    <x v="0"/>
    <x v="1"/>
    <x v="2"/>
    <x v="0"/>
    <x v="0"/>
    <x v="0"/>
    <m/>
    <x v="0"/>
    <x v="0"/>
    <n v="-7.0105500000000001E-2"/>
    <m/>
    <x v="1"/>
    <x v="2"/>
    <x v="0"/>
    <x v="5"/>
    <x v="1"/>
  </r>
  <r>
    <s v="Singapore"/>
    <x v="5"/>
    <s v="SG2"/>
    <m/>
    <x v="1"/>
    <x v="0"/>
    <x v="3"/>
    <x v="2"/>
    <x v="0"/>
    <x v="0"/>
    <x v="0"/>
    <m/>
    <x v="0"/>
    <x v="0"/>
    <n v="1.822010787"/>
    <m/>
    <x v="1"/>
    <x v="0"/>
    <x v="0"/>
    <x v="3"/>
    <x v="0"/>
  </r>
  <r>
    <s v="Singapore"/>
    <x v="1"/>
    <s v="SG3"/>
    <m/>
    <x v="1"/>
    <x v="0"/>
    <x v="2"/>
    <x v="2"/>
    <x v="0"/>
    <x v="0"/>
    <x v="0"/>
    <m/>
    <x v="0"/>
    <x v="0"/>
    <n v="1.0733931E-2"/>
    <m/>
    <x v="8"/>
    <x v="2"/>
    <x v="0"/>
    <x v="2"/>
    <x v="0"/>
  </r>
  <r>
    <s v="Singapore"/>
    <x v="0"/>
    <s v="SG2"/>
    <m/>
    <x v="4"/>
    <x v="2"/>
    <x v="2"/>
    <x v="2"/>
    <x v="0"/>
    <x v="0"/>
    <x v="0"/>
    <m/>
    <x v="0"/>
    <x v="0"/>
    <n v="-19.754172000000001"/>
    <m/>
    <x v="4"/>
    <x v="3"/>
    <x v="0"/>
    <x v="3"/>
    <x v="0"/>
  </r>
  <r>
    <s v="Singapore"/>
    <x v="3"/>
    <s v="SG3"/>
    <m/>
    <x v="1"/>
    <x v="0"/>
    <x v="1"/>
    <x v="1"/>
    <x v="0"/>
    <x v="0"/>
    <x v="0"/>
    <m/>
    <x v="0"/>
    <x v="0"/>
    <n v="0.16220854800000001"/>
    <m/>
    <x v="0"/>
    <x v="2"/>
    <x v="0"/>
    <x v="5"/>
    <x v="0"/>
  </r>
  <r>
    <s v="Singapore"/>
    <x v="3"/>
    <s v="SG4"/>
    <m/>
    <x v="4"/>
    <x v="1"/>
    <x v="2"/>
    <x v="3"/>
    <x v="0"/>
    <x v="0"/>
    <x v="0"/>
    <m/>
    <x v="0"/>
    <x v="0"/>
    <n v="0.14055373800000001"/>
    <m/>
    <x v="3"/>
    <x v="1"/>
    <x v="0"/>
    <x v="1"/>
    <x v="2"/>
  </r>
  <r>
    <s v="Singapore"/>
    <x v="1"/>
    <s v="SG3"/>
    <m/>
    <x v="3"/>
    <x v="4"/>
    <x v="4"/>
    <x v="0"/>
    <x v="0"/>
    <x v="0"/>
    <x v="0"/>
    <m/>
    <x v="0"/>
    <x v="0"/>
    <n v="2.96001"/>
    <m/>
    <x v="1"/>
    <x v="3"/>
    <x v="0"/>
    <x v="2"/>
    <x v="2"/>
  </r>
  <r>
    <s v="Singapore"/>
    <x v="3"/>
    <s v="SG1"/>
    <m/>
    <x v="5"/>
    <x v="2"/>
    <x v="1"/>
    <x v="2"/>
    <x v="0"/>
    <x v="0"/>
    <x v="0"/>
    <m/>
    <x v="0"/>
    <x v="0"/>
    <n v="-0.10905300000000001"/>
    <m/>
    <x v="4"/>
    <x v="1"/>
    <x v="0"/>
    <x v="2"/>
    <x v="0"/>
  </r>
  <r>
    <s v="Singapore"/>
    <x v="2"/>
    <s v="SG1"/>
    <m/>
    <x v="3"/>
    <x v="2"/>
    <x v="3"/>
    <x v="0"/>
    <x v="0"/>
    <x v="0"/>
    <x v="0"/>
    <m/>
    <x v="0"/>
    <x v="0"/>
    <n v="-1.5579000000000001E-2"/>
    <m/>
    <x v="0"/>
    <x v="2"/>
    <x v="0"/>
    <x v="5"/>
    <x v="0"/>
  </r>
  <r>
    <s v="Singapore"/>
    <x v="4"/>
    <s v="SG1"/>
    <m/>
    <x v="3"/>
    <x v="2"/>
    <x v="3"/>
    <x v="1"/>
    <x v="0"/>
    <x v="0"/>
    <x v="0"/>
    <m/>
    <x v="0"/>
    <x v="0"/>
    <n v="0.37389600000000001"/>
    <m/>
    <x v="4"/>
    <x v="3"/>
    <x v="0"/>
    <x v="3"/>
    <x v="2"/>
  </r>
  <r>
    <s v="Singapore"/>
    <x v="5"/>
    <s v="SG2"/>
    <m/>
    <x v="1"/>
    <x v="1"/>
    <x v="3"/>
    <x v="4"/>
    <x v="0"/>
    <x v="0"/>
    <x v="0"/>
    <m/>
    <x v="0"/>
    <x v="0"/>
    <n v="-0.43621200000000004"/>
    <m/>
    <x v="4"/>
    <x v="1"/>
    <x v="0"/>
    <x v="5"/>
    <x v="2"/>
  </r>
  <r>
    <s v="Singapore"/>
    <x v="1"/>
    <s v="SG2"/>
    <m/>
    <x v="0"/>
    <x v="4"/>
    <x v="1"/>
    <x v="0"/>
    <x v="0"/>
    <x v="0"/>
    <x v="0"/>
    <m/>
    <x v="0"/>
    <x v="0"/>
    <n v="-0.12463200000000001"/>
    <m/>
    <x v="0"/>
    <x v="1"/>
    <x v="0"/>
    <x v="5"/>
    <x v="0"/>
  </r>
  <r>
    <s v="Singapore"/>
    <x v="1"/>
    <s v="SG1"/>
    <m/>
    <x v="3"/>
    <x v="3"/>
    <x v="3"/>
    <x v="3"/>
    <x v="0"/>
    <x v="0"/>
    <x v="0"/>
    <m/>
    <x v="0"/>
    <x v="0"/>
    <n v="-0.21810600000000002"/>
    <m/>
    <x v="4"/>
    <x v="3"/>
    <x v="0"/>
    <x v="5"/>
    <x v="1"/>
  </r>
  <r>
    <s v="Singapore"/>
    <x v="2"/>
    <s v="SG3"/>
    <m/>
    <x v="3"/>
    <x v="3"/>
    <x v="1"/>
    <x v="5"/>
    <x v="0"/>
    <x v="0"/>
    <x v="0"/>
    <m/>
    <x v="0"/>
    <x v="0"/>
    <n v="0.20252700000000001"/>
    <m/>
    <x v="1"/>
    <x v="0"/>
    <x v="0"/>
    <x v="2"/>
    <x v="2"/>
  </r>
  <r>
    <s v="Singapore"/>
    <x v="4"/>
    <s v="SG1"/>
    <m/>
    <x v="4"/>
    <x v="4"/>
    <x v="0"/>
    <x v="2"/>
    <x v="0"/>
    <x v="0"/>
    <x v="0"/>
    <m/>
    <x v="0"/>
    <x v="0"/>
    <n v="-0.12463200000000001"/>
    <m/>
    <x v="4"/>
    <x v="0"/>
    <x v="0"/>
    <x v="4"/>
    <x v="1"/>
  </r>
  <r>
    <s v="Singapore"/>
    <x v="0"/>
    <s v="SG2"/>
    <m/>
    <x v="0"/>
    <x v="0"/>
    <x v="1"/>
    <x v="1"/>
    <x v="0"/>
    <x v="0"/>
    <x v="0"/>
    <m/>
    <x v="0"/>
    <x v="0"/>
    <n v="-7.5854151000000005"/>
    <m/>
    <x v="4"/>
    <x v="1"/>
    <x v="0"/>
    <x v="5"/>
    <x v="2"/>
  </r>
  <r>
    <s v="Singapore"/>
    <x v="2"/>
    <s v="SG4"/>
    <m/>
    <x v="3"/>
    <x v="3"/>
    <x v="0"/>
    <x v="0"/>
    <x v="0"/>
    <x v="0"/>
    <x v="0"/>
    <m/>
    <x v="0"/>
    <x v="0"/>
    <n v="0.34273800000000004"/>
    <m/>
    <x v="8"/>
    <x v="1"/>
    <x v="0"/>
    <x v="2"/>
    <x v="0"/>
  </r>
  <r>
    <s v="Singapore"/>
    <x v="1"/>
    <s v="SG3"/>
    <m/>
    <x v="0"/>
    <x v="2"/>
    <x v="2"/>
    <x v="5"/>
    <x v="0"/>
    <x v="0"/>
    <x v="0"/>
    <m/>
    <x v="0"/>
    <x v="0"/>
    <n v="-0.233685"/>
    <m/>
    <x v="0"/>
    <x v="0"/>
    <x v="0"/>
    <x v="3"/>
    <x v="1"/>
  </r>
  <r>
    <s v="Singapore"/>
    <x v="0"/>
    <s v="SG2"/>
    <m/>
    <x v="2"/>
    <x v="2"/>
    <x v="3"/>
    <x v="0"/>
    <x v="0"/>
    <x v="0"/>
    <x v="0"/>
    <m/>
    <x v="0"/>
    <x v="0"/>
    <n v="-0.1838322"/>
    <m/>
    <x v="4"/>
    <x v="1"/>
    <x v="0"/>
    <x v="4"/>
    <x v="2"/>
  </r>
  <r>
    <s v="Singapore"/>
    <x v="0"/>
    <s v="SG1"/>
    <m/>
    <x v="1"/>
    <x v="1"/>
    <x v="3"/>
    <x v="2"/>
    <x v="0"/>
    <x v="0"/>
    <x v="0"/>
    <m/>
    <x v="0"/>
    <x v="0"/>
    <n v="-0.28012599900000001"/>
    <m/>
    <x v="0"/>
    <x v="0"/>
    <x v="0"/>
    <x v="2"/>
    <x v="0"/>
  </r>
  <r>
    <s v="Singapore"/>
    <x v="4"/>
    <s v="SG2"/>
    <m/>
    <x v="1"/>
    <x v="4"/>
    <x v="4"/>
    <x v="5"/>
    <x v="0"/>
    <x v="0"/>
    <x v="0"/>
    <m/>
    <x v="0"/>
    <x v="0"/>
    <n v="-3.8947500000000003E-2"/>
    <m/>
    <x v="0"/>
    <x v="1"/>
    <x v="0"/>
    <x v="1"/>
    <x v="2"/>
  </r>
  <r>
    <s v="Singapore"/>
    <x v="1"/>
    <s v="SG3"/>
    <m/>
    <x v="2"/>
    <x v="1"/>
    <x v="4"/>
    <x v="5"/>
    <x v="0"/>
    <x v="0"/>
    <x v="0"/>
    <m/>
    <x v="0"/>
    <x v="0"/>
    <n v="-0.31158000000000002"/>
    <m/>
    <x v="4"/>
    <x v="2"/>
    <x v="0"/>
    <x v="1"/>
    <x v="0"/>
  </r>
  <r>
    <s v="Singapore"/>
    <x v="4"/>
    <s v="SG2"/>
    <m/>
    <x v="3"/>
    <x v="1"/>
    <x v="4"/>
    <x v="1"/>
    <x v="0"/>
    <x v="0"/>
    <x v="0"/>
    <m/>
    <x v="0"/>
    <x v="0"/>
    <n v="0.68547600000000009"/>
    <m/>
    <x v="8"/>
    <x v="0"/>
    <x v="0"/>
    <x v="1"/>
    <x v="2"/>
  </r>
  <r>
    <s v="Singapore"/>
    <x v="5"/>
    <s v="SG2"/>
    <m/>
    <x v="5"/>
    <x v="2"/>
    <x v="0"/>
    <x v="0"/>
    <x v="0"/>
    <x v="0"/>
    <x v="0"/>
    <m/>
    <x v="0"/>
    <x v="0"/>
    <n v="-0.12463200000000001"/>
    <m/>
    <x v="0"/>
    <x v="0"/>
    <x v="0"/>
    <x v="3"/>
    <x v="1"/>
  </r>
  <r>
    <s v="Singapore"/>
    <x v="5"/>
    <s v="SG1"/>
    <m/>
    <x v="2"/>
    <x v="2"/>
    <x v="1"/>
    <x v="4"/>
    <x v="0"/>
    <x v="0"/>
    <x v="0"/>
    <m/>
    <x v="0"/>
    <x v="0"/>
    <n v="-0.62316000000000005"/>
    <m/>
    <x v="4"/>
    <x v="3"/>
    <x v="0"/>
    <x v="2"/>
    <x v="0"/>
  </r>
  <r>
    <s v="Singapore"/>
    <x v="3"/>
    <s v="SG4"/>
    <m/>
    <x v="0"/>
    <x v="2"/>
    <x v="0"/>
    <x v="1"/>
    <x v="0"/>
    <x v="0"/>
    <x v="0"/>
    <m/>
    <x v="0"/>
    <x v="0"/>
    <n v="-1.800947979"/>
    <m/>
    <x v="6"/>
    <x v="3"/>
    <x v="0"/>
    <x v="0"/>
    <x v="1"/>
  </r>
  <r>
    <s v="Singapore"/>
    <x v="3"/>
    <s v="SG4"/>
    <m/>
    <x v="5"/>
    <x v="3"/>
    <x v="1"/>
    <x v="0"/>
    <x v="0"/>
    <x v="0"/>
    <x v="0"/>
    <m/>
    <x v="0"/>
    <x v="0"/>
    <n v="-3.5831700000000004"/>
    <m/>
    <x v="1"/>
    <x v="0"/>
    <x v="0"/>
    <x v="4"/>
    <x v="0"/>
  </r>
  <r>
    <s v="Singapore"/>
    <x v="5"/>
    <s v="SG4"/>
    <m/>
    <x v="4"/>
    <x v="0"/>
    <x v="3"/>
    <x v="2"/>
    <x v="0"/>
    <x v="0"/>
    <x v="0"/>
    <m/>
    <x v="0"/>
    <x v="0"/>
    <n v="-7.0105500000000001E-2"/>
    <m/>
    <x v="4"/>
    <x v="1"/>
    <x v="0"/>
    <x v="0"/>
    <x v="1"/>
  </r>
  <r>
    <s v="Singapore"/>
    <x v="5"/>
    <s v="SG2"/>
    <m/>
    <x v="0"/>
    <x v="3"/>
    <x v="4"/>
    <x v="2"/>
    <x v="0"/>
    <x v="0"/>
    <x v="0"/>
    <m/>
    <x v="0"/>
    <x v="0"/>
    <n v="-0.62316000000000005"/>
    <m/>
    <x v="4"/>
    <x v="0"/>
    <x v="0"/>
    <x v="1"/>
    <x v="0"/>
  </r>
  <r>
    <s v="Singapore"/>
    <x v="3"/>
    <s v="SG1"/>
    <m/>
    <x v="5"/>
    <x v="4"/>
    <x v="3"/>
    <x v="4"/>
    <x v="0"/>
    <x v="0"/>
    <x v="0"/>
    <m/>
    <x v="0"/>
    <x v="0"/>
    <n v="-0.12463200000000001"/>
    <m/>
    <x v="0"/>
    <x v="0"/>
    <x v="0"/>
    <x v="1"/>
    <x v="0"/>
  </r>
  <r>
    <s v="Singapore"/>
    <x v="2"/>
    <s v="SG3"/>
    <m/>
    <x v="4"/>
    <x v="1"/>
    <x v="4"/>
    <x v="1"/>
    <x v="0"/>
    <x v="0"/>
    <x v="0"/>
    <m/>
    <x v="0"/>
    <x v="0"/>
    <n v="-1.9402086600000001"/>
    <m/>
    <x v="2"/>
    <x v="0"/>
    <x v="0"/>
    <x v="0"/>
    <x v="0"/>
  </r>
  <r>
    <s v="Singapore"/>
    <x v="4"/>
    <s v="SG1"/>
    <m/>
    <x v="5"/>
    <x v="2"/>
    <x v="0"/>
    <x v="0"/>
    <x v="0"/>
    <x v="0"/>
    <x v="0"/>
    <m/>
    <x v="0"/>
    <x v="0"/>
    <n v="-0.42063300000000003"/>
    <m/>
    <x v="4"/>
    <x v="2"/>
    <x v="0"/>
    <x v="0"/>
    <x v="0"/>
  </r>
  <r>
    <s v="Singapore"/>
    <x v="5"/>
    <s v="SG2"/>
    <m/>
    <x v="5"/>
    <x v="4"/>
    <x v="2"/>
    <x v="5"/>
    <x v="0"/>
    <x v="0"/>
    <x v="0"/>
    <m/>
    <x v="0"/>
    <x v="0"/>
    <n v="-0.62316000000000005"/>
    <m/>
    <x v="0"/>
    <x v="1"/>
    <x v="0"/>
    <x v="1"/>
    <x v="1"/>
  </r>
  <r>
    <s v="Singapore"/>
    <x v="2"/>
    <s v="SG3"/>
    <m/>
    <x v="2"/>
    <x v="0"/>
    <x v="3"/>
    <x v="2"/>
    <x v="0"/>
    <x v="0"/>
    <x v="0"/>
    <m/>
    <x v="0"/>
    <x v="0"/>
    <n v="-9.3474000000000002E-2"/>
    <m/>
    <x v="0"/>
    <x v="3"/>
    <x v="0"/>
    <x v="1"/>
    <x v="1"/>
  </r>
  <r>
    <s v="Singapore"/>
    <x v="3"/>
    <s v="SG1"/>
    <m/>
    <x v="0"/>
    <x v="2"/>
    <x v="3"/>
    <x v="5"/>
    <x v="0"/>
    <x v="0"/>
    <x v="0"/>
    <m/>
    <x v="0"/>
    <x v="0"/>
    <n v="-5.0631750000000003E-2"/>
    <m/>
    <x v="6"/>
    <x v="2"/>
    <x v="0"/>
    <x v="0"/>
    <x v="1"/>
  </r>
  <r>
    <s v="Singapore"/>
    <x v="2"/>
    <s v="SG2"/>
    <m/>
    <x v="3"/>
    <x v="0"/>
    <x v="0"/>
    <x v="0"/>
    <x v="0"/>
    <x v="0"/>
    <x v="0"/>
    <m/>
    <x v="0"/>
    <x v="0"/>
    <n v="-0.1838322"/>
    <m/>
    <x v="4"/>
    <x v="3"/>
    <x v="0"/>
    <x v="0"/>
    <x v="0"/>
  </r>
  <r>
    <s v="Singapore"/>
    <x v="3"/>
    <s v="SG2"/>
    <m/>
    <x v="3"/>
    <x v="0"/>
    <x v="1"/>
    <x v="1"/>
    <x v="0"/>
    <x v="0"/>
    <x v="0"/>
    <m/>
    <x v="0"/>
    <x v="0"/>
    <n v="7.0105500000000001E-2"/>
    <m/>
    <x v="1"/>
    <x v="2"/>
    <x v="0"/>
    <x v="5"/>
    <x v="1"/>
  </r>
  <r>
    <s v="Singapore"/>
    <x v="2"/>
    <s v="SG2"/>
    <m/>
    <x v="1"/>
    <x v="2"/>
    <x v="4"/>
    <x v="4"/>
    <x v="0"/>
    <x v="0"/>
    <x v="0"/>
    <m/>
    <x v="0"/>
    <x v="0"/>
    <n v="-0.70105499999999998"/>
    <m/>
    <x v="4"/>
    <x v="2"/>
    <x v="0"/>
    <x v="3"/>
    <x v="0"/>
  </r>
  <r>
    <s v="Singapore"/>
    <x v="5"/>
    <s v="SG2"/>
    <m/>
    <x v="1"/>
    <x v="2"/>
    <x v="3"/>
    <x v="5"/>
    <x v="0"/>
    <x v="0"/>
    <x v="0"/>
    <m/>
    <x v="0"/>
    <x v="0"/>
    <n v="6.9793920000000009E-3"/>
    <m/>
    <x v="8"/>
    <x v="1"/>
    <x v="0"/>
    <x v="2"/>
    <x v="2"/>
  </r>
  <r>
    <s v="Singapore"/>
    <x v="1"/>
    <s v="SG1"/>
    <m/>
    <x v="2"/>
    <x v="4"/>
    <x v="4"/>
    <x v="3"/>
    <x v="0"/>
    <x v="0"/>
    <x v="0"/>
    <m/>
    <x v="0"/>
    <x v="0"/>
    <n v="0.86214186000000004"/>
    <m/>
    <x v="1"/>
    <x v="0"/>
    <x v="0"/>
    <x v="5"/>
    <x v="0"/>
  </r>
  <r>
    <s v="Singapore"/>
    <x v="0"/>
    <s v="SG4"/>
    <m/>
    <x v="0"/>
    <x v="3"/>
    <x v="3"/>
    <x v="5"/>
    <x v="0"/>
    <x v="0"/>
    <x v="0"/>
    <m/>
    <x v="0"/>
    <x v="0"/>
    <n v="1.1450565000000001"/>
    <m/>
    <x v="1"/>
    <x v="0"/>
    <x v="0"/>
    <x v="0"/>
    <x v="0"/>
  </r>
  <r>
    <s v="Singapore"/>
    <x v="1"/>
    <s v="SG4"/>
    <m/>
    <x v="4"/>
    <x v="3"/>
    <x v="1"/>
    <x v="1"/>
    <x v="0"/>
    <x v="0"/>
    <x v="0"/>
    <m/>
    <x v="0"/>
    <x v="0"/>
    <n v="0.15579000000000001"/>
    <m/>
    <x v="1"/>
    <x v="3"/>
    <x v="0"/>
    <x v="4"/>
    <x v="1"/>
  </r>
  <r>
    <s v="Singapore"/>
    <x v="5"/>
    <s v="SG2"/>
    <m/>
    <x v="0"/>
    <x v="2"/>
    <x v="4"/>
    <x v="2"/>
    <x v="0"/>
    <x v="0"/>
    <x v="0"/>
    <m/>
    <x v="0"/>
    <x v="0"/>
    <n v="-0.17136900000000002"/>
    <m/>
    <x v="0"/>
    <x v="1"/>
    <x v="0"/>
    <x v="5"/>
    <x v="0"/>
  </r>
  <r>
    <s v="Singapore"/>
    <x v="0"/>
    <s v="SG4"/>
    <m/>
    <x v="3"/>
    <x v="0"/>
    <x v="1"/>
    <x v="0"/>
    <x v="0"/>
    <x v="0"/>
    <x v="0"/>
    <m/>
    <x v="0"/>
    <x v="0"/>
    <n v="-0.15579000000000001"/>
    <m/>
    <x v="0"/>
    <x v="2"/>
    <x v="0"/>
    <x v="0"/>
    <x v="2"/>
  </r>
  <r>
    <s v="Singapore"/>
    <x v="0"/>
    <s v="SG4"/>
    <m/>
    <x v="2"/>
    <x v="4"/>
    <x v="2"/>
    <x v="0"/>
    <x v="0"/>
    <x v="0"/>
    <x v="0"/>
    <m/>
    <x v="0"/>
    <x v="0"/>
    <n v="-3.1158000000000002E-2"/>
    <m/>
    <x v="0"/>
    <x v="0"/>
    <x v="0"/>
    <x v="3"/>
    <x v="1"/>
  </r>
  <r>
    <s v="Singapore"/>
    <x v="1"/>
    <s v="SG4"/>
    <m/>
    <x v="5"/>
    <x v="1"/>
    <x v="3"/>
    <x v="0"/>
    <x v="0"/>
    <x v="0"/>
    <x v="0"/>
    <m/>
    <x v="0"/>
    <x v="0"/>
    <n v="-0.12463200000000001"/>
    <m/>
    <x v="4"/>
    <x v="2"/>
    <x v="0"/>
    <x v="5"/>
    <x v="2"/>
  </r>
  <r>
    <s v="Singapore"/>
    <x v="5"/>
    <s v="SG2"/>
    <m/>
    <x v="5"/>
    <x v="2"/>
    <x v="0"/>
    <x v="1"/>
    <x v="0"/>
    <x v="0"/>
    <x v="0"/>
    <m/>
    <x v="0"/>
    <x v="0"/>
    <n v="6.5431800000000004"/>
    <m/>
    <x v="5"/>
    <x v="0"/>
    <x v="0"/>
    <x v="2"/>
    <x v="0"/>
  </r>
  <r>
    <s v="Singapore"/>
    <x v="4"/>
    <s v="SG1"/>
    <m/>
    <x v="0"/>
    <x v="3"/>
    <x v="0"/>
    <x v="1"/>
    <x v="0"/>
    <x v="0"/>
    <x v="0"/>
    <m/>
    <x v="0"/>
    <x v="0"/>
    <n v="91.370835"/>
    <m/>
    <x v="1"/>
    <x v="1"/>
    <x v="0"/>
    <x v="5"/>
    <x v="1"/>
  </r>
  <r>
    <s v="Singapore"/>
    <x v="4"/>
    <s v="SG2"/>
    <m/>
    <x v="2"/>
    <x v="3"/>
    <x v="0"/>
    <x v="3"/>
    <x v="0"/>
    <x v="0"/>
    <x v="0"/>
    <m/>
    <x v="0"/>
    <x v="0"/>
    <n v="-0.30379050000000002"/>
    <m/>
    <x v="3"/>
    <x v="3"/>
    <x v="0"/>
    <x v="1"/>
    <x v="0"/>
  </r>
  <r>
    <s v="Singapore"/>
    <x v="0"/>
    <s v="SG4"/>
    <m/>
    <x v="4"/>
    <x v="2"/>
    <x v="1"/>
    <x v="5"/>
    <x v="0"/>
    <x v="0"/>
    <x v="0"/>
    <m/>
    <x v="0"/>
    <x v="0"/>
    <n v="-2.8462833000000001"/>
    <m/>
    <x v="3"/>
    <x v="2"/>
    <x v="0"/>
    <x v="1"/>
    <x v="2"/>
  </r>
  <r>
    <s v="Singapore"/>
    <x v="4"/>
    <s v="SG4"/>
    <m/>
    <x v="2"/>
    <x v="4"/>
    <x v="4"/>
    <x v="4"/>
    <x v="0"/>
    <x v="0"/>
    <x v="0"/>
    <m/>
    <x v="0"/>
    <x v="0"/>
    <n v="-0.81010800000000005"/>
    <m/>
    <x v="4"/>
    <x v="1"/>
    <x v="0"/>
    <x v="0"/>
    <x v="2"/>
  </r>
  <r>
    <s v="Singapore"/>
    <x v="3"/>
    <s v="SG1"/>
    <m/>
    <x v="1"/>
    <x v="0"/>
    <x v="0"/>
    <x v="1"/>
    <x v="0"/>
    <x v="0"/>
    <x v="0"/>
    <m/>
    <x v="0"/>
    <x v="0"/>
    <n v="-0.20252700000000001"/>
    <m/>
    <x v="2"/>
    <x v="3"/>
    <x v="0"/>
    <x v="5"/>
    <x v="2"/>
  </r>
  <r>
    <s v="Singapore"/>
    <x v="4"/>
    <s v="SG2"/>
    <m/>
    <x v="4"/>
    <x v="4"/>
    <x v="3"/>
    <x v="1"/>
    <x v="0"/>
    <x v="0"/>
    <x v="0"/>
    <m/>
    <x v="0"/>
    <x v="0"/>
    <n v="7.0105500000000001E-2"/>
    <m/>
    <x v="1"/>
    <x v="1"/>
    <x v="0"/>
    <x v="0"/>
    <x v="2"/>
  </r>
  <r>
    <s v="Singapore"/>
    <x v="2"/>
    <s v="SG2"/>
    <m/>
    <x v="1"/>
    <x v="3"/>
    <x v="0"/>
    <x v="2"/>
    <x v="0"/>
    <x v="0"/>
    <x v="0"/>
    <m/>
    <x v="0"/>
    <x v="0"/>
    <n v="0.10905300000000001"/>
    <m/>
    <x v="0"/>
    <x v="0"/>
    <x v="0"/>
    <x v="1"/>
    <x v="2"/>
  </r>
  <r>
    <s v="Singapore"/>
    <x v="0"/>
    <s v="SG3"/>
    <m/>
    <x v="0"/>
    <x v="0"/>
    <x v="1"/>
    <x v="2"/>
    <x v="0"/>
    <x v="0"/>
    <x v="0"/>
    <m/>
    <x v="0"/>
    <x v="0"/>
    <n v="-0.50631749999999998"/>
    <m/>
    <x v="2"/>
    <x v="3"/>
    <x v="0"/>
    <x v="2"/>
    <x v="1"/>
  </r>
  <r>
    <s v="Singapore"/>
    <x v="1"/>
    <s v="SG1"/>
    <m/>
    <x v="2"/>
    <x v="4"/>
    <x v="2"/>
    <x v="3"/>
    <x v="0"/>
    <x v="0"/>
    <x v="0"/>
    <m/>
    <x v="0"/>
    <x v="0"/>
    <n v="0.42063300000000003"/>
    <m/>
    <x v="4"/>
    <x v="2"/>
    <x v="0"/>
    <x v="0"/>
    <x v="1"/>
  </r>
  <r>
    <s v="Singapore"/>
    <x v="5"/>
    <s v="SG3"/>
    <m/>
    <x v="2"/>
    <x v="0"/>
    <x v="3"/>
    <x v="1"/>
    <x v="0"/>
    <x v="0"/>
    <x v="0"/>
    <m/>
    <x v="0"/>
    <x v="0"/>
    <n v="1.0422351000000001"/>
    <m/>
    <x v="4"/>
    <x v="3"/>
    <x v="0"/>
    <x v="2"/>
    <x v="1"/>
  </r>
  <r>
    <s v="Singapore"/>
    <x v="4"/>
    <s v="SG4"/>
    <m/>
    <x v="4"/>
    <x v="2"/>
    <x v="0"/>
    <x v="1"/>
    <x v="0"/>
    <x v="0"/>
    <x v="0"/>
    <m/>
    <x v="0"/>
    <x v="0"/>
    <n v="1.7136900000000002"/>
    <m/>
    <x v="8"/>
    <x v="2"/>
    <x v="0"/>
    <x v="3"/>
    <x v="1"/>
  </r>
  <r>
    <s v="Singapore"/>
    <x v="3"/>
    <s v="SG2"/>
    <m/>
    <x v="4"/>
    <x v="4"/>
    <x v="2"/>
    <x v="0"/>
    <x v="0"/>
    <x v="0"/>
    <x v="0"/>
    <m/>
    <x v="0"/>
    <x v="0"/>
    <n v="-0.17437574700000003"/>
    <m/>
    <x v="4"/>
    <x v="2"/>
    <x v="0"/>
    <x v="1"/>
    <x v="2"/>
  </r>
  <r>
    <s v="Singapore"/>
    <x v="2"/>
    <s v="SG3"/>
    <m/>
    <x v="3"/>
    <x v="3"/>
    <x v="3"/>
    <x v="2"/>
    <x v="0"/>
    <x v="0"/>
    <x v="0"/>
    <m/>
    <x v="0"/>
    <x v="0"/>
    <n v="0.15579000000000001"/>
    <m/>
    <x v="1"/>
    <x v="2"/>
    <x v="0"/>
    <x v="2"/>
    <x v="1"/>
  </r>
  <r>
    <s v="Singapore"/>
    <x v="1"/>
    <s v="SG3"/>
    <m/>
    <x v="4"/>
    <x v="4"/>
    <x v="2"/>
    <x v="3"/>
    <x v="0"/>
    <x v="0"/>
    <x v="0"/>
    <m/>
    <x v="0"/>
    <x v="0"/>
    <n v="1.137267"/>
    <m/>
    <x v="1"/>
    <x v="1"/>
    <x v="0"/>
    <x v="4"/>
    <x v="0"/>
  </r>
  <r>
    <s v="Singapore"/>
    <x v="3"/>
    <s v="SG1"/>
    <m/>
    <x v="4"/>
    <x v="0"/>
    <x v="0"/>
    <x v="0"/>
    <x v="0"/>
    <x v="0"/>
    <x v="0"/>
    <m/>
    <x v="0"/>
    <x v="0"/>
    <n v="-2.3368500000000001"/>
    <m/>
    <x v="4"/>
    <x v="2"/>
    <x v="0"/>
    <x v="0"/>
    <x v="0"/>
  </r>
  <r>
    <s v="Singapore"/>
    <x v="4"/>
    <s v="SG3"/>
    <m/>
    <x v="4"/>
    <x v="1"/>
    <x v="2"/>
    <x v="3"/>
    <x v="0"/>
    <x v="0"/>
    <x v="0"/>
    <m/>
    <x v="0"/>
    <x v="0"/>
    <n v="-0.186948"/>
    <m/>
    <x v="0"/>
    <x v="0"/>
    <x v="0"/>
    <x v="1"/>
    <x v="0"/>
  </r>
  <r>
    <s v="Singapore"/>
    <x v="1"/>
    <s v="SG2"/>
    <m/>
    <x v="0"/>
    <x v="0"/>
    <x v="4"/>
    <x v="2"/>
    <x v="0"/>
    <x v="0"/>
    <x v="0"/>
    <m/>
    <x v="0"/>
    <x v="0"/>
    <n v="-0.1324215"/>
    <m/>
    <x v="4"/>
    <x v="1"/>
    <x v="0"/>
    <x v="5"/>
    <x v="0"/>
  </r>
  <r>
    <s v="Singapore"/>
    <x v="0"/>
    <s v="SG3"/>
    <m/>
    <x v="3"/>
    <x v="4"/>
    <x v="3"/>
    <x v="4"/>
    <x v="0"/>
    <x v="0"/>
    <x v="0"/>
    <m/>
    <x v="0"/>
    <x v="0"/>
    <n v="1.1450565000000001"/>
    <m/>
    <x v="1"/>
    <x v="1"/>
    <x v="0"/>
    <x v="3"/>
    <x v="1"/>
  </r>
  <r>
    <s v="Singapore"/>
    <x v="1"/>
    <s v="SG3"/>
    <m/>
    <x v="1"/>
    <x v="3"/>
    <x v="2"/>
    <x v="0"/>
    <x v="0"/>
    <x v="0"/>
    <x v="0"/>
    <m/>
    <x v="0"/>
    <x v="0"/>
    <n v="-0.15579000000000001"/>
    <m/>
    <x v="0"/>
    <x v="0"/>
    <x v="0"/>
    <x v="3"/>
    <x v="2"/>
  </r>
  <r>
    <s v="Singapore"/>
    <x v="1"/>
    <s v="SG1"/>
    <m/>
    <x v="4"/>
    <x v="3"/>
    <x v="2"/>
    <x v="4"/>
    <x v="0"/>
    <x v="0"/>
    <x v="0"/>
    <m/>
    <x v="0"/>
    <x v="0"/>
    <n v="0.12463200000000001"/>
    <m/>
    <x v="0"/>
    <x v="3"/>
    <x v="0"/>
    <x v="0"/>
    <x v="0"/>
  </r>
  <r>
    <s v="Singapore"/>
    <x v="3"/>
    <s v="SG4"/>
    <m/>
    <x v="3"/>
    <x v="1"/>
    <x v="0"/>
    <x v="5"/>
    <x v="0"/>
    <x v="0"/>
    <x v="0"/>
    <m/>
    <x v="0"/>
    <x v="0"/>
    <n v="3.5311828770000004"/>
    <m/>
    <x v="5"/>
    <x v="2"/>
    <x v="0"/>
    <x v="5"/>
    <x v="2"/>
  </r>
  <r>
    <s v="Singapore"/>
    <x v="2"/>
    <s v="SG3"/>
    <m/>
    <x v="1"/>
    <x v="1"/>
    <x v="0"/>
    <x v="3"/>
    <x v="0"/>
    <x v="0"/>
    <x v="0"/>
    <m/>
    <x v="0"/>
    <x v="0"/>
    <n v="-7.7895000000000006E-2"/>
    <m/>
    <x v="0"/>
    <x v="0"/>
    <x v="0"/>
    <x v="0"/>
    <x v="2"/>
  </r>
  <r>
    <s v="Singapore"/>
    <x v="3"/>
    <s v="SG3"/>
    <m/>
    <x v="4"/>
    <x v="4"/>
    <x v="2"/>
    <x v="2"/>
    <x v="0"/>
    <x v="0"/>
    <x v="0"/>
    <m/>
    <x v="0"/>
    <x v="0"/>
    <n v="-5.1410700000000004E-2"/>
    <m/>
    <x v="3"/>
    <x v="3"/>
    <x v="0"/>
    <x v="1"/>
    <x v="1"/>
  </r>
  <r>
    <s v="Singapore"/>
    <x v="5"/>
    <s v="SG2"/>
    <m/>
    <x v="4"/>
    <x v="1"/>
    <x v="2"/>
    <x v="4"/>
    <x v="0"/>
    <x v="0"/>
    <x v="0"/>
    <m/>
    <x v="0"/>
    <x v="0"/>
    <n v="-0.24926400000000001"/>
    <m/>
    <x v="0"/>
    <x v="0"/>
    <x v="0"/>
    <x v="0"/>
    <x v="1"/>
  </r>
  <r>
    <s v="Singapore"/>
    <x v="0"/>
    <s v="SG2"/>
    <m/>
    <x v="5"/>
    <x v="1"/>
    <x v="3"/>
    <x v="5"/>
    <x v="0"/>
    <x v="0"/>
    <x v="0"/>
    <m/>
    <x v="0"/>
    <x v="0"/>
    <n v="-1.3691759940000001"/>
    <m/>
    <x v="3"/>
    <x v="3"/>
    <x v="0"/>
    <x v="2"/>
    <x v="2"/>
  </r>
  <r>
    <s v="Singapore"/>
    <x v="1"/>
    <s v="SG3"/>
    <m/>
    <x v="3"/>
    <x v="1"/>
    <x v="3"/>
    <x v="2"/>
    <x v="0"/>
    <x v="0"/>
    <x v="0"/>
    <m/>
    <x v="0"/>
    <x v="0"/>
    <n v="2.8556307000000003"/>
    <m/>
    <x v="1"/>
    <x v="1"/>
    <x v="0"/>
    <x v="4"/>
    <x v="1"/>
  </r>
  <r>
    <s v="Singapore"/>
    <x v="2"/>
    <s v="SG4"/>
    <m/>
    <x v="0"/>
    <x v="4"/>
    <x v="3"/>
    <x v="2"/>
    <x v="0"/>
    <x v="0"/>
    <x v="0"/>
    <m/>
    <x v="0"/>
    <x v="0"/>
    <n v="3.1158000000000001"/>
    <m/>
    <x v="11"/>
    <x v="0"/>
    <x v="0"/>
    <x v="5"/>
    <x v="2"/>
  </r>
  <r>
    <s v="Singapore"/>
    <x v="2"/>
    <s v="SG1"/>
    <m/>
    <x v="3"/>
    <x v="3"/>
    <x v="3"/>
    <x v="5"/>
    <x v="0"/>
    <x v="0"/>
    <x v="0"/>
    <m/>
    <x v="0"/>
    <x v="0"/>
    <n v="-0.12463200000000001"/>
    <m/>
    <x v="4"/>
    <x v="1"/>
    <x v="0"/>
    <x v="1"/>
    <x v="2"/>
  </r>
  <r>
    <s v="Singapore"/>
    <x v="3"/>
    <s v="SG2"/>
    <m/>
    <x v="3"/>
    <x v="1"/>
    <x v="4"/>
    <x v="3"/>
    <x v="0"/>
    <x v="0"/>
    <x v="0"/>
    <m/>
    <x v="0"/>
    <x v="0"/>
    <n v="-134.30482973100001"/>
    <m/>
    <x v="3"/>
    <x v="1"/>
    <x v="0"/>
    <x v="5"/>
    <x v="0"/>
  </r>
  <r>
    <s v="Singapore"/>
    <x v="5"/>
    <s v="SG3"/>
    <m/>
    <x v="1"/>
    <x v="2"/>
    <x v="3"/>
    <x v="2"/>
    <x v="0"/>
    <x v="0"/>
    <x v="0"/>
    <m/>
    <x v="0"/>
    <x v="0"/>
    <n v="-4.6737000000000001E-2"/>
    <m/>
    <x v="0"/>
    <x v="3"/>
    <x v="0"/>
    <x v="0"/>
    <x v="0"/>
  </r>
  <r>
    <s v="Singapore"/>
    <x v="4"/>
    <s v="SG1"/>
    <m/>
    <x v="3"/>
    <x v="3"/>
    <x v="2"/>
    <x v="3"/>
    <x v="0"/>
    <x v="0"/>
    <x v="0"/>
    <m/>
    <x v="0"/>
    <x v="0"/>
    <n v="565.18150518000004"/>
    <m/>
    <x v="1"/>
    <x v="2"/>
    <x v="0"/>
    <x v="3"/>
    <x v="1"/>
  </r>
  <r>
    <s v="Singapore"/>
    <x v="1"/>
    <s v="SG1"/>
    <m/>
    <x v="2"/>
    <x v="2"/>
    <x v="0"/>
    <x v="0"/>
    <x v="0"/>
    <x v="0"/>
    <x v="0"/>
    <m/>
    <x v="0"/>
    <x v="0"/>
    <n v="-2.8042199999999999"/>
    <m/>
    <x v="7"/>
    <x v="2"/>
    <x v="0"/>
    <x v="3"/>
    <x v="1"/>
  </r>
  <r>
    <s v="Singapore"/>
    <x v="5"/>
    <s v="SG2"/>
    <m/>
    <x v="0"/>
    <x v="3"/>
    <x v="0"/>
    <x v="5"/>
    <x v="0"/>
    <x v="0"/>
    <x v="0"/>
    <m/>
    <x v="0"/>
    <x v="0"/>
    <n v="-1.5579000000000001E-2"/>
    <m/>
    <x v="0"/>
    <x v="2"/>
    <x v="0"/>
    <x v="0"/>
    <x v="1"/>
  </r>
  <r>
    <s v="Singapore"/>
    <x v="0"/>
    <s v="SG1"/>
    <m/>
    <x v="0"/>
    <x v="0"/>
    <x v="0"/>
    <x v="3"/>
    <x v="0"/>
    <x v="0"/>
    <x v="0"/>
    <m/>
    <x v="0"/>
    <x v="0"/>
    <n v="-21.031650000000003"/>
    <m/>
    <x v="2"/>
    <x v="2"/>
    <x v="0"/>
    <x v="5"/>
    <x v="0"/>
  </r>
  <r>
    <s v="Singapore"/>
    <x v="1"/>
    <s v="SG1"/>
    <m/>
    <x v="2"/>
    <x v="1"/>
    <x v="4"/>
    <x v="3"/>
    <x v="0"/>
    <x v="0"/>
    <x v="0"/>
    <m/>
    <x v="0"/>
    <x v="0"/>
    <n v="-0.10905300000000001"/>
    <m/>
    <x v="4"/>
    <x v="0"/>
    <x v="0"/>
    <x v="5"/>
    <x v="0"/>
  </r>
  <r>
    <s v="Singapore"/>
    <x v="4"/>
    <s v="SG2"/>
    <m/>
    <x v="1"/>
    <x v="1"/>
    <x v="1"/>
    <x v="5"/>
    <x v="0"/>
    <x v="0"/>
    <x v="0"/>
    <m/>
    <x v="0"/>
    <x v="0"/>
    <n v="1.480005"/>
    <m/>
    <x v="11"/>
    <x v="2"/>
    <x v="0"/>
    <x v="0"/>
    <x v="0"/>
  </r>
  <r>
    <s v="Singapore"/>
    <x v="5"/>
    <s v="SG4"/>
    <m/>
    <x v="1"/>
    <x v="4"/>
    <x v="3"/>
    <x v="5"/>
    <x v="0"/>
    <x v="0"/>
    <x v="0"/>
    <m/>
    <x v="0"/>
    <x v="0"/>
    <n v="0.37389600000000001"/>
    <m/>
    <x v="1"/>
    <x v="3"/>
    <x v="0"/>
    <x v="2"/>
    <x v="1"/>
  </r>
  <r>
    <s v="Singapore"/>
    <x v="0"/>
    <s v="SG2"/>
    <m/>
    <x v="3"/>
    <x v="2"/>
    <x v="1"/>
    <x v="1"/>
    <x v="0"/>
    <x v="0"/>
    <x v="0"/>
    <m/>
    <x v="0"/>
    <x v="0"/>
    <n v="9.5499270000000003"/>
    <m/>
    <x v="5"/>
    <x v="2"/>
    <x v="0"/>
    <x v="0"/>
    <x v="0"/>
  </r>
  <r>
    <s v="Singapore"/>
    <x v="3"/>
    <s v="SG3"/>
    <m/>
    <x v="0"/>
    <x v="0"/>
    <x v="2"/>
    <x v="5"/>
    <x v="0"/>
    <x v="0"/>
    <x v="0"/>
    <m/>
    <x v="0"/>
    <x v="0"/>
    <n v="0.74467620000000001"/>
    <m/>
    <x v="1"/>
    <x v="3"/>
    <x v="0"/>
    <x v="3"/>
    <x v="1"/>
  </r>
  <r>
    <s v="Singapore"/>
    <x v="3"/>
    <s v="SG1"/>
    <m/>
    <x v="4"/>
    <x v="2"/>
    <x v="2"/>
    <x v="0"/>
    <x v="0"/>
    <x v="0"/>
    <x v="0"/>
    <m/>
    <x v="0"/>
    <x v="0"/>
    <n v="0.7157148390000001"/>
    <m/>
    <x v="0"/>
    <x v="0"/>
    <x v="0"/>
    <x v="3"/>
    <x v="1"/>
  </r>
  <r>
    <s v="Singapore"/>
    <x v="5"/>
    <s v="SG2"/>
    <m/>
    <x v="4"/>
    <x v="4"/>
    <x v="4"/>
    <x v="3"/>
    <x v="0"/>
    <x v="0"/>
    <x v="0"/>
    <m/>
    <x v="0"/>
    <x v="0"/>
    <n v="-1.5579000000000001E-2"/>
    <m/>
    <x v="0"/>
    <x v="0"/>
    <x v="0"/>
    <x v="5"/>
    <x v="0"/>
  </r>
  <r>
    <s v="Singapore"/>
    <x v="3"/>
    <s v="SG2"/>
    <m/>
    <x v="1"/>
    <x v="4"/>
    <x v="0"/>
    <x v="0"/>
    <x v="0"/>
    <x v="0"/>
    <x v="0"/>
    <m/>
    <x v="0"/>
    <x v="0"/>
    <n v="1.7915850000000002"/>
    <m/>
    <x v="1"/>
    <x v="2"/>
    <x v="0"/>
    <x v="1"/>
    <x v="2"/>
  </r>
  <r>
    <s v="Singapore"/>
    <x v="3"/>
    <s v="SG3"/>
    <m/>
    <x v="1"/>
    <x v="3"/>
    <x v="0"/>
    <x v="2"/>
    <x v="0"/>
    <x v="0"/>
    <x v="0"/>
    <m/>
    <x v="0"/>
    <x v="0"/>
    <n v="-7.7895000000000004E-3"/>
    <m/>
    <x v="0"/>
    <x v="2"/>
    <x v="0"/>
    <x v="3"/>
    <x v="2"/>
  </r>
  <r>
    <s v="Singapore"/>
    <x v="0"/>
    <s v="SG4"/>
    <m/>
    <x v="0"/>
    <x v="1"/>
    <x v="2"/>
    <x v="0"/>
    <x v="0"/>
    <x v="0"/>
    <x v="0"/>
    <m/>
    <x v="0"/>
    <x v="0"/>
    <n v="0.15579000000000001"/>
    <m/>
    <x v="1"/>
    <x v="0"/>
    <x v="0"/>
    <x v="0"/>
    <x v="2"/>
  </r>
  <r>
    <s v="Singapore"/>
    <x v="3"/>
    <s v="SG2"/>
    <m/>
    <x v="1"/>
    <x v="3"/>
    <x v="0"/>
    <x v="5"/>
    <x v="0"/>
    <x v="0"/>
    <x v="0"/>
    <m/>
    <x v="0"/>
    <x v="0"/>
    <n v="1.137267"/>
    <m/>
    <x v="1"/>
    <x v="1"/>
    <x v="0"/>
    <x v="5"/>
    <x v="0"/>
  </r>
  <r>
    <s v="Singapore"/>
    <x v="5"/>
    <s v="SG3"/>
    <m/>
    <x v="4"/>
    <x v="0"/>
    <x v="3"/>
    <x v="2"/>
    <x v="0"/>
    <x v="0"/>
    <x v="0"/>
    <m/>
    <x v="0"/>
    <x v="0"/>
    <n v="0.19863225000000001"/>
    <m/>
    <x v="8"/>
    <x v="1"/>
    <x v="0"/>
    <x v="3"/>
    <x v="2"/>
  </r>
  <r>
    <s v="Singapore"/>
    <x v="0"/>
    <s v="SG3"/>
    <m/>
    <x v="3"/>
    <x v="1"/>
    <x v="4"/>
    <x v="3"/>
    <x v="0"/>
    <x v="0"/>
    <x v="0"/>
    <m/>
    <x v="0"/>
    <x v="0"/>
    <n v="-0.62316000000000005"/>
    <m/>
    <x v="4"/>
    <x v="1"/>
    <x v="0"/>
    <x v="1"/>
    <x v="2"/>
  </r>
  <r>
    <s v="Singapore"/>
    <x v="4"/>
    <s v="SG4"/>
    <m/>
    <x v="4"/>
    <x v="1"/>
    <x v="4"/>
    <x v="2"/>
    <x v="0"/>
    <x v="0"/>
    <x v="0"/>
    <m/>
    <x v="0"/>
    <x v="0"/>
    <n v="-0.233685"/>
    <m/>
    <x v="0"/>
    <x v="0"/>
    <x v="0"/>
    <x v="3"/>
    <x v="2"/>
  </r>
  <r>
    <s v="Singapore"/>
    <x v="4"/>
    <s v="SG2"/>
    <m/>
    <x v="4"/>
    <x v="3"/>
    <x v="1"/>
    <x v="1"/>
    <x v="0"/>
    <x v="0"/>
    <x v="0"/>
    <m/>
    <x v="0"/>
    <x v="0"/>
    <n v="3.8947500000000002"/>
    <m/>
    <x v="7"/>
    <x v="3"/>
    <x v="0"/>
    <x v="0"/>
    <x v="0"/>
  </r>
  <r>
    <s v="Singapore"/>
    <x v="2"/>
    <s v="SG3"/>
    <m/>
    <x v="4"/>
    <x v="4"/>
    <x v="2"/>
    <x v="1"/>
    <x v="0"/>
    <x v="0"/>
    <x v="0"/>
    <m/>
    <x v="0"/>
    <x v="0"/>
    <n v="8.8800299999999999E-2"/>
    <m/>
    <x v="3"/>
    <x v="3"/>
    <x v="0"/>
    <x v="3"/>
    <x v="0"/>
  </r>
  <r>
    <s v="Singapore"/>
    <x v="4"/>
    <s v="SG4"/>
    <m/>
    <x v="1"/>
    <x v="3"/>
    <x v="1"/>
    <x v="0"/>
    <x v="0"/>
    <x v="0"/>
    <x v="0"/>
    <m/>
    <x v="0"/>
    <x v="0"/>
    <n v="-9.3474000000000002E-2"/>
    <m/>
    <x v="0"/>
    <x v="1"/>
    <x v="0"/>
    <x v="2"/>
    <x v="2"/>
  </r>
  <r>
    <s v="Singapore"/>
    <x v="0"/>
    <s v="SG1"/>
    <m/>
    <x v="5"/>
    <x v="0"/>
    <x v="0"/>
    <x v="5"/>
    <x v="0"/>
    <x v="0"/>
    <x v="0"/>
    <m/>
    <x v="0"/>
    <x v="0"/>
    <n v="-0.186948"/>
    <m/>
    <x v="0"/>
    <x v="2"/>
    <x v="0"/>
    <x v="3"/>
    <x v="0"/>
  </r>
  <r>
    <s v="Singapore"/>
    <x v="2"/>
    <s v="SG3"/>
    <m/>
    <x v="4"/>
    <x v="2"/>
    <x v="1"/>
    <x v="5"/>
    <x v="0"/>
    <x v="0"/>
    <x v="0"/>
    <m/>
    <x v="0"/>
    <x v="0"/>
    <n v="-5.7330719999999999"/>
    <m/>
    <x v="2"/>
    <x v="0"/>
    <x v="0"/>
    <x v="2"/>
    <x v="1"/>
  </r>
  <r>
    <s v="Singapore"/>
    <x v="0"/>
    <s v="SG3"/>
    <m/>
    <x v="2"/>
    <x v="4"/>
    <x v="3"/>
    <x v="4"/>
    <x v="0"/>
    <x v="0"/>
    <x v="0"/>
    <m/>
    <x v="0"/>
    <x v="0"/>
    <n v="-1.09053"/>
    <m/>
    <x v="4"/>
    <x v="0"/>
    <x v="0"/>
    <x v="1"/>
    <x v="0"/>
  </r>
  <r>
    <s v="Singapore"/>
    <x v="4"/>
    <s v="SG3"/>
    <m/>
    <x v="2"/>
    <x v="1"/>
    <x v="4"/>
    <x v="4"/>
    <x v="0"/>
    <x v="0"/>
    <x v="0"/>
    <m/>
    <x v="0"/>
    <x v="0"/>
    <n v="-0.31158000000000002"/>
    <m/>
    <x v="0"/>
    <x v="1"/>
    <x v="0"/>
    <x v="3"/>
    <x v="0"/>
  </r>
  <r>
    <s v="Singapore"/>
    <x v="0"/>
    <s v="SG3"/>
    <m/>
    <x v="4"/>
    <x v="4"/>
    <x v="4"/>
    <x v="3"/>
    <x v="0"/>
    <x v="0"/>
    <x v="0"/>
    <m/>
    <x v="0"/>
    <x v="0"/>
    <n v="-0.35052749999999999"/>
    <m/>
    <x v="2"/>
    <x v="1"/>
    <x v="0"/>
    <x v="4"/>
    <x v="1"/>
  </r>
  <r>
    <s v="Singapore"/>
    <x v="0"/>
    <s v="SG2"/>
    <m/>
    <x v="3"/>
    <x v="0"/>
    <x v="1"/>
    <x v="0"/>
    <x v="0"/>
    <x v="0"/>
    <x v="0"/>
    <m/>
    <x v="0"/>
    <x v="0"/>
    <n v="-0.37818022500000004"/>
    <m/>
    <x v="3"/>
    <x v="3"/>
    <x v="0"/>
    <x v="5"/>
    <x v="1"/>
  </r>
  <r>
    <s v="Singapore"/>
    <x v="1"/>
    <s v="SG4"/>
    <m/>
    <x v="1"/>
    <x v="3"/>
    <x v="4"/>
    <x v="0"/>
    <x v="0"/>
    <x v="0"/>
    <x v="0"/>
    <m/>
    <x v="0"/>
    <x v="0"/>
    <n v="9.3474000000000005E-3"/>
    <m/>
    <x v="3"/>
    <x v="2"/>
    <x v="0"/>
    <x v="0"/>
    <x v="2"/>
  </r>
  <r>
    <s v="Singapore"/>
    <x v="2"/>
    <s v="SG3"/>
    <m/>
    <x v="4"/>
    <x v="2"/>
    <x v="1"/>
    <x v="0"/>
    <x v="0"/>
    <x v="0"/>
    <x v="0"/>
    <m/>
    <x v="0"/>
    <x v="0"/>
    <n v="-0.233685"/>
    <m/>
    <x v="0"/>
    <x v="2"/>
    <x v="0"/>
    <x v="5"/>
    <x v="1"/>
  </r>
  <r>
    <s v="Singapore"/>
    <x v="4"/>
    <s v="SG2"/>
    <m/>
    <x v="2"/>
    <x v="0"/>
    <x v="0"/>
    <x v="0"/>
    <x v="0"/>
    <x v="0"/>
    <x v="0"/>
    <m/>
    <x v="0"/>
    <x v="0"/>
    <n v="-0.15579000000000001"/>
    <m/>
    <x v="4"/>
    <x v="3"/>
    <x v="0"/>
    <x v="3"/>
    <x v="0"/>
  </r>
  <r>
    <s v="Singapore"/>
    <x v="1"/>
    <s v="SG1"/>
    <m/>
    <x v="2"/>
    <x v="2"/>
    <x v="3"/>
    <x v="0"/>
    <x v="0"/>
    <x v="0"/>
    <x v="0"/>
    <m/>
    <x v="0"/>
    <x v="0"/>
    <n v="-0.14055373800000001"/>
    <m/>
    <x v="3"/>
    <x v="3"/>
    <x v="0"/>
    <x v="2"/>
    <x v="0"/>
  </r>
  <r>
    <s v="Singapore"/>
    <x v="5"/>
    <s v="SG2"/>
    <m/>
    <x v="3"/>
    <x v="2"/>
    <x v="0"/>
    <x v="5"/>
    <x v="0"/>
    <x v="0"/>
    <x v="0"/>
    <m/>
    <x v="0"/>
    <x v="0"/>
    <n v="-1.5579000000000001E-2"/>
    <m/>
    <x v="0"/>
    <x v="2"/>
    <x v="0"/>
    <x v="5"/>
    <x v="2"/>
  </r>
  <r>
    <s v="Singapore"/>
    <x v="1"/>
    <s v="SG2"/>
    <m/>
    <x v="4"/>
    <x v="2"/>
    <x v="0"/>
    <x v="4"/>
    <x v="0"/>
    <x v="0"/>
    <x v="0"/>
    <m/>
    <x v="0"/>
    <x v="0"/>
    <n v="0.140211"/>
    <m/>
    <x v="8"/>
    <x v="1"/>
    <x v="0"/>
    <x v="0"/>
    <x v="1"/>
  </r>
  <r>
    <s v="Singapore"/>
    <x v="2"/>
    <s v="SG4"/>
    <m/>
    <x v="3"/>
    <x v="1"/>
    <x v="0"/>
    <x v="0"/>
    <x v="0"/>
    <x v="0"/>
    <x v="0"/>
    <m/>
    <x v="0"/>
    <x v="0"/>
    <n v="0.140211"/>
    <m/>
    <x v="8"/>
    <x v="3"/>
    <x v="0"/>
    <x v="5"/>
    <x v="2"/>
  </r>
  <r>
    <s v="Singapore"/>
    <x v="0"/>
    <s v="SG2"/>
    <m/>
    <x v="2"/>
    <x v="0"/>
    <x v="0"/>
    <x v="3"/>
    <x v="0"/>
    <x v="0"/>
    <x v="0"/>
    <m/>
    <x v="0"/>
    <x v="0"/>
    <n v="0.1324215"/>
    <m/>
    <x v="1"/>
    <x v="0"/>
    <x v="0"/>
    <x v="1"/>
    <x v="2"/>
  </r>
  <r>
    <s v="Singapore"/>
    <x v="1"/>
    <s v="SG1"/>
    <m/>
    <x v="4"/>
    <x v="4"/>
    <x v="4"/>
    <x v="0"/>
    <x v="0"/>
    <x v="0"/>
    <x v="0"/>
    <m/>
    <x v="0"/>
    <x v="0"/>
    <n v="-2.33685E-2"/>
    <m/>
    <x v="6"/>
    <x v="3"/>
    <x v="0"/>
    <x v="2"/>
    <x v="1"/>
  </r>
  <r>
    <s v="Singapore"/>
    <x v="3"/>
    <s v="SG1"/>
    <m/>
    <x v="1"/>
    <x v="0"/>
    <x v="0"/>
    <x v="4"/>
    <x v="0"/>
    <x v="0"/>
    <x v="0"/>
    <m/>
    <x v="0"/>
    <x v="0"/>
    <n v="1.0801232280000002"/>
    <m/>
    <x v="1"/>
    <x v="0"/>
    <x v="0"/>
    <x v="2"/>
    <x v="2"/>
  </r>
  <r>
    <s v="Singapore"/>
    <x v="3"/>
    <s v="SG4"/>
    <m/>
    <x v="5"/>
    <x v="1"/>
    <x v="1"/>
    <x v="3"/>
    <x v="0"/>
    <x v="0"/>
    <x v="0"/>
    <m/>
    <x v="0"/>
    <x v="0"/>
    <n v="-0.93474000000000002"/>
    <m/>
    <x v="7"/>
    <x v="2"/>
    <x v="0"/>
    <x v="4"/>
    <x v="2"/>
  </r>
  <r>
    <s v="Singapore"/>
    <x v="5"/>
    <s v="SG3"/>
    <m/>
    <x v="3"/>
    <x v="2"/>
    <x v="3"/>
    <x v="5"/>
    <x v="0"/>
    <x v="0"/>
    <x v="0"/>
    <m/>
    <x v="0"/>
    <x v="0"/>
    <n v="0.77895000000000003"/>
    <m/>
    <x v="4"/>
    <x v="1"/>
    <x v="0"/>
    <x v="1"/>
    <x v="2"/>
  </r>
  <r>
    <s v="Singapore"/>
    <x v="0"/>
    <s v="SG2"/>
    <m/>
    <x v="1"/>
    <x v="4"/>
    <x v="3"/>
    <x v="3"/>
    <x v="0"/>
    <x v="0"/>
    <x v="0"/>
    <m/>
    <x v="0"/>
    <x v="0"/>
    <n v="1.1365659450000001"/>
    <m/>
    <x v="1"/>
    <x v="3"/>
    <x v="0"/>
    <x v="0"/>
    <x v="1"/>
  </r>
  <r>
    <s v="Singapore"/>
    <x v="2"/>
    <s v="SG1"/>
    <m/>
    <x v="5"/>
    <x v="0"/>
    <x v="3"/>
    <x v="1"/>
    <x v="0"/>
    <x v="0"/>
    <x v="0"/>
    <m/>
    <x v="0"/>
    <x v="0"/>
    <n v="-3.1158000000000001"/>
    <m/>
    <x v="4"/>
    <x v="1"/>
    <x v="0"/>
    <x v="5"/>
    <x v="0"/>
  </r>
  <r>
    <s v="Singapore"/>
    <x v="0"/>
    <s v="SG2"/>
    <m/>
    <x v="0"/>
    <x v="1"/>
    <x v="1"/>
    <x v="3"/>
    <x v="0"/>
    <x v="0"/>
    <x v="0"/>
    <m/>
    <x v="0"/>
    <x v="0"/>
    <n v="-0.8880030000000001"/>
    <m/>
    <x v="4"/>
    <x v="2"/>
    <x v="0"/>
    <x v="3"/>
    <x v="2"/>
  </r>
  <r>
    <s v="Singapore"/>
    <x v="3"/>
    <s v="SG3"/>
    <m/>
    <x v="2"/>
    <x v="0"/>
    <x v="2"/>
    <x v="5"/>
    <x v="0"/>
    <x v="0"/>
    <x v="0"/>
    <m/>
    <x v="0"/>
    <x v="0"/>
    <n v="1.137267"/>
    <m/>
    <x v="1"/>
    <x v="1"/>
    <x v="0"/>
    <x v="3"/>
    <x v="2"/>
  </r>
  <r>
    <s v="Singapore"/>
    <x v="4"/>
    <s v="SG1"/>
    <m/>
    <x v="0"/>
    <x v="1"/>
    <x v="2"/>
    <x v="4"/>
    <x v="0"/>
    <x v="0"/>
    <x v="0"/>
    <m/>
    <x v="0"/>
    <x v="0"/>
    <n v="-0.10905300000000001"/>
    <m/>
    <x v="4"/>
    <x v="1"/>
    <x v="0"/>
    <x v="3"/>
    <x v="0"/>
  </r>
  <r>
    <s v="Singapore"/>
    <x v="2"/>
    <s v="SG2"/>
    <m/>
    <x v="4"/>
    <x v="4"/>
    <x v="3"/>
    <x v="4"/>
    <x v="0"/>
    <x v="0"/>
    <x v="0"/>
    <m/>
    <x v="0"/>
    <x v="0"/>
    <n v="-0.43627431600000005"/>
    <m/>
    <x v="0"/>
    <x v="2"/>
    <x v="0"/>
    <x v="0"/>
    <x v="0"/>
  </r>
  <r>
    <s v="Singapore"/>
    <x v="0"/>
    <s v="SG3"/>
    <m/>
    <x v="1"/>
    <x v="3"/>
    <x v="1"/>
    <x v="2"/>
    <x v="0"/>
    <x v="0"/>
    <x v="0"/>
    <m/>
    <x v="0"/>
    <x v="0"/>
    <n v="-4.6737000000000001E-2"/>
    <m/>
    <x v="0"/>
    <x v="1"/>
    <x v="0"/>
    <x v="2"/>
    <x v="0"/>
  </r>
  <r>
    <s v="Singapore"/>
    <x v="3"/>
    <s v="SG3"/>
    <m/>
    <x v="4"/>
    <x v="1"/>
    <x v="2"/>
    <x v="2"/>
    <x v="0"/>
    <x v="0"/>
    <x v="0"/>
    <m/>
    <x v="0"/>
    <x v="0"/>
    <n v="-4.6737000000000001E-2"/>
    <m/>
    <x v="0"/>
    <x v="2"/>
    <x v="0"/>
    <x v="4"/>
    <x v="0"/>
  </r>
  <r>
    <s v="Singapore"/>
    <x v="0"/>
    <s v="SG4"/>
    <m/>
    <x v="1"/>
    <x v="0"/>
    <x v="1"/>
    <x v="3"/>
    <x v="0"/>
    <x v="0"/>
    <x v="0"/>
    <m/>
    <x v="0"/>
    <x v="0"/>
    <n v="-0.12463200000000001"/>
    <m/>
    <x v="0"/>
    <x v="2"/>
    <x v="0"/>
    <x v="2"/>
    <x v="1"/>
  </r>
  <r>
    <s v="Singapore"/>
    <x v="5"/>
    <s v="SG4"/>
    <m/>
    <x v="4"/>
    <x v="2"/>
    <x v="4"/>
    <x v="5"/>
    <x v="0"/>
    <x v="0"/>
    <x v="0"/>
    <m/>
    <x v="0"/>
    <x v="0"/>
    <n v="-0.31158000000000002"/>
    <m/>
    <x v="4"/>
    <x v="2"/>
    <x v="0"/>
    <x v="3"/>
    <x v="2"/>
  </r>
  <r>
    <s v="Singapore"/>
    <x v="4"/>
    <s v="SG3"/>
    <m/>
    <x v="1"/>
    <x v="1"/>
    <x v="3"/>
    <x v="2"/>
    <x v="0"/>
    <x v="0"/>
    <x v="0"/>
    <m/>
    <x v="0"/>
    <x v="0"/>
    <n v="1.0801232280000002"/>
    <m/>
    <x v="1"/>
    <x v="0"/>
    <x v="0"/>
    <x v="4"/>
    <x v="1"/>
  </r>
  <r>
    <s v="Singapore"/>
    <x v="0"/>
    <s v="SG1"/>
    <m/>
    <x v="3"/>
    <x v="4"/>
    <x v="0"/>
    <x v="3"/>
    <x v="0"/>
    <x v="0"/>
    <x v="0"/>
    <m/>
    <x v="0"/>
    <x v="0"/>
    <n v="1.0801232280000002"/>
    <m/>
    <x v="1"/>
    <x v="2"/>
    <x v="0"/>
    <x v="5"/>
    <x v="0"/>
  </r>
  <r>
    <s v="Singapore"/>
    <x v="5"/>
    <s v="SG4"/>
    <m/>
    <x v="4"/>
    <x v="1"/>
    <x v="1"/>
    <x v="1"/>
    <x v="0"/>
    <x v="0"/>
    <x v="0"/>
    <m/>
    <x v="0"/>
    <x v="0"/>
    <n v="-0.46737000000000001"/>
    <m/>
    <x v="0"/>
    <x v="2"/>
    <x v="0"/>
    <x v="3"/>
    <x v="2"/>
  </r>
  <r>
    <s v="Singapore"/>
    <x v="3"/>
    <s v="SG1"/>
    <m/>
    <x v="0"/>
    <x v="4"/>
    <x v="2"/>
    <x v="1"/>
    <x v="0"/>
    <x v="0"/>
    <x v="0"/>
    <m/>
    <x v="0"/>
    <x v="0"/>
    <n v="-0.21810600000000002"/>
    <m/>
    <x v="4"/>
    <x v="3"/>
    <x v="0"/>
    <x v="0"/>
    <x v="1"/>
  </r>
  <r>
    <s v="Singapore"/>
    <x v="3"/>
    <s v="SG2"/>
    <m/>
    <x v="0"/>
    <x v="0"/>
    <x v="3"/>
    <x v="5"/>
    <x v="0"/>
    <x v="0"/>
    <x v="0"/>
    <m/>
    <x v="0"/>
    <x v="0"/>
    <n v="-2.8278377640000003"/>
    <m/>
    <x v="2"/>
    <x v="2"/>
    <x v="0"/>
    <x v="5"/>
    <x v="2"/>
  </r>
  <r>
    <s v="Singapore"/>
    <x v="2"/>
    <s v="SG4"/>
    <m/>
    <x v="1"/>
    <x v="4"/>
    <x v="4"/>
    <x v="0"/>
    <x v="0"/>
    <x v="0"/>
    <x v="0"/>
    <m/>
    <x v="0"/>
    <x v="0"/>
    <n v="-0.140288895"/>
    <m/>
    <x v="4"/>
    <x v="2"/>
    <x v="0"/>
    <x v="1"/>
    <x v="0"/>
  </r>
  <r>
    <s v="Singapore"/>
    <x v="3"/>
    <s v="SG4"/>
    <m/>
    <x v="2"/>
    <x v="3"/>
    <x v="0"/>
    <x v="5"/>
    <x v="0"/>
    <x v="0"/>
    <x v="0"/>
    <m/>
    <x v="0"/>
    <x v="0"/>
    <n v="-4.0505400000000004E-2"/>
    <m/>
    <x v="2"/>
    <x v="2"/>
    <x v="0"/>
    <x v="5"/>
    <x v="0"/>
  </r>
  <r>
    <s v="Singapore"/>
    <x v="3"/>
    <s v="SG4"/>
    <m/>
    <x v="4"/>
    <x v="3"/>
    <x v="2"/>
    <x v="2"/>
    <x v="0"/>
    <x v="0"/>
    <x v="0"/>
    <m/>
    <x v="0"/>
    <x v="0"/>
    <n v="1.137267"/>
    <m/>
    <x v="1"/>
    <x v="3"/>
    <x v="0"/>
    <x v="1"/>
    <x v="0"/>
  </r>
  <r>
    <s v="Singapore"/>
    <x v="2"/>
    <s v="SG2"/>
    <m/>
    <x v="1"/>
    <x v="1"/>
    <x v="3"/>
    <x v="0"/>
    <x v="0"/>
    <x v="0"/>
    <x v="0"/>
    <m/>
    <x v="0"/>
    <x v="0"/>
    <n v="-6.2316000000000003"/>
    <m/>
    <x v="4"/>
    <x v="3"/>
    <x v="0"/>
    <x v="2"/>
    <x v="1"/>
  </r>
  <r>
    <s v="Singapore"/>
    <x v="3"/>
    <s v="SG3"/>
    <m/>
    <x v="5"/>
    <x v="3"/>
    <x v="2"/>
    <x v="5"/>
    <x v="0"/>
    <x v="0"/>
    <x v="0"/>
    <m/>
    <x v="0"/>
    <x v="0"/>
    <n v="-0.46737000000000001"/>
    <m/>
    <x v="2"/>
    <x v="2"/>
    <x v="0"/>
    <x v="0"/>
    <x v="2"/>
  </r>
  <r>
    <s v="Singapore"/>
    <x v="3"/>
    <s v="SG1"/>
    <m/>
    <x v="1"/>
    <x v="1"/>
    <x v="1"/>
    <x v="3"/>
    <x v="0"/>
    <x v="0"/>
    <x v="0"/>
    <m/>
    <x v="0"/>
    <x v="0"/>
    <n v="-7.0105500000000001E-2"/>
    <m/>
    <x v="4"/>
    <x v="0"/>
    <x v="0"/>
    <x v="5"/>
    <x v="1"/>
  </r>
  <r>
    <s v="Singapore"/>
    <x v="4"/>
    <s v="SG1"/>
    <m/>
    <x v="3"/>
    <x v="2"/>
    <x v="1"/>
    <x v="0"/>
    <x v="0"/>
    <x v="0"/>
    <x v="0"/>
    <m/>
    <x v="0"/>
    <x v="0"/>
    <n v="4.6269629999999999"/>
    <m/>
    <x v="1"/>
    <x v="3"/>
    <x v="0"/>
    <x v="5"/>
    <x v="0"/>
  </r>
  <r>
    <s v="Singapore"/>
    <x v="4"/>
    <s v="SG4"/>
    <m/>
    <x v="3"/>
    <x v="0"/>
    <x v="3"/>
    <x v="1"/>
    <x v="0"/>
    <x v="0"/>
    <x v="0"/>
    <m/>
    <x v="0"/>
    <x v="0"/>
    <n v="-0.24926400000000001"/>
    <m/>
    <x v="0"/>
    <x v="3"/>
    <x v="0"/>
    <x v="1"/>
    <x v="1"/>
  </r>
  <r>
    <s v="Singapore"/>
    <x v="1"/>
    <s v="SG2"/>
    <m/>
    <x v="3"/>
    <x v="1"/>
    <x v="2"/>
    <x v="3"/>
    <x v="0"/>
    <x v="0"/>
    <x v="0"/>
    <m/>
    <x v="0"/>
    <x v="0"/>
    <n v="0.12463200000000001"/>
    <m/>
    <x v="0"/>
    <x v="1"/>
    <x v="0"/>
    <x v="4"/>
    <x v="2"/>
  </r>
  <r>
    <s v="Singapore"/>
    <x v="2"/>
    <s v="SG3"/>
    <m/>
    <x v="3"/>
    <x v="1"/>
    <x v="2"/>
    <x v="2"/>
    <x v="0"/>
    <x v="0"/>
    <x v="0"/>
    <m/>
    <x v="0"/>
    <x v="0"/>
    <n v="-0.38947500000000002"/>
    <m/>
    <x v="1"/>
    <x v="1"/>
    <x v="0"/>
    <x v="5"/>
    <x v="2"/>
  </r>
  <r>
    <s v="Singapore"/>
    <x v="5"/>
    <s v="SG1"/>
    <m/>
    <x v="5"/>
    <x v="2"/>
    <x v="0"/>
    <x v="5"/>
    <x v="0"/>
    <x v="0"/>
    <x v="0"/>
    <m/>
    <x v="0"/>
    <x v="0"/>
    <n v="0.1791585"/>
    <m/>
    <x v="1"/>
    <x v="1"/>
    <x v="0"/>
    <x v="5"/>
    <x v="2"/>
  </r>
  <r>
    <s v="Singapore"/>
    <x v="5"/>
    <s v="SG1"/>
    <m/>
    <x v="3"/>
    <x v="3"/>
    <x v="4"/>
    <x v="4"/>
    <x v="0"/>
    <x v="0"/>
    <x v="0"/>
    <m/>
    <x v="0"/>
    <x v="0"/>
    <n v="-4.6737000000000001E-2"/>
    <m/>
    <x v="0"/>
    <x v="1"/>
    <x v="0"/>
    <x v="5"/>
    <x v="1"/>
  </r>
  <r>
    <s v="Singapore"/>
    <x v="0"/>
    <s v="SG2"/>
    <m/>
    <x v="0"/>
    <x v="2"/>
    <x v="2"/>
    <x v="0"/>
    <x v="0"/>
    <x v="0"/>
    <x v="0"/>
    <m/>
    <x v="0"/>
    <x v="0"/>
    <n v="-1.012635"/>
    <m/>
    <x v="4"/>
    <x v="3"/>
    <x v="0"/>
    <x v="2"/>
    <x v="1"/>
  </r>
  <r>
    <s v="Singapore"/>
    <x v="1"/>
    <s v="SG1"/>
    <m/>
    <x v="5"/>
    <x v="4"/>
    <x v="1"/>
    <x v="2"/>
    <x v="0"/>
    <x v="0"/>
    <x v="0"/>
    <m/>
    <x v="0"/>
    <x v="0"/>
    <n v="-0.15579000000000001"/>
    <m/>
    <x v="0"/>
    <x v="3"/>
    <x v="0"/>
    <x v="3"/>
    <x v="2"/>
  </r>
  <r>
    <s v="Singapore"/>
    <x v="2"/>
    <s v="SG1"/>
    <m/>
    <x v="3"/>
    <x v="0"/>
    <x v="3"/>
    <x v="3"/>
    <x v="0"/>
    <x v="0"/>
    <x v="0"/>
    <m/>
    <x v="0"/>
    <x v="0"/>
    <n v="6.7586998860000005"/>
    <m/>
    <x v="8"/>
    <x v="2"/>
    <x v="0"/>
    <x v="4"/>
    <x v="0"/>
  </r>
  <r>
    <s v="Singapore"/>
    <x v="0"/>
    <s v="SG4"/>
    <m/>
    <x v="4"/>
    <x v="3"/>
    <x v="0"/>
    <x v="1"/>
    <x v="0"/>
    <x v="0"/>
    <x v="0"/>
    <m/>
    <x v="0"/>
    <x v="0"/>
    <n v="0.15579000000000001"/>
    <m/>
    <x v="1"/>
    <x v="2"/>
    <x v="0"/>
    <x v="5"/>
    <x v="0"/>
  </r>
  <r>
    <s v="Singapore"/>
    <x v="0"/>
    <s v="SG2"/>
    <m/>
    <x v="5"/>
    <x v="1"/>
    <x v="0"/>
    <x v="3"/>
    <x v="0"/>
    <x v="0"/>
    <x v="0"/>
    <m/>
    <x v="0"/>
    <x v="0"/>
    <n v="-0.12463200000000001"/>
    <m/>
    <x v="0"/>
    <x v="3"/>
    <x v="0"/>
    <x v="0"/>
    <x v="0"/>
  </r>
  <r>
    <s v="Singapore"/>
    <x v="1"/>
    <s v="SG2"/>
    <m/>
    <x v="1"/>
    <x v="1"/>
    <x v="0"/>
    <x v="5"/>
    <x v="0"/>
    <x v="0"/>
    <x v="0"/>
    <m/>
    <x v="0"/>
    <x v="0"/>
    <n v="3.8947500000000002"/>
    <m/>
    <x v="7"/>
    <x v="1"/>
    <x v="0"/>
    <x v="3"/>
    <x v="0"/>
  </r>
  <r>
    <s v="Singapore"/>
    <x v="4"/>
    <s v="SG4"/>
    <m/>
    <x v="5"/>
    <x v="2"/>
    <x v="1"/>
    <x v="2"/>
    <x v="0"/>
    <x v="0"/>
    <x v="0"/>
    <m/>
    <x v="0"/>
    <x v="0"/>
    <n v="40.368117852000005"/>
    <m/>
    <x v="2"/>
    <x v="1"/>
    <x v="0"/>
    <x v="2"/>
    <x v="0"/>
  </r>
  <r>
    <s v="Singapore"/>
    <x v="0"/>
    <s v="SG4"/>
    <m/>
    <x v="4"/>
    <x v="1"/>
    <x v="3"/>
    <x v="1"/>
    <x v="0"/>
    <x v="0"/>
    <x v="0"/>
    <m/>
    <x v="0"/>
    <x v="0"/>
    <n v="-0.1324215"/>
    <m/>
    <x v="4"/>
    <x v="3"/>
    <x v="0"/>
    <x v="0"/>
    <x v="0"/>
  </r>
  <r>
    <s v="Singapore"/>
    <x v="4"/>
    <s v="SG4"/>
    <m/>
    <x v="1"/>
    <x v="2"/>
    <x v="3"/>
    <x v="1"/>
    <x v="0"/>
    <x v="0"/>
    <x v="0"/>
    <m/>
    <x v="0"/>
    <x v="0"/>
    <n v="-1.0422351000000001"/>
    <m/>
    <x v="4"/>
    <x v="2"/>
    <x v="0"/>
    <x v="0"/>
    <x v="0"/>
  </r>
  <r>
    <s v="Singapore"/>
    <x v="1"/>
    <s v="SG1"/>
    <m/>
    <x v="3"/>
    <x v="0"/>
    <x v="3"/>
    <x v="4"/>
    <x v="0"/>
    <x v="0"/>
    <x v="0"/>
    <m/>
    <x v="0"/>
    <x v="0"/>
    <n v="-1.948216266"/>
    <m/>
    <x v="0"/>
    <x v="3"/>
    <x v="0"/>
    <x v="1"/>
    <x v="0"/>
  </r>
  <r>
    <s v="Singapore"/>
    <x v="3"/>
    <s v="SG1"/>
    <m/>
    <x v="2"/>
    <x v="0"/>
    <x v="3"/>
    <x v="3"/>
    <x v="0"/>
    <x v="0"/>
    <x v="0"/>
    <m/>
    <x v="0"/>
    <x v="0"/>
    <n v="4.0505399999999998"/>
    <m/>
    <x v="11"/>
    <x v="3"/>
    <x v="0"/>
    <x v="1"/>
    <x v="1"/>
  </r>
  <r>
    <s v="Singapore"/>
    <x v="0"/>
    <s v="SG1"/>
    <m/>
    <x v="4"/>
    <x v="2"/>
    <x v="0"/>
    <x v="4"/>
    <x v="0"/>
    <x v="0"/>
    <x v="0"/>
    <m/>
    <x v="0"/>
    <x v="0"/>
    <n v="-0.15579000000000001"/>
    <m/>
    <x v="0"/>
    <x v="3"/>
    <x v="0"/>
    <x v="5"/>
    <x v="0"/>
  </r>
  <r>
    <s v="Singapore"/>
    <x v="1"/>
    <s v="SG3"/>
    <m/>
    <x v="2"/>
    <x v="3"/>
    <x v="3"/>
    <x v="2"/>
    <x v="0"/>
    <x v="0"/>
    <x v="0"/>
    <m/>
    <x v="0"/>
    <x v="0"/>
    <n v="-0.30690630000000002"/>
    <m/>
    <x v="0"/>
    <x v="3"/>
    <x v="0"/>
    <x v="4"/>
    <x v="0"/>
  </r>
  <r>
    <s v="Singapore"/>
    <x v="2"/>
    <s v="SG3"/>
    <m/>
    <x v="3"/>
    <x v="0"/>
    <x v="1"/>
    <x v="1"/>
    <x v="0"/>
    <x v="0"/>
    <x v="0"/>
    <m/>
    <x v="0"/>
    <x v="0"/>
    <n v="-4.6737000000000002"/>
    <m/>
    <x v="4"/>
    <x v="2"/>
    <x v="0"/>
    <x v="4"/>
    <x v="0"/>
  </r>
  <r>
    <s v="Singapore"/>
    <x v="0"/>
    <s v="SG2"/>
    <m/>
    <x v="4"/>
    <x v="4"/>
    <x v="4"/>
    <x v="0"/>
    <x v="0"/>
    <x v="0"/>
    <x v="0"/>
    <m/>
    <x v="0"/>
    <x v="0"/>
    <n v="-23.984182080000004"/>
    <m/>
    <x v="9"/>
    <x v="0"/>
    <x v="0"/>
    <x v="5"/>
    <x v="2"/>
  </r>
  <r>
    <s v="Singapore"/>
    <x v="3"/>
    <s v="SG1"/>
    <m/>
    <x v="3"/>
    <x v="0"/>
    <x v="2"/>
    <x v="0"/>
    <x v="0"/>
    <x v="0"/>
    <x v="0"/>
    <m/>
    <x v="0"/>
    <x v="0"/>
    <n v="5.1410700000000004E-2"/>
    <m/>
    <x v="3"/>
    <x v="3"/>
    <x v="0"/>
    <x v="0"/>
    <x v="2"/>
  </r>
  <r>
    <s v="Singapore"/>
    <x v="5"/>
    <s v="SG2"/>
    <m/>
    <x v="1"/>
    <x v="3"/>
    <x v="0"/>
    <x v="3"/>
    <x v="0"/>
    <x v="0"/>
    <x v="0"/>
    <m/>
    <x v="0"/>
    <x v="0"/>
    <n v="-18.897327000000001"/>
    <m/>
    <x v="1"/>
    <x v="0"/>
    <x v="0"/>
    <x v="5"/>
    <x v="2"/>
  </r>
  <r>
    <s v="Singapore"/>
    <x v="3"/>
    <s v="SG1"/>
    <m/>
    <x v="2"/>
    <x v="2"/>
    <x v="2"/>
    <x v="3"/>
    <x v="0"/>
    <x v="0"/>
    <x v="0"/>
    <m/>
    <x v="0"/>
    <x v="0"/>
    <n v="-0.12463200000000001"/>
    <m/>
    <x v="4"/>
    <x v="3"/>
    <x v="0"/>
    <x v="4"/>
    <x v="0"/>
  </r>
  <r>
    <s v="Singapore"/>
    <x v="4"/>
    <s v="SG4"/>
    <m/>
    <x v="0"/>
    <x v="0"/>
    <x v="4"/>
    <x v="2"/>
    <x v="0"/>
    <x v="0"/>
    <x v="0"/>
    <m/>
    <x v="0"/>
    <x v="0"/>
    <n v="0.37389600000000001"/>
    <m/>
    <x v="1"/>
    <x v="2"/>
    <x v="0"/>
    <x v="3"/>
    <x v="0"/>
  </r>
  <r>
    <s v="Singapore"/>
    <x v="4"/>
    <s v="SG4"/>
    <m/>
    <x v="1"/>
    <x v="2"/>
    <x v="1"/>
    <x v="4"/>
    <x v="0"/>
    <x v="0"/>
    <x v="0"/>
    <m/>
    <x v="0"/>
    <x v="0"/>
    <n v="-1.1949093000000002"/>
    <m/>
    <x v="3"/>
    <x v="2"/>
    <x v="0"/>
    <x v="0"/>
    <x v="1"/>
  </r>
  <r>
    <s v="Singapore"/>
    <x v="2"/>
    <s v="SG3"/>
    <m/>
    <x v="3"/>
    <x v="3"/>
    <x v="0"/>
    <x v="3"/>
    <x v="0"/>
    <x v="0"/>
    <x v="0"/>
    <m/>
    <x v="0"/>
    <x v="0"/>
    <n v="-1.012635"/>
    <m/>
    <x v="0"/>
    <x v="3"/>
    <x v="0"/>
    <x v="3"/>
    <x v="1"/>
  </r>
  <r>
    <s v="Singapore"/>
    <x v="3"/>
    <s v="SG2"/>
    <m/>
    <x v="3"/>
    <x v="3"/>
    <x v="2"/>
    <x v="4"/>
    <x v="0"/>
    <x v="0"/>
    <x v="0"/>
    <m/>
    <x v="0"/>
    <x v="0"/>
    <n v="-4.6737000000000001E-2"/>
    <m/>
    <x v="6"/>
    <x v="0"/>
    <x v="0"/>
    <x v="0"/>
    <x v="1"/>
  </r>
  <r>
    <s v="Singapore"/>
    <x v="4"/>
    <s v="SG2"/>
    <m/>
    <x v="4"/>
    <x v="2"/>
    <x v="0"/>
    <x v="5"/>
    <x v="0"/>
    <x v="0"/>
    <x v="0"/>
    <m/>
    <x v="0"/>
    <x v="0"/>
    <n v="1.0801232280000002"/>
    <m/>
    <x v="1"/>
    <x v="2"/>
    <x v="0"/>
    <x v="1"/>
    <x v="2"/>
  </r>
  <r>
    <s v="Singapore"/>
    <x v="4"/>
    <s v="SG1"/>
    <m/>
    <x v="0"/>
    <x v="3"/>
    <x v="0"/>
    <x v="4"/>
    <x v="0"/>
    <x v="0"/>
    <x v="0"/>
    <m/>
    <x v="0"/>
    <x v="0"/>
    <n v="0.2258955"/>
    <m/>
    <x v="1"/>
    <x v="3"/>
    <x v="0"/>
    <x v="1"/>
    <x v="1"/>
  </r>
  <r>
    <s v="Singapore"/>
    <x v="0"/>
    <s v="SG4"/>
    <m/>
    <x v="5"/>
    <x v="3"/>
    <x v="1"/>
    <x v="2"/>
    <x v="0"/>
    <x v="0"/>
    <x v="0"/>
    <m/>
    <x v="0"/>
    <x v="0"/>
    <n v="0.85684500000000008"/>
    <m/>
    <x v="1"/>
    <x v="0"/>
    <x v="0"/>
    <x v="0"/>
    <x v="1"/>
  </r>
  <r>
    <s v="Singapore"/>
    <x v="5"/>
    <s v="SG4"/>
    <m/>
    <x v="4"/>
    <x v="2"/>
    <x v="0"/>
    <x v="0"/>
    <x v="0"/>
    <x v="0"/>
    <x v="0"/>
    <m/>
    <x v="0"/>
    <x v="0"/>
    <n v="-2.1031650000000002"/>
    <m/>
    <x v="4"/>
    <x v="3"/>
    <x v="0"/>
    <x v="3"/>
    <x v="1"/>
  </r>
  <r>
    <s v="Singapore"/>
    <x v="4"/>
    <s v="SG3"/>
    <m/>
    <x v="1"/>
    <x v="4"/>
    <x v="0"/>
    <x v="4"/>
    <x v="0"/>
    <x v="0"/>
    <x v="0"/>
    <m/>
    <x v="0"/>
    <x v="0"/>
    <n v="16.357950000000002"/>
    <m/>
    <x v="5"/>
    <x v="1"/>
    <x v="0"/>
    <x v="1"/>
    <x v="0"/>
  </r>
  <r>
    <s v="Singapore"/>
    <x v="5"/>
    <s v="SG1"/>
    <m/>
    <x v="4"/>
    <x v="0"/>
    <x v="0"/>
    <x v="5"/>
    <x v="0"/>
    <x v="0"/>
    <x v="0"/>
    <m/>
    <x v="0"/>
    <x v="0"/>
    <n v="-4.6737000000000001E-2"/>
    <m/>
    <x v="0"/>
    <x v="1"/>
    <x v="0"/>
    <x v="2"/>
    <x v="1"/>
  </r>
  <r>
    <s v="Singapore"/>
    <x v="4"/>
    <s v="SG3"/>
    <m/>
    <x v="0"/>
    <x v="3"/>
    <x v="1"/>
    <x v="3"/>
    <x v="0"/>
    <x v="0"/>
    <x v="0"/>
    <m/>
    <x v="0"/>
    <x v="0"/>
    <n v="-0.11248038"/>
    <m/>
    <x v="0"/>
    <x v="3"/>
    <x v="0"/>
    <x v="1"/>
    <x v="1"/>
  </r>
  <r>
    <s v="Singapore"/>
    <x v="2"/>
    <s v="SG4"/>
    <m/>
    <x v="4"/>
    <x v="4"/>
    <x v="1"/>
    <x v="1"/>
    <x v="0"/>
    <x v="0"/>
    <x v="0"/>
    <m/>
    <x v="0"/>
    <x v="0"/>
    <n v="-0.28821150000000001"/>
    <m/>
    <x v="3"/>
    <x v="1"/>
    <x v="0"/>
    <x v="0"/>
    <x v="0"/>
  </r>
  <r>
    <s v="Singapore"/>
    <x v="2"/>
    <s v="SG3"/>
    <m/>
    <x v="4"/>
    <x v="3"/>
    <x v="1"/>
    <x v="0"/>
    <x v="0"/>
    <x v="0"/>
    <x v="0"/>
    <m/>
    <x v="0"/>
    <x v="0"/>
    <n v="-0.140288895"/>
    <m/>
    <x v="4"/>
    <x v="2"/>
    <x v="0"/>
    <x v="4"/>
    <x v="0"/>
  </r>
  <r>
    <s v="Singapore"/>
    <x v="0"/>
    <s v="SG1"/>
    <m/>
    <x v="3"/>
    <x v="4"/>
    <x v="2"/>
    <x v="5"/>
    <x v="0"/>
    <x v="0"/>
    <x v="0"/>
    <m/>
    <x v="0"/>
    <x v="0"/>
    <n v="-0.21810600000000002"/>
    <m/>
    <x v="4"/>
    <x v="0"/>
    <x v="0"/>
    <x v="2"/>
    <x v="0"/>
  </r>
  <r>
    <s v="Singapore"/>
    <x v="0"/>
    <s v="SG2"/>
    <m/>
    <x v="1"/>
    <x v="0"/>
    <x v="1"/>
    <x v="1"/>
    <x v="0"/>
    <x v="0"/>
    <x v="0"/>
    <m/>
    <x v="0"/>
    <x v="0"/>
    <n v="1.480005"/>
    <m/>
    <x v="1"/>
    <x v="3"/>
    <x v="0"/>
    <x v="0"/>
    <x v="1"/>
  </r>
  <r>
    <s v="Singapore"/>
    <x v="0"/>
    <s v="SG2"/>
    <m/>
    <x v="4"/>
    <x v="0"/>
    <x v="1"/>
    <x v="2"/>
    <x v="0"/>
    <x v="0"/>
    <x v="0"/>
    <m/>
    <x v="0"/>
    <x v="0"/>
    <n v="-1.619218944"/>
    <m/>
    <x v="2"/>
    <x v="2"/>
    <x v="0"/>
    <x v="1"/>
    <x v="0"/>
  </r>
  <r>
    <s v="Singapore"/>
    <x v="0"/>
    <s v="SG3"/>
    <m/>
    <x v="2"/>
    <x v="4"/>
    <x v="3"/>
    <x v="3"/>
    <x v="0"/>
    <x v="0"/>
    <x v="0"/>
    <m/>
    <x v="0"/>
    <x v="0"/>
    <n v="2.8042199999999999"/>
    <m/>
    <x v="1"/>
    <x v="3"/>
    <x v="0"/>
    <x v="1"/>
    <x v="2"/>
  </r>
  <r>
    <s v="Singapore"/>
    <x v="3"/>
    <s v="SG2"/>
    <m/>
    <x v="0"/>
    <x v="1"/>
    <x v="2"/>
    <x v="5"/>
    <x v="0"/>
    <x v="0"/>
    <x v="0"/>
    <m/>
    <x v="0"/>
    <x v="0"/>
    <n v="0.1324215"/>
    <m/>
    <x v="1"/>
    <x v="3"/>
    <x v="0"/>
    <x v="0"/>
    <x v="2"/>
  </r>
  <r>
    <s v="Singapore"/>
    <x v="1"/>
    <s v="SG1"/>
    <m/>
    <x v="0"/>
    <x v="0"/>
    <x v="4"/>
    <x v="0"/>
    <x v="0"/>
    <x v="0"/>
    <x v="0"/>
    <m/>
    <x v="0"/>
    <x v="0"/>
    <n v="0.21810600000000002"/>
    <m/>
    <x v="4"/>
    <x v="3"/>
    <x v="0"/>
    <x v="1"/>
    <x v="2"/>
  </r>
  <r>
    <s v="Singapore"/>
    <x v="0"/>
    <s v="SG4"/>
    <m/>
    <x v="4"/>
    <x v="1"/>
    <x v="4"/>
    <x v="2"/>
    <x v="0"/>
    <x v="0"/>
    <x v="0"/>
    <m/>
    <x v="0"/>
    <x v="0"/>
    <n v="-0.25315874999999999"/>
    <m/>
    <x v="1"/>
    <x v="0"/>
    <x v="0"/>
    <x v="3"/>
    <x v="2"/>
  </r>
  <r>
    <s v="Singapore"/>
    <x v="5"/>
    <s v="SG1"/>
    <m/>
    <x v="5"/>
    <x v="1"/>
    <x v="1"/>
    <x v="2"/>
    <x v="0"/>
    <x v="0"/>
    <x v="0"/>
    <m/>
    <x v="0"/>
    <x v="0"/>
    <n v="-2.523798E-2"/>
    <m/>
    <x v="3"/>
    <x v="3"/>
    <x v="0"/>
    <x v="4"/>
    <x v="1"/>
  </r>
  <r>
    <s v="Singapore"/>
    <x v="2"/>
    <s v="SG1"/>
    <m/>
    <x v="3"/>
    <x v="4"/>
    <x v="2"/>
    <x v="2"/>
    <x v="0"/>
    <x v="0"/>
    <x v="0"/>
    <m/>
    <x v="0"/>
    <x v="0"/>
    <n v="-3.256011"/>
    <m/>
    <x v="4"/>
    <x v="3"/>
    <x v="0"/>
    <x v="1"/>
    <x v="2"/>
  </r>
  <r>
    <s v="Singapore"/>
    <x v="5"/>
    <s v="SG3"/>
    <m/>
    <x v="0"/>
    <x v="3"/>
    <x v="1"/>
    <x v="1"/>
    <x v="0"/>
    <x v="0"/>
    <x v="0"/>
    <m/>
    <x v="0"/>
    <x v="0"/>
    <n v="-0.17136900000000002"/>
    <m/>
    <x v="8"/>
    <x v="1"/>
    <x v="0"/>
    <x v="3"/>
    <x v="2"/>
  </r>
  <r>
    <s v="Singapore"/>
    <x v="4"/>
    <s v="SG2"/>
    <m/>
    <x v="3"/>
    <x v="0"/>
    <x v="1"/>
    <x v="4"/>
    <x v="0"/>
    <x v="0"/>
    <x v="0"/>
    <m/>
    <x v="0"/>
    <x v="0"/>
    <n v="-0.25705349999999999"/>
    <m/>
    <x v="6"/>
    <x v="0"/>
    <x v="0"/>
    <x v="4"/>
    <x v="2"/>
  </r>
  <r>
    <s v="Singapore"/>
    <x v="3"/>
    <s v="SG2"/>
    <m/>
    <x v="5"/>
    <x v="4"/>
    <x v="2"/>
    <x v="1"/>
    <x v="0"/>
    <x v="0"/>
    <x v="0"/>
    <m/>
    <x v="0"/>
    <x v="0"/>
    <n v="-0.15579000000000001"/>
    <m/>
    <x v="0"/>
    <x v="2"/>
    <x v="0"/>
    <x v="2"/>
    <x v="2"/>
  </r>
  <r>
    <s v="Singapore"/>
    <x v="4"/>
    <s v="SG3"/>
    <m/>
    <x v="0"/>
    <x v="2"/>
    <x v="0"/>
    <x v="5"/>
    <x v="0"/>
    <x v="0"/>
    <x v="0"/>
    <m/>
    <x v="0"/>
    <x v="0"/>
    <n v="0.21810600000000002"/>
    <m/>
    <x v="4"/>
    <x v="3"/>
    <x v="0"/>
    <x v="3"/>
    <x v="0"/>
  </r>
  <r>
    <s v="Singapore"/>
    <x v="5"/>
    <s v="SG2"/>
    <m/>
    <x v="3"/>
    <x v="2"/>
    <x v="3"/>
    <x v="0"/>
    <x v="0"/>
    <x v="0"/>
    <x v="0"/>
    <m/>
    <x v="0"/>
    <x v="0"/>
    <n v="0.15579000000000001"/>
    <m/>
    <x v="1"/>
    <x v="1"/>
    <x v="0"/>
    <x v="5"/>
    <x v="2"/>
  </r>
  <r>
    <s v="Singapore"/>
    <x v="3"/>
    <s v="SG3"/>
    <m/>
    <x v="0"/>
    <x v="2"/>
    <x v="4"/>
    <x v="4"/>
    <x v="0"/>
    <x v="0"/>
    <x v="0"/>
    <m/>
    <x v="0"/>
    <x v="0"/>
    <n v="-7.9251930900000014"/>
    <m/>
    <x v="6"/>
    <x v="0"/>
    <x v="0"/>
    <x v="0"/>
    <x v="0"/>
  </r>
  <r>
    <s v="Singapore"/>
    <x v="5"/>
    <s v="SG3"/>
    <m/>
    <x v="5"/>
    <x v="4"/>
    <x v="3"/>
    <x v="5"/>
    <x v="0"/>
    <x v="0"/>
    <x v="0"/>
    <m/>
    <x v="0"/>
    <x v="0"/>
    <n v="-2.4225345000000003"/>
    <m/>
    <x v="1"/>
    <x v="3"/>
    <x v="0"/>
    <x v="0"/>
    <x v="2"/>
  </r>
  <r>
    <s v="Singapore"/>
    <x v="3"/>
    <s v="SG3"/>
    <m/>
    <x v="4"/>
    <x v="3"/>
    <x v="0"/>
    <x v="5"/>
    <x v="0"/>
    <x v="0"/>
    <x v="0"/>
    <m/>
    <x v="0"/>
    <x v="0"/>
    <n v="2.4926400000000002"/>
    <m/>
    <x v="11"/>
    <x v="1"/>
    <x v="0"/>
    <x v="2"/>
    <x v="1"/>
  </r>
  <r>
    <s v="Singapore"/>
    <x v="0"/>
    <s v="SG1"/>
    <m/>
    <x v="0"/>
    <x v="2"/>
    <x v="4"/>
    <x v="4"/>
    <x v="0"/>
    <x v="0"/>
    <x v="0"/>
    <m/>
    <x v="0"/>
    <x v="0"/>
    <n v="0.233685"/>
    <m/>
    <x v="0"/>
    <x v="2"/>
    <x v="0"/>
    <x v="1"/>
    <x v="1"/>
  </r>
  <r>
    <s v="Singapore"/>
    <x v="2"/>
    <s v="SG1"/>
    <m/>
    <x v="5"/>
    <x v="2"/>
    <x v="4"/>
    <x v="4"/>
    <x v="0"/>
    <x v="0"/>
    <x v="0"/>
    <m/>
    <x v="0"/>
    <x v="0"/>
    <n v="-3.1158000000000002E-2"/>
    <m/>
    <x v="6"/>
    <x v="2"/>
    <x v="0"/>
    <x v="5"/>
    <x v="1"/>
  </r>
  <r>
    <s v="Singapore"/>
    <x v="1"/>
    <s v="SG1"/>
    <m/>
    <x v="5"/>
    <x v="3"/>
    <x v="2"/>
    <x v="0"/>
    <x v="0"/>
    <x v="0"/>
    <x v="0"/>
    <m/>
    <x v="0"/>
    <x v="0"/>
    <n v="0.46737000000000001"/>
    <m/>
    <x v="8"/>
    <x v="2"/>
    <x v="0"/>
    <x v="5"/>
    <x v="0"/>
  </r>
  <r>
    <s v="Singapore"/>
    <x v="4"/>
    <s v="SG3"/>
    <m/>
    <x v="1"/>
    <x v="3"/>
    <x v="0"/>
    <x v="5"/>
    <x v="0"/>
    <x v="0"/>
    <x v="0"/>
    <m/>
    <x v="0"/>
    <x v="0"/>
    <n v="-0.264843"/>
    <m/>
    <x v="0"/>
    <x v="1"/>
    <x v="0"/>
    <x v="1"/>
    <x v="1"/>
  </r>
  <r>
    <s v="Singapore"/>
    <x v="5"/>
    <s v="SG2"/>
    <m/>
    <x v="1"/>
    <x v="3"/>
    <x v="3"/>
    <x v="3"/>
    <x v="0"/>
    <x v="0"/>
    <x v="0"/>
    <m/>
    <x v="0"/>
    <x v="0"/>
    <n v="5.7806658450000006"/>
    <m/>
    <x v="7"/>
    <x v="2"/>
    <x v="0"/>
    <x v="1"/>
    <x v="2"/>
  </r>
  <r>
    <s v="Singapore"/>
    <x v="2"/>
    <s v="SG2"/>
    <m/>
    <x v="1"/>
    <x v="1"/>
    <x v="2"/>
    <x v="2"/>
    <x v="0"/>
    <x v="0"/>
    <x v="0"/>
    <m/>
    <x v="0"/>
    <x v="0"/>
    <n v="-4.0559926500000003"/>
    <m/>
    <x v="0"/>
    <x v="2"/>
    <x v="0"/>
    <x v="0"/>
    <x v="2"/>
  </r>
  <r>
    <s v="Singapore"/>
    <x v="5"/>
    <s v="SG3"/>
    <m/>
    <x v="5"/>
    <x v="4"/>
    <x v="0"/>
    <x v="0"/>
    <x v="0"/>
    <x v="0"/>
    <x v="0"/>
    <m/>
    <x v="0"/>
    <x v="0"/>
    <n v="9.8147700000000004E-2"/>
    <m/>
    <x v="3"/>
    <x v="3"/>
    <x v="0"/>
    <x v="2"/>
    <x v="0"/>
  </r>
  <r>
    <s v="Singapore"/>
    <x v="3"/>
    <s v="SG2"/>
    <m/>
    <x v="5"/>
    <x v="3"/>
    <x v="3"/>
    <x v="5"/>
    <x v="0"/>
    <x v="0"/>
    <x v="0"/>
    <m/>
    <x v="0"/>
    <x v="0"/>
    <n v="-0.17136900000000002"/>
    <m/>
    <x v="8"/>
    <x v="2"/>
    <x v="0"/>
    <x v="2"/>
    <x v="0"/>
  </r>
  <r>
    <s v="Singapore"/>
    <x v="3"/>
    <s v="SG4"/>
    <m/>
    <x v="1"/>
    <x v="2"/>
    <x v="2"/>
    <x v="1"/>
    <x v="0"/>
    <x v="0"/>
    <x v="0"/>
    <m/>
    <x v="0"/>
    <x v="0"/>
    <n v="-7.2722772000000004"/>
    <m/>
    <x v="3"/>
    <x v="3"/>
    <x v="0"/>
    <x v="0"/>
    <x v="2"/>
  </r>
  <r>
    <s v="Singapore"/>
    <x v="0"/>
    <s v="SG4"/>
    <m/>
    <x v="2"/>
    <x v="1"/>
    <x v="0"/>
    <x v="2"/>
    <x v="0"/>
    <x v="0"/>
    <x v="0"/>
    <m/>
    <x v="0"/>
    <x v="0"/>
    <n v="-1.5579000000000001E-2"/>
    <m/>
    <x v="0"/>
    <x v="3"/>
    <x v="0"/>
    <x v="2"/>
    <x v="2"/>
  </r>
  <r>
    <s v="Singapore"/>
    <x v="5"/>
    <s v="SG4"/>
    <m/>
    <x v="0"/>
    <x v="0"/>
    <x v="4"/>
    <x v="5"/>
    <x v="0"/>
    <x v="0"/>
    <x v="0"/>
    <m/>
    <x v="0"/>
    <x v="0"/>
    <n v="-1.168425"/>
    <m/>
    <x v="4"/>
    <x v="0"/>
    <x v="0"/>
    <x v="1"/>
    <x v="1"/>
  </r>
  <r>
    <s v="Singapore"/>
    <x v="2"/>
    <s v="SG4"/>
    <m/>
    <x v="0"/>
    <x v="0"/>
    <x v="1"/>
    <x v="4"/>
    <x v="0"/>
    <x v="0"/>
    <x v="0"/>
    <m/>
    <x v="0"/>
    <x v="0"/>
    <n v="1.0801232280000002"/>
    <m/>
    <x v="1"/>
    <x v="1"/>
    <x v="0"/>
    <x v="1"/>
    <x v="1"/>
  </r>
  <r>
    <s v="Singapore"/>
    <x v="5"/>
    <s v="SG4"/>
    <m/>
    <x v="1"/>
    <x v="1"/>
    <x v="2"/>
    <x v="1"/>
    <x v="0"/>
    <x v="0"/>
    <x v="0"/>
    <m/>
    <x v="0"/>
    <x v="0"/>
    <n v="-0.38947500000000002"/>
    <m/>
    <x v="4"/>
    <x v="0"/>
    <x v="0"/>
    <x v="0"/>
    <x v="0"/>
  </r>
  <r>
    <s v="Singapore"/>
    <x v="5"/>
    <s v="SG4"/>
    <m/>
    <x v="0"/>
    <x v="2"/>
    <x v="2"/>
    <x v="2"/>
    <x v="0"/>
    <x v="0"/>
    <x v="0"/>
    <m/>
    <x v="0"/>
    <x v="0"/>
    <n v="-2.4926400000000001E-2"/>
    <m/>
    <x v="6"/>
    <x v="2"/>
    <x v="0"/>
    <x v="5"/>
    <x v="2"/>
  </r>
  <r>
    <s v="Singapore"/>
    <x v="1"/>
    <s v="SG2"/>
    <m/>
    <x v="4"/>
    <x v="3"/>
    <x v="4"/>
    <x v="3"/>
    <x v="0"/>
    <x v="0"/>
    <x v="0"/>
    <m/>
    <x v="0"/>
    <x v="0"/>
    <n v="-5.5523556000000003"/>
    <m/>
    <x v="0"/>
    <x v="1"/>
    <x v="0"/>
    <x v="0"/>
    <x v="2"/>
  </r>
  <r>
    <s v="Singapore"/>
    <x v="2"/>
    <s v="SG2"/>
    <m/>
    <x v="2"/>
    <x v="4"/>
    <x v="2"/>
    <x v="4"/>
    <x v="0"/>
    <x v="0"/>
    <x v="0"/>
    <m/>
    <x v="0"/>
    <x v="0"/>
    <n v="2.96001"/>
    <m/>
    <x v="1"/>
    <x v="3"/>
    <x v="0"/>
    <x v="2"/>
    <x v="2"/>
  </r>
  <r>
    <s v="Singapore"/>
    <x v="4"/>
    <s v="SG4"/>
    <m/>
    <x v="4"/>
    <x v="1"/>
    <x v="2"/>
    <x v="4"/>
    <x v="0"/>
    <x v="0"/>
    <x v="0"/>
    <m/>
    <x v="0"/>
    <x v="0"/>
    <n v="4.0505400000000004E-2"/>
    <m/>
    <x v="2"/>
    <x v="3"/>
    <x v="0"/>
    <x v="3"/>
    <x v="2"/>
  </r>
  <r>
    <s v="Singapore"/>
    <x v="0"/>
    <s v="SG3"/>
    <m/>
    <x v="0"/>
    <x v="1"/>
    <x v="4"/>
    <x v="4"/>
    <x v="0"/>
    <x v="0"/>
    <x v="0"/>
    <m/>
    <x v="0"/>
    <x v="0"/>
    <n v="4.9773035520000004"/>
    <m/>
    <x v="7"/>
    <x v="0"/>
    <x v="0"/>
    <x v="5"/>
    <x v="1"/>
  </r>
  <r>
    <s v="Singapore"/>
    <x v="5"/>
    <s v="SG4"/>
    <m/>
    <x v="3"/>
    <x v="0"/>
    <x v="3"/>
    <x v="3"/>
    <x v="0"/>
    <x v="0"/>
    <x v="0"/>
    <m/>
    <x v="0"/>
    <x v="0"/>
    <n v="-4.6737000000000001E-2"/>
    <m/>
    <x v="0"/>
    <x v="0"/>
    <x v="0"/>
    <x v="4"/>
    <x v="0"/>
  </r>
  <r>
    <s v="Singapore"/>
    <x v="5"/>
    <s v="SG4"/>
    <m/>
    <x v="3"/>
    <x v="4"/>
    <x v="3"/>
    <x v="5"/>
    <x v="0"/>
    <x v="0"/>
    <x v="0"/>
    <m/>
    <x v="0"/>
    <x v="0"/>
    <n v="-0.140211"/>
    <m/>
    <x v="0"/>
    <x v="1"/>
    <x v="0"/>
    <x v="3"/>
    <x v="1"/>
  </r>
  <r>
    <s v="Singapore"/>
    <x v="1"/>
    <s v="SG1"/>
    <m/>
    <x v="4"/>
    <x v="0"/>
    <x v="0"/>
    <x v="1"/>
    <x v="0"/>
    <x v="0"/>
    <x v="0"/>
    <m/>
    <x v="0"/>
    <x v="0"/>
    <n v="-0.233685"/>
    <m/>
    <x v="0"/>
    <x v="3"/>
    <x v="0"/>
    <x v="5"/>
    <x v="0"/>
  </r>
  <r>
    <s v="Singapore"/>
    <x v="2"/>
    <s v="SG4"/>
    <m/>
    <x v="3"/>
    <x v="4"/>
    <x v="3"/>
    <x v="1"/>
    <x v="0"/>
    <x v="0"/>
    <x v="0"/>
    <m/>
    <x v="0"/>
    <x v="0"/>
    <n v="-0.13639414499999999"/>
    <m/>
    <x v="4"/>
    <x v="3"/>
    <x v="0"/>
    <x v="4"/>
    <x v="0"/>
  </r>
  <r>
    <s v="Singapore"/>
    <x v="1"/>
    <s v="SG4"/>
    <m/>
    <x v="4"/>
    <x v="3"/>
    <x v="3"/>
    <x v="0"/>
    <x v="0"/>
    <x v="0"/>
    <x v="0"/>
    <m/>
    <x v="0"/>
    <x v="0"/>
    <n v="-9.3474000000000002E-2"/>
    <m/>
    <x v="0"/>
    <x v="1"/>
    <x v="0"/>
    <x v="4"/>
    <x v="0"/>
  </r>
  <r>
    <s v="Singapore"/>
    <x v="3"/>
    <s v="SG2"/>
    <m/>
    <x v="3"/>
    <x v="0"/>
    <x v="1"/>
    <x v="4"/>
    <x v="0"/>
    <x v="0"/>
    <x v="0"/>
    <m/>
    <x v="0"/>
    <x v="0"/>
    <n v="-2.3368500000000001"/>
    <m/>
    <x v="3"/>
    <x v="1"/>
    <x v="0"/>
    <x v="5"/>
    <x v="2"/>
  </r>
  <r>
    <s v="Singapore"/>
    <x v="1"/>
    <s v="SG1"/>
    <m/>
    <x v="2"/>
    <x v="1"/>
    <x v="2"/>
    <x v="3"/>
    <x v="0"/>
    <x v="0"/>
    <x v="0"/>
    <m/>
    <x v="0"/>
    <x v="0"/>
    <n v="0.38947500000000002"/>
    <m/>
    <x v="8"/>
    <x v="0"/>
    <x v="0"/>
    <x v="4"/>
    <x v="2"/>
  </r>
  <r>
    <s v="Singapore"/>
    <x v="3"/>
    <s v="SG1"/>
    <m/>
    <x v="0"/>
    <x v="3"/>
    <x v="1"/>
    <x v="0"/>
    <x v="0"/>
    <x v="0"/>
    <x v="0"/>
    <m/>
    <x v="0"/>
    <x v="0"/>
    <n v="0.903582"/>
    <m/>
    <x v="1"/>
    <x v="0"/>
    <x v="0"/>
    <x v="4"/>
    <x v="0"/>
  </r>
  <r>
    <s v="Singapore"/>
    <x v="2"/>
    <s v="SG1"/>
    <m/>
    <x v="2"/>
    <x v="3"/>
    <x v="0"/>
    <x v="4"/>
    <x v="0"/>
    <x v="0"/>
    <x v="0"/>
    <m/>
    <x v="0"/>
    <x v="0"/>
    <n v="-7.7895000000000006E-2"/>
    <m/>
    <x v="0"/>
    <x v="0"/>
    <x v="0"/>
    <x v="1"/>
    <x v="0"/>
  </r>
  <r>
    <s v="Singapore"/>
    <x v="4"/>
    <s v="SG3"/>
    <m/>
    <x v="2"/>
    <x v="3"/>
    <x v="1"/>
    <x v="2"/>
    <x v="0"/>
    <x v="0"/>
    <x v="0"/>
    <m/>
    <x v="0"/>
    <x v="0"/>
    <n v="-3.1158000000000001"/>
    <m/>
    <x v="0"/>
    <x v="1"/>
    <x v="0"/>
    <x v="5"/>
    <x v="0"/>
  </r>
  <r>
    <s v="Singapore"/>
    <x v="4"/>
    <s v="SG2"/>
    <m/>
    <x v="5"/>
    <x v="2"/>
    <x v="4"/>
    <x v="0"/>
    <x v="0"/>
    <x v="0"/>
    <x v="0"/>
    <m/>
    <x v="0"/>
    <x v="0"/>
    <n v="1.168425"/>
    <m/>
    <x v="8"/>
    <x v="2"/>
    <x v="0"/>
    <x v="1"/>
    <x v="2"/>
  </r>
  <r>
    <s v="Singapore"/>
    <x v="0"/>
    <s v="SG3"/>
    <m/>
    <x v="0"/>
    <x v="1"/>
    <x v="3"/>
    <x v="0"/>
    <x v="0"/>
    <x v="0"/>
    <x v="0"/>
    <m/>
    <x v="0"/>
    <x v="0"/>
    <n v="-2.9303008470000003"/>
    <m/>
    <x v="3"/>
    <x v="0"/>
    <x v="0"/>
    <x v="2"/>
    <x v="1"/>
  </r>
  <r>
    <s v="Singapore"/>
    <x v="5"/>
    <s v="SG2"/>
    <m/>
    <x v="4"/>
    <x v="2"/>
    <x v="1"/>
    <x v="4"/>
    <x v="0"/>
    <x v="0"/>
    <x v="0"/>
    <m/>
    <x v="0"/>
    <x v="0"/>
    <n v="-11.964485052000001"/>
    <m/>
    <x v="7"/>
    <x v="1"/>
    <x v="0"/>
    <x v="3"/>
    <x v="2"/>
  </r>
  <r>
    <s v="Singapore"/>
    <x v="5"/>
    <s v="SG1"/>
    <m/>
    <x v="0"/>
    <x v="1"/>
    <x v="4"/>
    <x v="4"/>
    <x v="0"/>
    <x v="0"/>
    <x v="0"/>
    <m/>
    <x v="0"/>
    <x v="0"/>
    <n v="-5.4333320399999998"/>
    <m/>
    <x v="6"/>
    <x v="1"/>
    <x v="0"/>
    <x v="0"/>
    <x v="0"/>
  </r>
  <r>
    <s v="Singapore"/>
    <x v="2"/>
    <s v="SG4"/>
    <m/>
    <x v="5"/>
    <x v="2"/>
    <x v="2"/>
    <x v="1"/>
    <x v="0"/>
    <x v="0"/>
    <x v="0"/>
    <m/>
    <x v="0"/>
    <x v="0"/>
    <n v="93.474000000000004"/>
    <m/>
    <x v="1"/>
    <x v="1"/>
    <x v="0"/>
    <x v="0"/>
    <x v="0"/>
  </r>
  <r>
    <s v="Singapore"/>
    <x v="0"/>
    <s v="SG2"/>
    <m/>
    <x v="2"/>
    <x v="2"/>
    <x v="1"/>
    <x v="0"/>
    <x v="0"/>
    <x v="0"/>
    <x v="0"/>
    <m/>
    <x v="0"/>
    <x v="0"/>
    <n v="-1.6357950000000001"/>
    <m/>
    <x v="4"/>
    <x v="0"/>
    <x v="0"/>
    <x v="1"/>
    <x v="1"/>
  </r>
  <r>
    <s v="Singapore"/>
    <x v="0"/>
    <s v="SG2"/>
    <m/>
    <x v="4"/>
    <x v="4"/>
    <x v="2"/>
    <x v="4"/>
    <x v="0"/>
    <x v="0"/>
    <x v="0"/>
    <m/>
    <x v="0"/>
    <x v="0"/>
    <n v="-0.74779200000000001"/>
    <m/>
    <x v="0"/>
    <x v="3"/>
    <x v="0"/>
    <x v="0"/>
    <x v="0"/>
  </r>
  <r>
    <s v="Singapore"/>
    <x v="3"/>
    <s v="SG1"/>
    <m/>
    <x v="1"/>
    <x v="3"/>
    <x v="2"/>
    <x v="0"/>
    <x v="0"/>
    <x v="0"/>
    <x v="0"/>
    <m/>
    <x v="0"/>
    <x v="0"/>
    <n v="-0.38947500000000002"/>
    <m/>
    <x v="0"/>
    <x v="3"/>
    <x v="0"/>
    <x v="2"/>
    <x v="0"/>
  </r>
  <r>
    <s v="Singapore"/>
    <x v="5"/>
    <s v="SG3"/>
    <m/>
    <x v="0"/>
    <x v="4"/>
    <x v="4"/>
    <x v="3"/>
    <x v="0"/>
    <x v="0"/>
    <x v="0"/>
    <m/>
    <x v="0"/>
    <x v="0"/>
    <n v="0.77895000000000003"/>
    <m/>
    <x v="4"/>
    <x v="3"/>
    <x v="0"/>
    <x v="3"/>
    <x v="2"/>
  </r>
  <r>
    <s v="Singapore"/>
    <x v="5"/>
    <s v="SG4"/>
    <m/>
    <x v="4"/>
    <x v="4"/>
    <x v="1"/>
    <x v="4"/>
    <x v="0"/>
    <x v="0"/>
    <x v="0"/>
    <m/>
    <x v="0"/>
    <x v="0"/>
    <n v="-0.38947500000000002"/>
    <m/>
    <x v="0"/>
    <x v="0"/>
    <x v="0"/>
    <x v="5"/>
    <x v="0"/>
  </r>
  <r>
    <s v="Singapore"/>
    <x v="0"/>
    <s v="SG4"/>
    <m/>
    <x v="5"/>
    <x v="1"/>
    <x v="0"/>
    <x v="4"/>
    <x v="0"/>
    <x v="0"/>
    <x v="0"/>
    <m/>
    <x v="0"/>
    <x v="0"/>
    <n v="-2.3991660000000001"/>
    <m/>
    <x v="4"/>
    <x v="0"/>
    <x v="0"/>
    <x v="5"/>
    <x v="2"/>
  </r>
  <r>
    <s v="Singapore"/>
    <x v="4"/>
    <s v="SG1"/>
    <m/>
    <x v="3"/>
    <x v="2"/>
    <x v="1"/>
    <x v="5"/>
    <x v="0"/>
    <x v="0"/>
    <x v="0"/>
    <m/>
    <x v="0"/>
    <x v="0"/>
    <n v="-4.6737000000000001E-2"/>
    <m/>
    <x v="0"/>
    <x v="1"/>
    <x v="0"/>
    <x v="0"/>
    <x v="2"/>
  </r>
  <r>
    <s v="Singapore"/>
    <x v="4"/>
    <s v="SG1"/>
    <m/>
    <x v="1"/>
    <x v="0"/>
    <x v="2"/>
    <x v="2"/>
    <x v="0"/>
    <x v="0"/>
    <x v="0"/>
    <m/>
    <x v="0"/>
    <x v="0"/>
    <n v="-0.1168425"/>
    <m/>
    <x v="3"/>
    <x v="0"/>
    <x v="0"/>
    <x v="3"/>
    <x v="1"/>
  </r>
  <r>
    <s v="Singapore"/>
    <x v="1"/>
    <s v="SG1"/>
    <m/>
    <x v="1"/>
    <x v="0"/>
    <x v="3"/>
    <x v="4"/>
    <x v="0"/>
    <x v="0"/>
    <x v="0"/>
    <m/>
    <x v="0"/>
    <x v="0"/>
    <n v="-0.15579000000000001"/>
    <m/>
    <x v="0"/>
    <x v="3"/>
    <x v="0"/>
    <x v="2"/>
    <x v="0"/>
  </r>
  <r>
    <s v="Singapore"/>
    <x v="4"/>
    <s v="SG4"/>
    <m/>
    <x v="0"/>
    <x v="0"/>
    <x v="0"/>
    <x v="2"/>
    <x v="0"/>
    <x v="0"/>
    <x v="0"/>
    <m/>
    <x v="0"/>
    <x v="0"/>
    <n v="-7.7895000000000006E-2"/>
    <m/>
    <x v="0"/>
    <x v="0"/>
    <x v="0"/>
    <x v="4"/>
    <x v="1"/>
  </r>
  <r>
    <s v="Singapore"/>
    <x v="5"/>
    <s v="SG3"/>
    <m/>
    <x v="2"/>
    <x v="1"/>
    <x v="2"/>
    <x v="0"/>
    <x v="0"/>
    <x v="0"/>
    <x v="0"/>
    <m/>
    <x v="0"/>
    <x v="0"/>
    <n v="-1.2463200000000001"/>
    <m/>
    <x v="4"/>
    <x v="2"/>
    <x v="0"/>
    <x v="4"/>
    <x v="2"/>
  </r>
  <r>
    <s v="Singapore"/>
    <x v="2"/>
    <s v="SG2"/>
    <m/>
    <x v="3"/>
    <x v="3"/>
    <x v="0"/>
    <x v="4"/>
    <x v="0"/>
    <x v="0"/>
    <x v="0"/>
    <m/>
    <x v="0"/>
    <x v="0"/>
    <n v="-0.12307410000000001"/>
    <m/>
    <x v="4"/>
    <x v="0"/>
    <x v="0"/>
    <x v="2"/>
    <x v="1"/>
  </r>
  <r>
    <s v="Singapore"/>
    <x v="4"/>
    <s v="SG4"/>
    <m/>
    <x v="3"/>
    <x v="0"/>
    <x v="0"/>
    <x v="3"/>
    <x v="0"/>
    <x v="0"/>
    <x v="0"/>
    <m/>
    <x v="0"/>
    <x v="0"/>
    <n v="-0.280422"/>
    <m/>
    <x v="1"/>
    <x v="3"/>
    <x v="0"/>
    <x v="4"/>
    <x v="0"/>
  </r>
  <r>
    <s v="Singapore"/>
    <x v="4"/>
    <s v="SG1"/>
    <m/>
    <x v="0"/>
    <x v="4"/>
    <x v="4"/>
    <x v="3"/>
    <x v="0"/>
    <x v="0"/>
    <x v="0"/>
    <m/>
    <x v="0"/>
    <x v="0"/>
    <n v="33.49485"/>
    <m/>
    <x v="2"/>
    <x v="1"/>
    <x v="0"/>
    <x v="1"/>
    <x v="2"/>
  </r>
  <r>
    <s v="Singapore"/>
    <x v="5"/>
    <s v="SG1"/>
    <m/>
    <x v="2"/>
    <x v="1"/>
    <x v="2"/>
    <x v="0"/>
    <x v="0"/>
    <x v="0"/>
    <x v="0"/>
    <m/>
    <x v="0"/>
    <x v="0"/>
    <n v="0.280422"/>
    <m/>
    <x v="0"/>
    <x v="3"/>
    <x v="0"/>
    <x v="3"/>
    <x v="0"/>
  </r>
  <r>
    <s v="Singapore"/>
    <x v="3"/>
    <s v="SG3"/>
    <m/>
    <x v="1"/>
    <x v="2"/>
    <x v="4"/>
    <x v="5"/>
    <x v="0"/>
    <x v="0"/>
    <x v="0"/>
    <m/>
    <x v="0"/>
    <x v="0"/>
    <n v="0.44400150000000005"/>
    <m/>
    <x v="1"/>
    <x v="1"/>
    <x v="0"/>
    <x v="5"/>
    <x v="0"/>
  </r>
  <r>
    <s v="Singapore"/>
    <x v="5"/>
    <s v="SG3"/>
    <m/>
    <x v="0"/>
    <x v="4"/>
    <x v="0"/>
    <x v="4"/>
    <x v="0"/>
    <x v="0"/>
    <x v="0"/>
    <m/>
    <x v="0"/>
    <x v="0"/>
    <n v="1.3008465"/>
    <m/>
    <x v="1"/>
    <x v="2"/>
    <x v="0"/>
    <x v="3"/>
    <x v="1"/>
  </r>
  <r>
    <s v="Singapore"/>
    <x v="2"/>
    <s v="SG4"/>
    <m/>
    <x v="5"/>
    <x v="3"/>
    <x v="4"/>
    <x v="3"/>
    <x v="0"/>
    <x v="0"/>
    <x v="0"/>
    <m/>
    <x v="0"/>
    <x v="0"/>
    <n v="-5.4526500000000002"/>
    <m/>
    <x v="1"/>
    <x v="0"/>
    <x v="0"/>
    <x v="2"/>
    <x v="1"/>
  </r>
  <r>
    <s v="Singapore"/>
    <x v="0"/>
    <s v="SG2"/>
    <m/>
    <x v="1"/>
    <x v="2"/>
    <x v="4"/>
    <x v="2"/>
    <x v="0"/>
    <x v="0"/>
    <x v="0"/>
    <m/>
    <x v="0"/>
    <x v="0"/>
    <n v="-0.1838322"/>
    <m/>
    <x v="4"/>
    <x v="3"/>
    <x v="0"/>
    <x v="4"/>
    <x v="1"/>
  </r>
  <r>
    <s v="Singapore"/>
    <x v="3"/>
    <s v="SG2"/>
    <m/>
    <x v="0"/>
    <x v="2"/>
    <x v="0"/>
    <x v="5"/>
    <x v="0"/>
    <x v="0"/>
    <x v="0"/>
    <m/>
    <x v="0"/>
    <x v="0"/>
    <n v="2.4339227490000002"/>
    <m/>
    <x v="8"/>
    <x v="0"/>
    <x v="0"/>
    <x v="5"/>
    <x v="0"/>
  </r>
  <r>
    <s v="Singapore"/>
    <x v="2"/>
    <s v="SG3"/>
    <m/>
    <x v="5"/>
    <x v="3"/>
    <x v="0"/>
    <x v="0"/>
    <x v="0"/>
    <x v="0"/>
    <x v="0"/>
    <m/>
    <x v="0"/>
    <x v="0"/>
    <n v="0.31158000000000002"/>
    <m/>
    <x v="1"/>
    <x v="2"/>
    <x v="0"/>
    <x v="5"/>
    <x v="1"/>
  </r>
  <r>
    <s v="Singapore"/>
    <x v="1"/>
    <s v="SG3"/>
    <m/>
    <x v="1"/>
    <x v="1"/>
    <x v="1"/>
    <x v="1"/>
    <x v="0"/>
    <x v="0"/>
    <x v="0"/>
    <m/>
    <x v="0"/>
    <x v="0"/>
    <n v="-1.5579000000000001"/>
    <m/>
    <x v="2"/>
    <x v="0"/>
    <x v="0"/>
    <x v="3"/>
    <x v="1"/>
  </r>
  <r>
    <s v="Singapore"/>
    <x v="5"/>
    <s v="SG3"/>
    <m/>
    <x v="4"/>
    <x v="4"/>
    <x v="2"/>
    <x v="3"/>
    <x v="0"/>
    <x v="0"/>
    <x v="0"/>
    <m/>
    <x v="0"/>
    <x v="0"/>
    <n v="3.2092740000000002E-2"/>
    <m/>
    <x v="8"/>
    <x v="2"/>
    <x v="0"/>
    <x v="5"/>
    <x v="0"/>
  </r>
  <r>
    <s v="Singapore"/>
    <x v="2"/>
    <s v="SG4"/>
    <m/>
    <x v="3"/>
    <x v="2"/>
    <x v="3"/>
    <x v="4"/>
    <x v="0"/>
    <x v="0"/>
    <x v="0"/>
    <m/>
    <x v="0"/>
    <x v="0"/>
    <n v="-3.8947500000000003E-2"/>
    <m/>
    <x v="0"/>
    <x v="1"/>
    <x v="0"/>
    <x v="1"/>
    <x v="2"/>
  </r>
  <r>
    <s v="Singapore"/>
    <x v="5"/>
    <s v="SG1"/>
    <m/>
    <x v="4"/>
    <x v="0"/>
    <x v="3"/>
    <x v="0"/>
    <x v="0"/>
    <x v="0"/>
    <x v="0"/>
    <m/>
    <x v="0"/>
    <x v="0"/>
    <n v="-9.3474000000000002E-2"/>
    <m/>
    <x v="6"/>
    <x v="1"/>
    <x v="0"/>
    <x v="3"/>
    <x v="2"/>
  </r>
  <r>
    <s v="Singapore"/>
    <x v="4"/>
    <s v="SG1"/>
    <m/>
    <x v="0"/>
    <x v="3"/>
    <x v="3"/>
    <x v="0"/>
    <x v="0"/>
    <x v="0"/>
    <x v="0"/>
    <m/>
    <x v="0"/>
    <x v="0"/>
    <n v="-0.12463200000000001"/>
    <m/>
    <x v="0"/>
    <x v="1"/>
    <x v="0"/>
    <x v="3"/>
    <x v="1"/>
  </r>
  <r>
    <s v="Singapore"/>
    <x v="1"/>
    <s v="SG3"/>
    <m/>
    <x v="1"/>
    <x v="4"/>
    <x v="3"/>
    <x v="1"/>
    <x v="0"/>
    <x v="0"/>
    <x v="0"/>
    <m/>
    <x v="0"/>
    <x v="0"/>
    <n v="-7.7895000000000006E-2"/>
    <m/>
    <x v="0"/>
    <x v="3"/>
    <x v="0"/>
    <x v="5"/>
    <x v="0"/>
  </r>
  <r>
    <s v="Singapore"/>
    <x v="5"/>
    <s v="SG1"/>
    <m/>
    <x v="0"/>
    <x v="1"/>
    <x v="1"/>
    <x v="5"/>
    <x v="0"/>
    <x v="0"/>
    <x v="0"/>
    <m/>
    <x v="0"/>
    <x v="0"/>
    <n v="0.279082206"/>
    <m/>
    <x v="8"/>
    <x v="3"/>
    <x v="0"/>
    <x v="1"/>
    <x v="2"/>
  </r>
  <r>
    <s v="Singapore"/>
    <x v="4"/>
    <s v="SG1"/>
    <m/>
    <x v="1"/>
    <x v="4"/>
    <x v="2"/>
    <x v="0"/>
    <x v="0"/>
    <x v="0"/>
    <x v="0"/>
    <m/>
    <x v="0"/>
    <x v="0"/>
    <n v="-2.3991660000000001"/>
    <m/>
    <x v="4"/>
    <x v="3"/>
    <x v="0"/>
    <x v="3"/>
    <x v="2"/>
  </r>
  <r>
    <s v="Singapore"/>
    <x v="0"/>
    <s v="SG3"/>
    <m/>
    <x v="3"/>
    <x v="2"/>
    <x v="1"/>
    <x v="4"/>
    <x v="0"/>
    <x v="0"/>
    <x v="0"/>
    <m/>
    <x v="0"/>
    <x v="0"/>
    <n v="-0.18137071800000001"/>
    <m/>
    <x v="0"/>
    <x v="2"/>
    <x v="0"/>
    <x v="0"/>
    <x v="1"/>
  </r>
  <r>
    <s v="Singapore"/>
    <x v="2"/>
    <s v="SG1"/>
    <m/>
    <x v="4"/>
    <x v="4"/>
    <x v="4"/>
    <x v="0"/>
    <x v="0"/>
    <x v="0"/>
    <x v="0"/>
    <m/>
    <x v="0"/>
    <x v="0"/>
    <n v="16.503971967000002"/>
    <m/>
    <x v="7"/>
    <x v="0"/>
    <x v="0"/>
    <x v="2"/>
    <x v="2"/>
  </r>
  <r>
    <s v="Singapore"/>
    <x v="3"/>
    <s v="SG4"/>
    <m/>
    <x v="4"/>
    <x v="1"/>
    <x v="2"/>
    <x v="2"/>
    <x v="0"/>
    <x v="0"/>
    <x v="0"/>
    <m/>
    <x v="0"/>
    <x v="0"/>
    <n v="-0.15579000000000001"/>
    <m/>
    <x v="4"/>
    <x v="3"/>
    <x v="0"/>
    <x v="3"/>
    <x v="1"/>
  </r>
  <r>
    <s v="Singapore"/>
    <x v="2"/>
    <s v="SG4"/>
    <m/>
    <x v="4"/>
    <x v="0"/>
    <x v="1"/>
    <x v="1"/>
    <x v="0"/>
    <x v="0"/>
    <x v="0"/>
    <m/>
    <x v="0"/>
    <x v="0"/>
    <n v="-0.280422"/>
    <m/>
    <x v="4"/>
    <x v="2"/>
    <x v="0"/>
    <x v="4"/>
    <x v="1"/>
  </r>
  <r>
    <s v="Singapore"/>
    <x v="3"/>
    <s v="SG3"/>
    <m/>
    <x v="4"/>
    <x v="3"/>
    <x v="0"/>
    <x v="5"/>
    <x v="0"/>
    <x v="0"/>
    <x v="0"/>
    <m/>
    <x v="0"/>
    <x v="0"/>
    <n v="13.319577630000001"/>
    <m/>
    <x v="5"/>
    <x v="0"/>
    <x v="0"/>
    <x v="2"/>
    <x v="0"/>
  </r>
  <r>
    <s v="Singapore"/>
    <x v="2"/>
    <s v="SG1"/>
    <m/>
    <x v="1"/>
    <x v="1"/>
    <x v="4"/>
    <x v="2"/>
    <x v="0"/>
    <x v="0"/>
    <x v="0"/>
    <m/>
    <x v="0"/>
    <x v="0"/>
    <n v="0.21810600000000002"/>
    <m/>
    <x v="4"/>
    <x v="2"/>
    <x v="0"/>
    <x v="1"/>
    <x v="2"/>
  </r>
  <r>
    <s v="Singapore"/>
    <x v="1"/>
    <s v="SG3"/>
    <m/>
    <x v="2"/>
    <x v="1"/>
    <x v="4"/>
    <x v="0"/>
    <x v="0"/>
    <x v="0"/>
    <x v="0"/>
    <m/>
    <x v="0"/>
    <x v="0"/>
    <n v="-1.9347404310000003"/>
    <m/>
    <x v="4"/>
    <x v="1"/>
    <x v="0"/>
    <x v="5"/>
    <x v="1"/>
  </r>
  <r>
    <s v="Singapore"/>
    <x v="4"/>
    <s v="SG1"/>
    <m/>
    <x v="2"/>
    <x v="0"/>
    <x v="0"/>
    <x v="2"/>
    <x v="0"/>
    <x v="0"/>
    <x v="0"/>
    <m/>
    <x v="0"/>
    <x v="0"/>
    <n v="0.10074939300000001"/>
    <m/>
    <x v="9"/>
    <x v="2"/>
    <x v="0"/>
    <x v="1"/>
    <x v="2"/>
  </r>
  <r>
    <s v="Singapore"/>
    <x v="5"/>
    <s v="SG4"/>
    <m/>
    <x v="1"/>
    <x v="2"/>
    <x v="4"/>
    <x v="3"/>
    <x v="0"/>
    <x v="0"/>
    <x v="0"/>
    <m/>
    <x v="0"/>
    <x v="0"/>
    <n v="-0.12463200000000001"/>
    <m/>
    <x v="0"/>
    <x v="1"/>
    <x v="0"/>
    <x v="1"/>
    <x v="1"/>
  </r>
  <r>
    <s v="Singapore"/>
    <x v="4"/>
    <s v="SG4"/>
    <m/>
    <x v="1"/>
    <x v="2"/>
    <x v="0"/>
    <x v="3"/>
    <x v="0"/>
    <x v="0"/>
    <x v="0"/>
    <m/>
    <x v="0"/>
    <x v="0"/>
    <n v="-0.86214186000000004"/>
    <m/>
    <x v="1"/>
    <x v="2"/>
    <x v="0"/>
    <x v="4"/>
    <x v="1"/>
  </r>
  <r>
    <s v="Singapore"/>
    <x v="3"/>
    <s v="SG3"/>
    <m/>
    <x v="4"/>
    <x v="4"/>
    <x v="1"/>
    <x v="1"/>
    <x v="0"/>
    <x v="0"/>
    <x v="0"/>
    <m/>
    <x v="0"/>
    <x v="0"/>
    <n v="-4.2063300000000005E-2"/>
    <m/>
    <x v="3"/>
    <x v="1"/>
    <x v="0"/>
    <x v="3"/>
    <x v="0"/>
  </r>
  <r>
    <s v="Singapore"/>
    <x v="2"/>
    <s v="SG1"/>
    <m/>
    <x v="5"/>
    <x v="3"/>
    <x v="1"/>
    <x v="0"/>
    <x v="0"/>
    <x v="0"/>
    <x v="0"/>
    <m/>
    <x v="0"/>
    <x v="0"/>
    <n v="-0.24926400000000001"/>
    <m/>
    <x v="0"/>
    <x v="3"/>
    <x v="0"/>
    <x v="0"/>
    <x v="1"/>
  </r>
  <r>
    <s v="Singapore"/>
    <x v="0"/>
    <s v="SG1"/>
    <m/>
    <x v="4"/>
    <x v="2"/>
    <x v="2"/>
    <x v="1"/>
    <x v="0"/>
    <x v="0"/>
    <x v="0"/>
    <m/>
    <x v="0"/>
    <x v="0"/>
    <n v="-9.8147700000000004E-2"/>
    <m/>
    <x v="3"/>
    <x v="3"/>
    <x v="0"/>
    <x v="2"/>
    <x v="1"/>
  </r>
  <r>
    <s v="Singapore"/>
    <x v="0"/>
    <s v="SG3"/>
    <m/>
    <x v="4"/>
    <x v="2"/>
    <x v="0"/>
    <x v="4"/>
    <x v="0"/>
    <x v="0"/>
    <x v="0"/>
    <m/>
    <x v="0"/>
    <x v="0"/>
    <n v="-0.21810600000000002"/>
    <m/>
    <x v="0"/>
    <x v="3"/>
    <x v="0"/>
    <x v="3"/>
    <x v="2"/>
  </r>
  <r>
    <s v="Singapore"/>
    <x v="4"/>
    <s v="SG3"/>
    <m/>
    <x v="4"/>
    <x v="0"/>
    <x v="0"/>
    <x v="5"/>
    <x v="0"/>
    <x v="0"/>
    <x v="0"/>
    <m/>
    <x v="0"/>
    <x v="0"/>
    <n v="-2.1031650000000002"/>
    <m/>
    <x v="4"/>
    <x v="0"/>
    <x v="0"/>
    <x v="5"/>
    <x v="2"/>
  </r>
  <r>
    <s v="Singapore"/>
    <x v="0"/>
    <s v="SG4"/>
    <m/>
    <x v="5"/>
    <x v="1"/>
    <x v="0"/>
    <x v="0"/>
    <x v="0"/>
    <x v="0"/>
    <x v="0"/>
    <m/>
    <x v="0"/>
    <x v="0"/>
    <n v="0.21031650000000002"/>
    <m/>
    <x v="7"/>
    <x v="1"/>
    <x v="0"/>
    <x v="1"/>
    <x v="0"/>
  </r>
  <r>
    <s v="Singapore"/>
    <x v="5"/>
    <s v="SG3"/>
    <m/>
    <x v="2"/>
    <x v="2"/>
    <x v="1"/>
    <x v="5"/>
    <x v="0"/>
    <x v="0"/>
    <x v="0"/>
    <m/>
    <x v="0"/>
    <x v="0"/>
    <n v="-0.12463200000000001"/>
    <m/>
    <x v="4"/>
    <x v="1"/>
    <x v="0"/>
    <x v="4"/>
    <x v="1"/>
  </r>
  <r>
    <s v="Singapore"/>
    <x v="1"/>
    <s v="SG1"/>
    <m/>
    <x v="1"/>
    <x v="0"/>
    <x v="1"/>
    <x v="1"/>
    <x v="0"/>
    <x v="0"/>
    <x v="0"/>
    <m/>
    <x v="0"/>
    <x v="0"/>
    <n v="-0.17136900000000002"/>
    <m/>
    <x v="0"/>
    <x v="0"/>
    <x v="0"/>
    <x v="0"/>
    <x v="1"/>
  </r>
  <r>
    <s v="Singapore"/>
    <x v="3"/>
    <s v="SG3"/>
    <m/>
    <x v="0"/>
    <x v="4"/>
    <x v="3"/>
    <x v="2"/>
    <x v="0"/>
    <x v="0"/>
    <x v="0"/>
    <m/>
    <x v="0"/>
    <x v="0"/>
    <n v="1.7760060000000002"/>
    <m/>
    <x v="8"/>
    <x v="2"/>
    <x v="0"/>
    <x v="0"/>
    <x v="1"/>
  </r>
  <r>
    <s v="Singapore"/>
    <x v="3"/>
    <s v="SG4"/>
    <m/>
    <x v="5"/>
    <x v="3"/>
    <x v="3"/>
    <x v="4"/>
    <x v="0"/>
    <x v="0"/>
    <x v="0"/>
    <m/>
    <x v="0"/>
    <x v="0"/>
    <n v="33.020531766000005"/>
    <m/>
    <x v="8"/>
    <x v="0"/>
    <x v="0"/>
    <x v="0"/>
    <x v="1"/>
  </r>
  <r>
    <s v="Singapore"/>
    <x v="3"/>
    <s v="SG2"/>
    <m/>
    <x v="0"/>
    <x v="0"/>
    <x v="4"/>
    <x v="4"/>
    <x v="0"/>
    <x v="0"/>
    <x v="0"/>
    <m/>
    <x v="0"/>
    <x v="0"/>
    <n v="81.914382000000003"/>
    <m/>
    <x v="2"/>
    <x v="1"/>
    <x v="0"/>
    <x v="3"/>
    <x v="1"/>
  </r>
  <r>
    <s v="Singapore"/>
    <x v="5"/>
    <s v="SG2"/>
    <m/>
    <x v="5"/>
    <x v="2"/>
    <x v="0"/>
    <x v="1"/>
    <x v="0"/>
    <x v="0"/>
    <x v="0"/>
    <m/>
    <x v="0"/>
    <x v="0"/>
    <n v="-0.15579000000000001"/>
    <m/>
    <x v="0"/>
    <x v="3"/>
    <x v="0"/>
    <x v="4"/>
    <x v="2"/>
  </r>
  <r>
    <s v="Singapore"/>
    <x v="5"/>
    <s v="SG3"/>
    <m/>
    <x v="4"/>
    <x v="0"/>
    <x v="3"/>
    <x v="4"/>
    <x v="0"/>
    <x v="0"/>
    <x v="0"/>
    <m/>
    <x v="0"/>
    <x v="0"/>
    <n v="-4.6737000000000003E-3"/>
    <m/>
    <x v="3"/>
    <x v="1"/>
    <x v="0"/>
    <x v="4"/>
    <x v="0"/>
  </r>
  <r>
    <s v="Singapore"/>
    <x v="2"/>
    <s v="SG2"/>
    <m/>
    <x v="1"/>
    <x v="0"/>
    <x v="1"/>
    <x v="5"/>
    <x v="0"/>
    <x v="0"/>
    <x v="0"/>
    <m/>
    <x v="0"/>
    <x v="0"/>
    <n v="0.12463200000000001"/>
    <m/>
    <x v="0"/>
    <x v="0"/>
    <x v="0"/>
    <x v="4"/>
    <x v="2"/>
  </r>
  <r>
    <s v="Singapore"/>
    <x v="4"/>
    <s v="SG4"/>
    <m/>
    <x v="1"/>
    <x v="4"/>
    <x v="1"/>
    <x v="3"/>
    <x v="0"/>
    <x v="0"/>
    <x v="0"/>
    <m/>
    <x v="0"/>
    <x v="0"/>
    <n v="-0.31158000000000002"/>
    <m/>
    <x v="4"/>
    <x v="2"/>
    <x v="0"/>
    <x v="1"/>
    <x v="0"/>
  </r>
  <r>
    <s v="Singapore"/>
    <x v="4"/>
    <s v="SG4"/>
    <m/>
    <x v="3"/>
    <x v="3"/>
    <x v="3"/>
    <x v="4"/>
    <x v="0"/>
    <x v="0"/>
    <x v="0"/>
    <m/>
    <x v="0"/>
    <x v="0"/>
    <n v="0.16237991700000001"/>
    <m/>
    <x v="8"/>
    <x v="3"/>
    <x v="0"/>
    <x v="2"/>
    <x v="2"/>
  </r>
  <r>
    <s v="Singapore"/>
    <x v="1"/>
    <s v="SG2"/>
    <m/>
    <x v="0"/>
    <x v="4"/>
    <x v="0"/>
    <x v="5"/>
    <x v="0"/>
    <x v="0"/>
    <x v="0"/>
    <m/>
    <x v="0"/>
    <x v="0"/>
    <n v="-24.684925500000002"/>
    <m/>
    <x v="4"/>
    <x v="0"/>
    <x v="0"/>
    <x v="4"/>
    <x v="0"/>
  </r>
  <r>
    <s v="Singapore"/>
    <x v="5"/>
    <s v="SG4"/>
    <m/>
    <x v="1"/>
    <x v="2"/>
    <x v="0"/>
    <x v="5"/>
    <x v="0"/>
    <x v="0"/>
    <x v="0"/>
    <m/>
    <x v="0"/>
    <x v="0"/>
    <n v="-7.7895000000000006E-2"/>
    <m/>
    <x v="4"/>
    <x v="3"/>
    <x v="0"/>
    <x v="3"/>
    <x v="1"/>
  </r>
  <r>
    <s v="Singapore"/>
    <x v="4"/>
    <s v="SG4"/>
    <m/>
    <x v="5"/>
    <x v="3"/>
    <x v="0"/>
    <x v="4"/>
    <x v="0"/>
    <x v="0"/>
    <x v="0"/>
    <m/>
    <x v="0"/>
    <x v="0"/>
    <n v="-0.93474000000000002"/>
    <m/>
    <x v="4"/>
    <x v="2"/>
    <x v="0"/>
    <x v="3"/>
    <x v="1"/>
  </r>
  <r>
    <s v="Singapore"/>
    <x v="0"/>
    <s v="SG1"/>
    <m/>
    <x v="2"/>
    <x v="2"/>
    <x v="0"/>
    <x v="2"/>
    <x v="0"/>
    <x v="0"/>
    <x v="0"/>
    <m/>
    <x v="0"/>
    <x v="0"/>
    <n v="6.2316000000000003E-2"/>
    <m/>
    <x v="6"/>
    <x v="3"/>
    <x v="0"/>
    <x v="0"/>
    <x v="2"/>
  </r>
  <r>
    <s v="Singapore"/>
    <x v="4"/>
    <s v="SG4"/>
    <m/>
    <x v="2"/>
    <x v="0"/>
    <x v="2"/>
    <x v="1"/>
    <x v="0"/>
    <x v="0"/>
    <x v="0"/>
    <m/>
    <x v="0"/>
    <x v="0"/>
    <n v="-0.31158000000000002"/>
    <m/>
    <x v="0"/>
    <x v="1"/>
    <x v="0"/>
    <x v="4"/>
    <x v="2"/>
  </r>
  <r>
    <s v="Singapore"/>
    <x v="2"/>
    <s v="SG2"/>
    <m/>
    <x v="1"/>
    <x v="1"/>
    <x v="4"/>
    <x v="1"/>
    <x v="0"/>
    <x v="0"/>
    <x v="0"/>
    <m/>
    <x v="0"/>
    <x v="0"/>
    <n v="-0.15579000000000001"/>
    <m/>
    <x v="4"/>
    <x v="3"/>
    <x v="0"/>
    <x v="1"/>
    <x v="2"/>
  </r>
  <r>
    <s v="Singapore"/>
    <x v="5"/>
    <s v="SG3"/>
    <m/>
    <x v="4"/>
    <x v="1"/>
    <x v="2"/>
    <x v="1"/>
    <x v="0"/>
    <x v="0"/>
    <x v="0"/>
    <m/>
    <x v="0"/>
    <x v="0"/>
    <n v="-0.70105499999999998"/>
    <m/>
    <x v="1"/>
    <x v="1"/>
    <x v="0"/>
    <x v="0"/>
    <x v="1"/>
  </r>
  <r>
    <s v="Singapore"/>
    <x v="5"/>
    <s v="SG4"/>
    <m/>
    <x v="4"/>
    <x v="4"/>
    <x v="2"/>
    <x v="3"/>
    <x v="0"/>
    <x v="0"/>
    <x v="0"/>
    <m/>
    <x v="0"/>
    <x v="0"/>
    <n v="-4.6737000000000001E-2"/>
    <m/>
    <x v="0"/>
    <x v="2"/>
    <x v="0"/>
    <x v="5"/>
    <x v="1"/>
  </r>
  <r>
    <s v="Singapore"/>
    <x v="5"/>
    <s v="SG3"/>
    <m/>
    <x v="2"/>
    <x v="2"/>
    <x v="3"/>
    <x v="1"/>
    <x v="0"/>
    <x v="0"/>
    <x v="0"/>
    <m/>
    <x v="0"/>
    <x v="0"/>
    <n v="-0.12463200000000001"/>
    <m/>
    <x v="0"/>
    <x v="2"/>
    <x v="0"/>
    <x v="3"/>
    <x v="2"/>
  </r>
  <r>
    <s v="Singapore"/>
    <x v="4"/>
    <s v="SG1"/>
    <m/>
    <x v="4"/>
    <x v="2"/>
    <x v="2"/>
    <x v="5"/>
    <x v="0"/>
    <x v="0"/>
    <x v="0"/>
    <m/>
    <x v="0"/>
    <x v="0"/>
    <n v="0.280422"/>
    <m/>
    <x v="0"/>
    <x v="2"/>
    <x v="0"/>
    <x v="2"/>
    <x v="0"/>
  </r>
  <r>
    <s v="Singapore"/>
    <x v="2"/>
    <s v="SG2"/>
    <m/>
    <x v="4"/>
    <x v="0"/>
    <x v="1"/>
    <x v="0"/>
    <x v="0"/>
    <x v="0"/>
    <x v="0"/>
    <m/>
    <x v="0"/>
    <x v="0"/>
    <n v="-0.21810600000000002"/>
    <m/>
    <x v="1"/>
    <x v="1"/>
    <x v="0"/>
    <x v="2"/>
    <x v="0"/>
  </r>
  <r>
    <s v="Singapore"/>
    <x v="1"/>
    <s v="SG3"/>
    <m/>
    <x v="0"/>
    <x v="0"/>
    <x v="2"/>
    <x v="3"/>
    <x v="0"/>
    <x v="0"/>
    <x v="0"/>
    <m/>
    <x v="0"/>
    <x v="0"/>
    <n v="1.1263617000000002E-2"/>
    <m/>
    <x v="2"/>
    <x v="2"/>
    <x v="0"/>
    <x v="3"/>
    <x v="0"/>
  </r>
  <r>
    <s v="Singapore"/>
    <x v="0"/>
    <s v="SG3"/>
    <m/>
    <x v="3"/>
    <x v="0"/>
    <x v="2"/>
    <x v="2"/>
    <x v="0"/>
    <x v="0"/>
    <x v="0"/>
    <m/>
    <x v="0"/>
    <x v="0"/>
    <n v="0.25705349999999999"/>
    <m/>
    <x v="1"/>
    <x v="3"/>
    <x v="0"/>
    <x v="1"/>
    <x v="0"/>
  </r>
  <r>
    <s v="Singapore"/>
    <x v="2"/>
    <s v="SG2"/>
    <m/>
    <x v="1"/>
    <x v="3"/>
    <x v="1"/>
    <x v="2"/>
    <x v="0"/>
    <x v="0"/>
    <x v="0"/>
    <m/>
    <x v="0"/>
    <x v="0"/>
    <n v="-0.93474000000000002"/>
    <m/>
    <x v="4"/>
    <x v="3"/>
    <x v="0"/>
    <x v="5"/>
    <x v="1"/>
  </r>
  <r>
    <s v="Singapore"/>
    <x v="3"/>
    <s v="SG4"/>
    <m/>
    <x v="2"/>
    <x v="0"/>
    <x v="0"/>
    <x v="3"/>
    <x v="0"/>
    <x v="0"/>
    <x v="0"/>
    <m/>
    <x v="0"/>
    <x v="0"/>
    <n v="-0.37389600000000001"/>
    <m/>
    <x v="0"/>
    <x v="1"/>
    <x v="0"/>
    <x v="4"/>
    <x v="2"/>
  </r>
  <r>
    <s v="Singapore"/>
    <x v="4"/>
    <s v="SG3"/>
    <m/>
    <x v="0"/>
    <x v="3"/>
    <x v="3"/>
    <x v="5"/>
    <x v="0"/>
    <x v="0"/>
    <x v="0"/>
    <m/>
    <x v="0"/>
    <x v="0"/>
    <n v="0.21810600000000002"/>
    <m/>
    <x v="4"/>
    <x v="3"/>
    <x v="0"/>
    <x v="4"/>
    <x v="2"/>
  </r>
  <r>
    <s v="Singapore"/>
    <x v="2"/>
    <s v="SG1"/>
    <m/>
    <x v="3"/>
    <x v="0"/>
    <x v="3"/>
    <x v="2"/>
    <x v="0"/>
    <x v="0"/>
    <x v="0"/>
    <m/>
    <x v="0"/>
    <x v="0"/>
    <n v="1.059372"/>
    <m/>
    <x v="1"/>
    <x v="2"/>
    <x v="0"/>
    <x v="5"/>
    <x v="2"/>
  </r>
  <r>
    <s v="Singapore"/>
    <x v="4"/>
    <s v="SG4"/>
    <m/>
    <x v="0"/>
    <x v="2"/>
    <x v="4"/>
    <x v="5"/>
    <x v="0"/>
    <x v="0"/>
    <x v="0"/>
    <m/>
    <x v="0"/>
    <x v="0"/>
    <n v="-0.60758100000000004"/>
    <m/>
    <x v="4"/>
    <x v="3"/>
    <x v="0"/>
    <x v="3"/>
    <x v="1"/>
  </r>
  <r>
    <s v="Singapore"/>
    <x v="4"/>
    <s v="SG1"/>
    <m/>
    <x v="0"/>
    <x v="1"/>
    <x v="1"/>
    <x v="2"/>
    <x v="0"/>
    <x v="0"/>
    <x v="0"/>
    <m/>
    <x v="0"/>
    <x v="0"/>
    <n v="-4.2063300000000005E-2"/>
    <m/>
    <x v="8"/>
    <x v="2"/>
    <x v="0"/>
    <x v="2"/>
    <x v="2"/>
  </r>
  <r>
    <s v="Singapore"/>
    <x v="1"/>
    <s v="SG3"/>
    <m/>
    <x v="0"/>
    <x v="2"/>
    <x v="4"/>
    <x v="2"/>
    <x v="0"/>
    <x v="0"/>
    <x v="0"/>
    <m/>
    <x v="0"/>
    <x v="0"/>
    <n v="1.7604270000000002"/>
    <m/>
    <x v="1"/>
    <x v="1"/>
    <x v="0"/>
    <x v="0"/>
    <x v="2"/>
  </r>
  <r>
    <s v="Singapore"/>
    <x v="5"/>
    <s v="SG4"/>
    <m/>
    <x v="0"/>
    <x v="3"/>
    <x v="3"/>
    <x v="2"/>
    <x v="0"/>
    <x v="0"/>
    <x v="0"/>
    <m/>
    <x v="0"/>
    <x v="0"/>
    <n v="-4.9245374790000005"/>
    <m/>
    <x v="2"/>
    <x v="0"/>
    <x v="0"/>
    <x v="3"/>
    <x v="1"/>
  </r>
  <r>
    <s v="Singapore"/>
    <x v="4"/>
    <s v="SG3"/>
    <m/>
    <x v="3"/>
    <x v="1"/>
    <x v="4"/>
    <x v="5"/>
    <x v="0"/>
    <x v="0"/>
    <x v="0"/>
    <m/>
    <x v="0"/>
    <x v="0"/>
    <n v="748.02568500000007"/>
    <m/>
    <x v="5"/>
    <x v="1"/>
    <x v="0"/>
    <x v="0"/>
    <x v="0"/>
  </r>
  <r>
    <s v="Singapore"/>
    <x v="1"/>
    <s v="SG2"/>
    <m/>
    <x v="5"/>
    <x v="4"/>
    <x v="1"/>
    <x v="4"/>
    <x v="0"/>
    <x v="0"/>
    <x v="0"/>
    <m/>
    <x v="0"/>
    <x v="0"/>
    <n v="-1.3280630130000002"/>
    <m/>
    <x v="2"/>
    <x v="2"/>
    <x v="0"/>
    <x v="4"/>
    <x v="1"/>
  </r>
  <r>
    <s v="Singapore"/>
    <x v="4"/>
    <s v="SG2"/>
    <m/>
    <x v="1"/>
    <x v="4"/>
    <x v="1"/>
    <x v="4"/>
    <x v="0"/>
    <x v="0"/>
    <x v="0"/>
    <m/>
    <x v="0"/>
    <x v="0"/>
    <n v="-1.2463200000000001"/>
    <m/>
    <x v="4"/>
    <x v="2"/>
    <x v="0"/>
    <x v="4"/>
    <x v="1"/>
  </r>
  <r>
    <s v="Singapore"/>
    <x v="4"/>
    <s v="SG4"/>
    <m/>
    <x v="4"/>
    <x v="3"/>
    <x v="0"/>
    <x v="1"/>
    <x v="0"/>
    <x v="0"/>
    <x v="0"/>
    <m/>
    <x v="0"/>
    <x v="0"/>
    <n v="88.681588020000007"/>
    <m/>
    <x v="5"/>
    <x v="1"/>
    <x v="0"/>
    <x v="5"/>
    <x v="0"/>
  </r>
  <r>
    <s v="Singapore"/>
    <x v="1"/>
    <s v="SG1"/>
    <m/>
    <x v="2"/>
    <x v="1"/>
    <x v="1"/>
    <x v="5"/>
    <x v="0"/>
    <x v="0"/>
    <x v="0"/>
    <m/>
    <x v="0"/>
    <x v="0"/>
    <n v="-0.26733563999999999"/>
    <m/>
    <x v="3"/>
    <x v="3"/>
    <x v="0"/>
    <x v="4"/>
    <x v="2"/>
  </r>
  <r>
    <s v="Singapore"/>
    <x v="5"/>
    <s v="SG3"/>
    <m/>
    <x v="3"/>
    <x v="0"/>
    <x v="0"/>
    <x v="1"/>
    <x v="0"/>
    <x v="0"/>
    <x v="0"/>
    <m/>
    <x v="0"/>
    <x v="0"/>
    <n v="-1.5579000000000001E-2"/>
    <m/>
    <x v="0"/>
    <x v="2"/>
    <x v="0"/>
    <x v="5"/>
    <x v="1"/>
  </r>
  <r>
    <s v="Singapore"/>
    <x v="4"/>
    <s v="SG3"/>
    <m/>
    <x v="0"/>
    <x v="0"/>
    <x v="4"/>
    <x v="3"/>
    <x v="0"/>
    <x v="0"/>
    <x v="0"/>
    <m/>
    <x v="0"/>
    <x v="0"/>
    <n v="1.2463200000000001"/>
    <m/>
    <x v="8"/>
    <x v="3"/>
    <x v="0"/>
    <x v="3"/>
    <x v="0"/>
  </r>
  <r>
    <s v="Singapore"/>
    <x v="2"/>
    <s v="SG1"/>
    <m/>
    <x v="1"/>
    <x v="0"/>
    <x v="0"/>
    <x v="5"/>
    <x v="0"/>
    <x v="0"/>
    <x v="0"/>
    <m/>
    <x v="0"/>
    <x v="0"/>
    <n v="1.1450565000000001"/>
    <m/>
    <x v="1"/>
    <x v="1"/>
    <x v="0"/>
    <x v="3"/>
    <x v="2"/>
  </r>
  <r>
    <s v="Singapore"/>
    <x v="2"/>
    <s v="SG1"/>
    <m/>
    <x v="3"/>
    <x v="3"/>
    <x v="3"/>
    <x v="0"/>
    <x v="0"/>
    <x v="0"/>
    <x v="0"/>
    <m/>
    <x v="0"/>
    <x v="0"/>
    <n v="-0.76337100000000002"/>
    <m/>
    <x v="0"/>
    <x v="2"/>
    <x v="0"/>
    <x v="1"/>
    <x v="2"/>
  </r>
  <r>
    <s v="Singapore"/>
    <x v="0"/>
    <s v="SG1"/>
    <m/>
    <x v="5"/>
    <x v="0"/>
    <x v="2"/>
    <x v="4"/>
    <x v="0"/>
    <x v="0"/>
    <x v="0"/>
    <m/>
    <x v="0"/>
    <x v="0"/>
    <n v="8.9735040000000001"/>
    <m/>
    <x v="7"/>
    <x v="3"/>
    <x v="0"/>
    <x v="4"/>
    <x v="1"/>
  </r>
  <r>
    <s v="Singapore"/>
    <x v="1"/>
    <s v="SG4"/>
    <m/>
    <x v="2"/>
    <x v="2"/>
    <x v="2"/>
    <x v="2"/>
    <x v="0"/>
    <x v="0"/>
    <x v="0"/>
    <m/>
    <x v="0"/>
    <x v="0"/>
    <n v="4.6737000000000001E-2"/>
    <m/>
    <x v="3"/>
    <x v="3"/>
    <x v="0"/>
    <x v="5"/>
    <x v="1"/>
  </r>
  <r>
    <s v="Singapore"/>
    <x v="3"/>
    <s v="SG2"/>
    <m/>
    <x v="2"/>
    <x v="1"/>
    <x v="1"/>
    <x v="5"/>
    <x v="0"/>
    <x v="0"/>
    <x v="0"/>
    <m/>
    <x v="0"/>
    <x v="0"/>
    <n v="-6.6210750000000006E-3"/>
    <m/>
    <x v="6"/>
    <x v="0"/>
    <x v="0"/>
    <x v="3"/>
    <x v="1"/>
  </r>
  <r>
    <s v="Singapore"/>
    <x v="2"/>
    <s v="SG2"/>
    <m/>
    <x v="2"/>
    <x v="1"/>
    <x v="1"/>
    <x v="5"/>
    <x v="0"/>
    <x v="0"/>
    <x v="0"/>
    <m/>
    <x v="0"/>
    <x v="0"/>
    <n v="-3.1158000000000002E-2"/>
    <m/>
    <x v="0"/>
    <x v="0"/>
    <x v="0"/>
    <x v="0"/>
    <x v="2"/>
  </r>
  <r>
    <s v="Singapore"/>
    <x v="1"/>
    <s v="SG3"/>
    <m/>
    <x v="0"/>
    <x v="1"/>
    <x v="0"/>
    <x v="5"/>
    <x v="0"/>
    <x v="0"/>
    <x v="0"/>
    <m/>
    <x v="0"/>
    <x v="0"/>
    <n v="-0.233685"/>
    <m/>
    <x v="0"/>
    <x v="3"/>
    <x v="0"/>
    <x v="2"/>
    <x v="0"/>
  </r>
  <r>
    <s v="Singapore"/>
    <x v="3"/>
    <s v="SG2"/>
    <m/>
    <x v="2"/>
    <x v="1"/>
    <x v="4"/>
    <x v="0"/>
    <x v="0"/>
    <x v="0"/>
    <x v="0"/>
    <m/>
    <x v="0"/>
    <x v="0"/>
    <n v="-0.12763874700000002"/>
    <m/>
    <x v="4"/>
    <x v="1"/>
    <x v="0"/>
    <x v="5"/>
    <x v="2"/>
  </r>
  <r>
    <s v="Singapore"/>
    <x v="5"/>
    <s v="SG3"/>
    <m/>
    <x v="5"/>
    <x v="1"/>
    <x v="2"/>
    <x v="2"/>
    <x v="0"/>
    <x v="0"/>
    <x v="0"/>
    <m/>
    <x v="0"/>
    <x v="0"/>
    <n v="-0.31158000000000002"/>
    <m/>
    <x v="0"/>
    <x v="1"/>
    <x v="0"/>
    <x v="1"/>
    <x v="1"/>
  </r>
  <r>
    <s v="Singapore"/>
    <x v="0"/>
    <s v="SG2"/>
    <m/>
    <x v="1"/>
    <x v="0"/>
    <x v="2"/>
    <x v="0"/>
    <x v="0"/>
    <x v="0"/>
    <x v="0"/>
    <m/>
    <x v="0"/>
    <x v="0"/>
    <n v="-0.15579000000000001"/>
    <m/>
    <x v="4"/>
    <x v="3"/>
    <x v="0"/>
    <x v="0"/>
    <x v="1"/>
  </r>
  <r>
    <s v="Singapore"/>
    <x v="5"/>
    <s v="SG2"/>
    <m/>
    <x v="0"/>
    <x v="4"/>
    <x v="2"/>
    <x v="1"/>
    <x v="0"/>
    <x v="0"/>
    <x v="0"/>
    <m/>
    <x v="0"/>
    <x v="0"/>
    <n v="-2.6484300000000003"/>
    <m/>
    <x v="1"/>
    <x v="0"/>
    <x v="0"/>
    <x v="2"/>
    <x v="0"/>
  </r>
  <r>
    <s v="Singapore"/>
    <x v="0"/>
    <s v="SG4"/>
    <m/>
    <x v="1"/>
    <x v="2"/>
    <x v="3"/>
    <x v="4"/>
    <x v="0"/>
    <x v="0"/>
    <x v="0"/>
    <m/>
    <x v="0"/>
    <x v="0"/>
    <n v="0.1838322"/>
    <m/>
    <x v="4"/>
    <x v="1"/>
    <x v="0"/>
    <x v="1"/>
    <x v="2"/>
  </r>
  <r>
    <s v="Singapore"/>
    <x v="0"/>
    <s v="SG1"/>
    <m/>
    <x v="1"/>
    <x v="4"/>
    <x v="2"/>
    <x v="0"/>
    <x v="0"/>
    <x v="0"/>
    <x v="0"/>
    <m/>
    <x v="0"/>
    <x v="0"/>
    <n v="-4.6737000000000001E-2"/>
    <m/>
    <x v="0"/>
    <x v="2"/>
    <x v="0"/>
    <x v="0"/>
    <x v="0"/>
  </r>
  <r>
    <s v="Singapore"/>
    <x v="2"/>
    <s v="SG3"/>
    <m/>
    <x v="4"/>
    <x v="2"/>
    <x v="4"/>
    <x v="0"/>
    <x v="0"/>
    <x v="0"/>
    <x v="0"/>
    <m/>
    <x v="0"/>
    <x v="0"/>
    <n v="-2.775180744"/>
    <m/>
    <x v="4"/>
    <x v="3"/>
    <x v="0"/>
    <x v="5"/>
    <x v="2"/>
  </r>
  <r>
    <s v="Singapore"/>
    <x v="5"/>
    <s v="SG2"/>
    <m/>
    <x v="3"/>
    <x v="0"/>
    <x v="0"/>
    <x v="3"/>
    <x v="0"/>
    <x v="0"/>
    <x v="0"/>
    <m/>
    <x v="0"/>
    <x v="0"/>
    <n v="1.0801232280000002"/>
    <m/>
    <x v="1"/>
    <x v="3"/>
    <x v="0"/>
    <x v="2"/>
    <x v="1"/>
  </r>
  <r>
    <s v="Singapore"/>
    <x v="1"/>
    <s v="SG3"/>
    <m/>
    <x v="5"/>
    <x v="3"/>
    <x v="1"/>
    <x v="0"/>
    <x v="0"/>
    <x v="0"/>
    <x v="0"/>
    <m/>
    <x v="0"/>
    <x v="0"/>
    <n v="-0.74779200000000001"/>
    <m/>
    <x v="0"/>
    <x v="3"/>
    <x v="0"/>
    <x v="1"/>
    <x v="1"/>
  </r>
  <r>
    <s v="Singapore"/>
    <x v="1"/>
    <s v="SG2"/>
    <m/>
    <x v="2"/>
    <x v="3"/>
    <x v="2"/>
    <x v="3"/>
    <x v="0"/>
    <x v="0"/>
    <x v="0"/>
    <m/>
    <x v="0"/>
    <x v="0"/>
    <n v="0.78424685999999999"/>
    <m/>
    <x v="1"/>
    <x v="0"/>
    <x v="0"/>
    <x v="5"/>
    <x v="0"/>
  </r>
  <r>
    <s v="Singapore"/>
    <x v="0"/>
    <s v="SG2"/>
    <m/>
    <x v="4"/>
    <x v="3"/>
    <x v="0"/>
    <x v="2"/>
    <x v="0"/>
    <x v="0"/>
    <x v="0"/>
    <m/>
    <x v="0"/>
    <x v="0"/>
    <n v="0.12463200000000001"/>
    <m/>
    <x v="0"/>
    <x v="0"/>
    <x v="0"/>
    <x v="3"/>
    <x v="2"/>
  </r>
  <r>
    <s v="Singapore"/>
    <x v="5"/>
    <s v="SG4"/>
    <m/>
    <x v="5"/>
    <x v="4"/>
    <x v="1"/>
    <x v="0"/>
    <x v="0"/>
    <x v="0"/>
    <x v="0"/>
    <m/>
    <x v="0"/>
    <x v="0"/>
    <n v="-1.3024044000000001"/>
    <m/>
    <x v="4"/>
    <x v="1"/>
    <x v="0"/>
    <x v="1"/>
    <x v="0"/>
  </r>
  <r>
    <s v="Singapore"/>
    <x v="1"/>
    <s v="SG2"/>
    <m/>
    <x v="0"/>
    <x v="1"/>
    <x v="4"/>
    <x v="0"/>
    <x v="0"/>
    <x v="0"/>
    <x v="0"/>
    <m/>
    <x v="0"/>
    <x v="0"/>
    <n v="-3.8947500000000003E-2"/>
    <m/>
    <x v="0"/>
    <x v="2"/>
    <x v="0"/>
    <x v="4"/>
    <x v="0"/>
  </r>
  <r>
    <s v="Singapore"/>
    <x v="5"/>
    <s v="SG2"/>
    <m/>
    <x v="3"/>
    <x v="4"/>
    <x v="1"/>
    <x v="5"/>
    <x v="0"/>
    <x v="0"/>
    <x v="0"/>
    <m/>
    <x v="0"/>
    <x v="0"/>
    <n v="-0.10905300000000001"/>
    <m/>
    <x v="4"/>
    <x v="2"/>
    <x v="0"/>
    <x v="5"/>
    <x v="1"/>
  </r>
  <r>
    <s v="Singapore"/>
    <x v="3"/>
    <s v="SG3"/>
    <m/>
    <x v="3"/>
    <x v="0"/>
    <x v="0"/>
    <x v="4"/>
    <x v="0"/>
    <x v="0"/>
    <x v="0"/>
    <m/>
    <x v="0"/>
    <x v="0"/>
    <n v="104.30966187000001"/>
    <m/>
    <x v="5"/>
    <x v="2"/>
    <x v="0"/>
    <x v="0"/>
    <x v="1"/>
  </r>
  <r>
    <s v="Singapore"/>
    <x v="2"/>
    <s v="SG2"/>
    <m/>
    <x v="2"/>
    <x v="4"/>
    <x v="4"/>
    <x v="0"/>
    <x v="0"/>
    <x v="0"/>
    <x v="0"/>
    <m/>
    <x v="0"/>
    <x v="0"/>
    <n v="0.257115816"/>
    <m/>
    <x v="8"/>
    <x v="0"/>
    <x v="0"/>
    <x v="5"/>
    <x v="2"/>
  </r>
  <r>
    <s v="Singapore"/>
    <x v="2"/>
    <s v="SG1"/>
    <m/>
    <x v="1"/>
    <x v="0"/>
    <x v="4"/>
    <x v="0"/>
    <x v="0"/>
    <x v="0"/>
    <x v="0"/>
    <m/>
    <x v="0"/>
    <x v="0"/>
    <n v="-0.17136900000000002"/>
    <m/>
    <x v="0"/>
    <x v="1"/>
    <x v="0"/>
    <x v="0"/>
    <x v="0"/>
  </r>
  <r>
    <s v="Singapore"/>
    <x v="1"/>
    <s v="SG4"/>
    <m/>
    <x v="2"/>
    <x v="0"/>
    <x v="3"/>
    <x v="0"/>
    <x v="0"/>
    <x v="0"/>
    <x v="0"/>
    <m/>
    <x v="0"/>
    <x v="0"/>
    <n v="5.9823359999999999E-2"/>
    <m/>
    <x v="8"/>
    <x v="0"/>
    <x v="0"/>
    <x v="3"/>
    <x v="1"/>
  </r>
  <r>
    <s v="Singapore"/>
    <x v="4"/>
    <s v="SG3"/>
    <m/>
    <x v="5"/>
    <x v="1"/>
    <x v="2"/>
    <x v="5"/>
    <x v="0"/>
    <x v="0"/>
    <x v="0"/>
    <m/>
    <x v="0"/>
    <x v="0"/>
    <n v="0.5530545"/>
    <m/>
    <x v="1"/>
    <x v="0"/>
    <x v="0"/>
    <x v="2"/>
    <x v="1"/>
  </r>
  <r>
    <s v="Singapore"/>
    <x v="4"/>
    <s v="SG3"/>
    <m/>
    <x v="1"/>
    <x v="3"/>
    <x v="3"/>
    <x v="2"/>
    <x v="0"/>
    <x v="0"/>
    <x v="0"/>
    <m/>
    <x v="0"/>
    <x v="0"/>
    <n v="-0.12463200000000001"/>
    <m/>
    <x v="0"/>
    <x v="2"/>
    <x v="0"/>
    <x v="1"/>
    <x v="0"/>
  </r>
  <r>
    <s v="Singapore"/>
    <x v="1"/>
    <s v="SG3"/>
    <m/>
    <x v="1"/>
    <x v="4"/>
    <x v="4"/>
    <x v="0"/>
    <x v="0"/>
    <x v="0"/>
    <x v="0"/>
    <m/>
    <x v="0"/>
    <x v="0"/>
    <n v="0.20252700000000001"/>
    <m/>
    <x v="1"/>
    <x v="3"/>
    <x v="0"/>
    <x v="3"/>
    <x v="0"/>
  </r>
  <r>
    <s v="Singapore"/>
    <x v="2"/>
    <s v="SG2"/>
    <m/>
    <x v="3"/>
    <x v="1"/>
    <x v="2"/>
    <x v="2"/>
    <x v="0"/>
    <x v="0"/>
    <x v="0"/>
    <m/>
    <x v="0"/>
    <x v="0"/>
    <n v="-1.7915850000000002"/>
    <m/>
    <x v="3"/>
    <x v="0"/>
    <x v="0"/>
    <x v="5"/>
    <x v="2"/>
  </r>
  <r>
    <s v="Singapore"/>
    <x v="0"/>
    <s v="SG4"/>
    <m/>
    <x v="0"/>
    <x v="2"/>
    <x v="3"/>
    <x v="5"/>
    <x v="0"/>
    <x v="0"/>
    <x v="0"/>
    <m/>
    <x v="0"/>
    <x v="0"/>
    <n v="-3.9891431610000003"/>
    <m/>
    <x v="9"/>
    <x v="1"/>
    <x v="0"/>
    <x v="4"/>
    <x v="0"/>
  </r>
  <r>
    <s v="Singapore"/>
    <x v="3"/>
    <s v="SG3"/>
    <m/>
    <x v="0"/>
    <x v="1"/>
    <x v="0"/>
    <x v="4"/>
    <x v="0"/>
    <x v="0"/>
    <x v="0"/>
    <m/>
    <x v="0"/>
    <x v="0"/>
    <n v="-7.7895000000000006E-2"/>
    <m/>
    <x v="0"/>
    <x v="0"/>
    <x v="0"/>
    <x v="5"/>
    <x v="1"/>
  </r>
  <r>
    <s v="Singapore"/>
    <x v="2"/>
    <s v="SG1"/>
    <m/>
    <x v="4"/>
    <x v="2"/>
    <x v="4"/>
    <x v="1"/>
    <x v="0"/>
    <x v="0"/>
    <x v="0"/>
    <m/>
    <x v="0"/>
    <x v="0"/>
    <n v="-2.775180744"/>
    <m/>
    <x v="4"/>
    <x v="2"/>
    <x v="0"/>
    <x v="3"/>
    <x v="1"/>
  </r>
  <r>
    <s v="Singapore"/>
    <x v="4"/>
    <s v="SG3"/>
    <m/>
    <x v="4"/>
    <x v="3"/>
    <x v="2"/>
    <x v="0"/>
    <x v="0"/>
    <x v="0"/>
    <x v="0"/>
    <m/>
    <x v="0"/>
    <x v="0"/>
    <n v="-0.12626779500000002"/>
    <m/>
    <x v="4"/>
    <x v="2"/>
    <x v="0"/>
    <x v="3"/>
    <x v="2"/>
  </r>
  <r>
    <s v="Singapore"/>
    <x v="1"/>
    <s v="SG1"/>
    <m/>
    <x v="3"/>
    <x v="2"/>
    <x v="4"/>
    <x v="2"/>
    <x v="0"/>
    <x v="0"/>
    <x v="0"/>
    <m/>
    <x v="0"/>
    <x v="0"/>
    <n v="0.15579000000000001"/>
    <m/>
    <x v="1"/>
    <x v="2"/>
    <x v="0"/>
    <x v="1"/>
    <x v="1"/>
  </r>
  <r>
    <s v="Singapore"/>
    <x v="4"/>
    <s v="SG1"/>
    <m/>
    <x v="0"/>
    <x v="2"/>
    <x v="4"/>
    <x v="5"/>
    <x v="0"/>
    <x v="0"/>
    <x v="0"/>
    <m/>
    <x v="0"/>
    <x v="0"/>
    <n v="-2.3680080000000001"/>
    <m/>
    <x v="0"/>
    <x v="3"/>
    <x v="0"/>
    <x v="2"/>
    <x v="2"/>
  </r>
  <r>
    <s v="Singapore"/>
    <x v="4"/>
    <s v="SG2"/>
    <m/>
    <x v="2"/>
    <x v="0"/>
    <x v="2"/>
    <x v="2"/>
    <x v="0"/>
    <x v="0"/>
    <x v="0"/>
    <m/>
    <x v="0"/>
    <x v="0"/>
    <n v="-7.0105500000000001E-2"/>
    <m/>
    <x v="4"/>
    <x v="0"/>
    <x v="0"/>
    <x v="2"/>
    <x v="1"/>
  </r>
  <r>
    <s v="Singapore"/>
    <x v="0"/>
    <s v="SG1"/>
    <m/>
    <x v="2"/>
    <x v="2"/>
    <x v="0"/>
    <x v="1"/>
    <x v="0"/>
    <x v="0"/>
    <x v="0"/>
    <m/>
    <x v="0"/>
    <x v="0"/>
    <n v="-4.6737000000000001E-2"/>
    <m/>
    <x v="0"/>
    <x v="2"/>
    <x v="0"/>
    <x v="4"/>
    <x v="2"/>
  </r>
  <r>
    <s v="Singapore"/>
    <x v="5"/>
    <s v="SG1"/>
    <m/>
    <x v="0"/>
    <x v="3"/>
    <x v="4"/>
    <x v="4"/>
    <x v="0"/>
    <x v="0"/>
    <x v="0"/>
    <m/>
    <x v="0"/>
    <x v="0"/>
    <n v="-1.2650148000000001"/>
    <m/>
    <x v="3"/>
    <x v="1"/>
    <x v="0"/>
    <x v="1"/>
    <x v="2"/>
  </r>
  <r>
    <s v="Singapore"/>
    <x v="3"/>
    <s v="SG1"/>
    <m/>
    <x v="0"/>
    <x v="2"/>
    <x v="1"/>
    <x v="4"/>
    <x v="0"/>
    <x v="0"/>
    <x v="0"/>
    <m/>
    <x v="0"/>
    <x v="0"/>
    <n v="-0.76633101000000003"/>
    <m/>
    <x v="0"/>
    <x v="2"/>
    <x v="0"/>
    <x v="4"/>
    <x v="1"/>
  </r>
  <r>
    <s v="Singapore"/>
    <x v="5"/>
    <s v="SG3"/>
    <m/>
    <x v="3"/>
    <x v="4"/>
    <x v="2"/>
    <x v="4"/>
    <x v="0"/>
    <x v="0"/>
    <x v="0"/>
    <m/>
    <x v="0"/>
    <x v="0"/>
    <n v="-0.35129087100000006"/>
    <m/>
    <x v="4"/>
    <x v="0"/>
    <x v="0"/>
    <x v="2"/>
    <x v="2"/>
  </r>
  <r>
    <s v="Singapore"/>
    <x v="2"/>
    <s v="SG4"/>
    <m/>
    <x v="2"/>
    <x v="4"/>
    <x v="0"/>
    <x v="0"/>
    <x v="0"/>
    <x v="0"/>
    <x v="0"/>
    <m/>
    <x v="0"/>
    <x v="0"/>
    <n v="-7.7895000000000006E-2"/>
    <m/>
    <x v="0"/>
    <x v="3"/>
    <x v="0"/>
    <x v="4"/>
    <x v="2"/>
  </r>
  <r>
    <s v="Singapore"/>
    <x v="1"/>
    <s v="SG3"/>
    <m/>
    <x v="2"/>
    <x v="3"/>
    <x v="4"/>
    <x v="2"/>
    <x v="0"/>
    <x v="0"/>
    <x v="0"/>
    <m/>
    <x v="0"/>
    <x v="0"/>
    <n v="0.1324215"/>
    <m/>
    <x v="1"/>
    <x v="1"/>
    <x v="0"/>
    <x v="0"/>
    <x v="1"/>
  </r>
  <r>
    <s v="Singapore"/>
    <x v="4"/>
    <s v="SG3"/>
    <m/>
    <x v="4"/>
    <x v="2"/>
    <x v="1"/>
    <x v="4"/>
    <x v="0"/>
    <x v="0"/>
    <x v="0"/>
    <m/>
    <x v="0"/>
    <x v="0"/>
    <n v="-0.13639414499999999"/>
    <m/>
    <x v="4"/>
    <x v="1"/>
    <x v="0"/>
    <x v="3"/>
    <x v="1"/>
  </r>
  <r>
    <s v="Singapore"/>
    <x v="2"/>
    <s v="SG1"/>
    <m/>
    <x v="0"/>
    <x v="4"/>
    <x v="0"/>
    <x v="3"/>
    <x v="0"/>
    <x v="0"/>
    <x v="0"/>
    <m/>
    <x v="0"/>
    <x v="0"/>
    <n v="-0.70105499999999998"/>
    <m/>
    <x v="0"/>
    <x v="3"/>
    <x v="0"/>
    <x v="4"/>
    <x v="2"/>
  </r>
  <r>
    <s v="Singapore"/>
    <x v="1"/>
    <s v="SG3"/>
    <m/>
    <x v="5"/>
    <x v="2"/>
    <x v="1"/>
    <x v="3"/>
    <x v="0"/>
    <x v="0"/>
    <x v="0"/>
    <m/>
    <x v="0"/>
    <x v="0"/>
    <n v="-0.10126350000000001"/>
    <m/>
    <x v="0"/>
    <x v="2"/>
    <x v="0"/>
    <x v="5"/>
    <x v="2"/>
  </r>
  <r>
    <s v="Singapore"/>
    <x v="1"/>
    <s v="SG2"/>
    <m/>
    <x v="0"/>
    <x v="1"/>
    <x v="4"/>
    <x v="2"/>
    <x v="0"/>
    <x v="0"/>
    <x v="0"/>
    <m/>
    <x v="0"/>
    <x v="0"/>
    <n v="-1.3242150000000001"/>
    <m/>
    <x v="4"/>
    <x v="1"/>
    <x v="0"/>
    <x v="3"/>
    <x v="0"/>
  </r>
  <r>
    <s v="Singapore"/>
    <x v="3"/>
    <s v="SG3"/>
    <m/>
    <x v="1"/>
    <x v="4"/>
    <x v="3"/>
    <x v="5"/>
    <x v="0"/>
    <x v="0"/>
    <x v="0"/>
    <m/>
    <x v="0"/>
    <x v="0"/>
    <n v="0.51410699999999998"/>
    <m/>
    <x v="1"/>
    <x v="0"/>
    <x v="0"/>
    <x v="2"/>
    <x v="1"/>
  </r>
  <r>
    <s v="Singapore"/>
    <x v="2"/>
    <s v="SG3"/>
    <m/>
    <x v="3"/>
    <x v="1"/>
    <x v="2"/>
    <x v="4"/>
    <x v="0"/>
    <x v="0"/>
    <x v="0"/>
    <m/>
    <x v="0"/>
    <x v="0"/>
    <n v="-7.7895000000000006E-2"/>
    <m/>
    <x v="4"/>
    <x v="3"/>
    <x v="0"/>
    <x v="2"/>
    <x v="1"/>
  </r>
  <r>
    <s v="Singapore"/>
    <x v="4"/>
    <s v="SG3"/>
    <m/>
    <x v="4"/>
    <x v="3"/>
    <x v="4"/>
    <x v="0"/>
    <x v="0"/>
    <x v="0"/>
    <x v="0"/>
    <m/>
    <x v="0"/>
    <x v="0"/>
    <n v="0.62316000000000005"/>
    <m/>
    <x v="1"/>
    <x v="0"/>
    <x v="0"/>
    <x v="5"/>
    <x v="0"/>
  </r>
  <r>
    <s v="Singapore"/>
    <x v="0"/>
    <s v="SG4"/>
    <m/>
    <x v="0"/>
    <x v="3"/>
    <x v="4"/>
    <x v="0"/>
    <x v="0"/>
    <x v="0"/>
    <x v="0"/>
    <m/>
    <x v="0"/>
    <x v="0"/>
    <n v="0.21810600000000002"/>
    <m/>
    <x v="4"/>
    <x v="0"/>
    <x v="0"/>
    <x v="5"/>
    <x v="2"/>
  </r>
  <r>
    <s v="Singapore"/>
    <x v="0"/>
    <s v="SG3"/>
    <m/>
    <x v="1"/>
    <x v="4"/>
    <x v="2"/>
    <x v="0"/>
    <x v="0"/>
    <x v="0"/>
    <x v="0"/>
    <m/>
    <x v="0"/>
    <x v="0"/>
    <n v="-4.6737000000000001E-2"/>
    <m/>
    <x v="0"/>
    <x v="0"/>
    <x v="0"/>
    <x v="3"/>
    <x v="1"/>
  </r>
  <r>
    <s v="Singapore"/>
    <x v="1"/>
    <s v="SG3"/>
    <m/>
    <x v="4"/>
    <x v="2"/>
    <x v="4"/>
    <x v="2"/>
    <x v="0"/>
    <x v="0"/>
    <x v="0"/>
    <m/>
    <x v="0"/>
    <x v="0"/>
    <n v="-7.7895000000000006E-2"/>
    <m/>
    <x v="1"/>
    <x v="1"/>
    <x v="0"/>
    <x v="5"/>
    <x v="0"/>
  </r>
  <r>
    <s v="Singapore"/>
    <x v="3"/>
    <s v="SG4"/>
    <m/>
    <x v="0"/>
    <x v="2"/>
    <x v="0"/>
    <x v="0"/>
    <x v="0"/>
    <x v="0"/>
    <x v="0"/>
    <m/>
    <x v="0"/>
    <x v="0"/>
    <n v="-0.18373872600000002"/>
    <m/>
    <x v="0"/>
    <x v="2"/>
    <x v="0"/>
    <x v="1"/>
    <x v="1"/>
  </r>
  <r>
    <s v="Singapore"/>
    <x v="0"/>
    <s v="SG4"/>
    <m/>
    <x v="4"/>
    <x v="0"/>
    <x v="3"/>
    <x v="1"/>
    <x v="0"/>
    <x v="0"/>
    <x v="0"/>
    <m/>
    <x v="0"/>
    <x v="0"/>
    <n v="1.1450565000000001"/>
    <m/>
    <x v="1"/>
    <x v="2"/>
    <x v="0"/>
    <x v="4"/>
    <x v="0"/>
  </r>
  <r>
    <s v="Singapore"/>
    <x v="5"/>
    <s v="SG4"/>
    <m/>
    <x v="3"/>
    <x v="2"/>
    <x v="4"/>
    <x v="4"/>
    <x v="0"/>
    <x v="0"/>
    <x v="0"/>
    <m/>
    <x v="0"/>
    <x v="0"/>
    <n v="-12.296146383000002"/>
    <m/>
    <x v="0"/>
    <x v="3"/>
    <x v="0"/>
    <x v="2"/>
    <x v="2"/>
  </r>
  <r>
    <s v="Singapore"/>
    <x v="3"/>
    <s v="SG4"/>
    <m/>
    <x v="5"/>
    <x v="4"/>
    <x v="0"/>
    <x v="5"/>
    <x v="0"/>
    <x v="0"/>
    <x v="0"/>
    <m/>
    <x v="0"/>
    <x v="0"/>
    <n v="-4.6737000000000001E-2"/>
    <m/>
    <x v="0"/>
    <x v="2"/>
    <x v="0"/>
    <x v="0"/>
    <x v="0"/>
  </r>
  <r>
    <s v="Singapore"/>
    <x v="2"/>
    <s v="SG3"/>
    <m/>
    <x v="0"/>
    <x v="4"/>
    <x v="0"/>
    <x v="2"/>
    <x v="0"/>
    <x v="0"/>
    <x v="0"/>
    <m/>
    <x v="0"/>
    <x v="0"/>
    <n v="-10.9053"/>
    <m/>
    <x v="4"/>
    <x v="1"/>
    <x v="0"/>
    <x v="1"/>
    <x v="1"/>
  </r>
  <r>
    <s v="Singapore"/>
    <x v="2"/>
    <s v="SG2"/>
    <m/>
    <x v="5"/>
    <x v="4"/>
    <x v="2"/>
    <x v="5"/>
    <x v="0"/>
    <x v="0"/>
    <x v="0"/>
    <m/>
    <x v="0"/>
    <x v="0"/>
    <n v="0.1838322"/>
    <m/>
    <x v="4"/>
    <x v="3"/>
    <x v="0"/>
    <x v="1"/>
    <x v="1"/>
  </r>
  <r>
    <s v="Singapore"/>
    <x v="1"/>
    <s v="SG3"/>
    <m/>
    <x v="2"/>
    <x v="2"/>
    <x v="3"/>
    <x v="0"/>
    <x v="0"/>
    <x v="0"/>
    <x v="0"/>
    <m/>
    <x v="0"/>
    <x v="0"/>
    <n v="71.083238039999998"/>
    <m/>
    <x v="1"/>
    <x v="1"/>
    <x v="0"/>
    <x v="0"/>
    <x v="2"/>
  </r>
  <r>
    <s v="Singapore"/>
    <x v="5"/>
    <s v="SG2"/>
    <m/>
    <x v="5"/>
    <x v="0"/>
    <x v="0"/>
    <x v="4"/>
    <x v="0"/>
    <x v="0"/>
    <x v="0"/>
    <m/>
    <x v="0"/>
    <x v="0"/>
    <n v="-0.1838322"/>
    <m/>
    <x v="4"/>
    <x v="3"/>
    <x v="0"/>
    <x v="3"/>
    <x v="2"/>
  </r>
  <r>
    <s v="Singapore"/>
    <x v="3"/>
    <s v="SG1"/>
    <m/>
    <x v="0"/>
    <x v="1"/>
    <x v="0"/>
    <x v="4"/>
    <x v="0"/>
    <x v="0"/>
    <x v="0"/>
    <m/>
    <x v="0"/>
    <x v="0"/>
    <n v="-2.669586282"/>
    <m/>
    <x v="0"/>
    <x v="0"/>
    <x v="0"/>
    <x v="2"/>
    <x v="2"/>
  </r>
  <r>
    <s v="Singapore"/>
    <x v="2"/>
    <s v="SG1"/>
    <m/>
    <x v="3"/>
    <x v="1"/>
    <x v="0"/>
    <x v="1"/>
    <x v="0"/>
    <x v="0"/>
    <x v="0"/>
    <m/>
    <x v="0"/>
    <x v="0"/>
    <n v="-0.29600100000000001"/>
    <m/>
    <x v="7"/>
    <x v="1"/>
    <x v="0"/>
    <x v="2"/>
    <x v="2"/>
  </r>
  <r>
    <s v="Singapore"/>
    <x v="4"/>
    <s v="SG4"/>
    <m/>
    <x v="5"/>
    <x v="3"/>
    <x v="3"/>
    <x v="3"/>
    <x v="0"/>
    <x v="0"/>
    <x v="0"/>
    <m/>
    <x v="0"/>
    <x v="0"/>
    <n v="-1.9402086600000001"/>
    <m/>
    <x v="2"/>
    <x v="0"/>
    <x v="0"/>
    <x v="0"/>
    <x v="0"/>
  </r>
  <r>
    <s v="Singapore"/>
    <x v="2"/>
    <s v="SG4"/>
    <m/>
    <x v="4"/>
    <x v="2"/>
    <x v="3"/>
    <x v="2"/>
    <x v="0"/>
    <x v="0"/>
    <x v="0"/>
    <m/>
    <x v="0"/>
    <x v="0"/>
    <n v="-0.81010800000000005"/>
    <m/>
    <x v="1"/>
    <x v="3"/>
    <x v="0"/>
    <x v="1"/>
    <x v="2"/>
  </r>
  <r>
    <s v="Singapore"/>
    <x v="4"/>
    <s v="SG1"/>
    <m/>
    <x v="0"/>
    <x v="1"/>
    <x v="3"/>
    <x v="4"/>
    <x v="0"/>
    <x v="0"/>
    <x v="0"/>
    <m/>
    <x v="0"/>
    <x v="0"/>
    <n v="4.3379413920000003"/>
    <m/>
    <x v="8"/>
    <x v="3"/>
    <x v="0"/>
    <x v="1"/>
    <x v="1"/>
  </r>
  <r>
    <s v="Singapore"/>
    <x v="2"/>
    <s v="SG2"/>
    <m/>
    <x v="0"/>
    <x v="3"/>
    <x v="3"/>
    <x v="3"/>
    <x v="0"/>
    <x v="0"/>
    <x v="0"/>
    <m/>
    <x v="0"/>
    <x v="0"/>
    <n v="-0.24926400000000001"/>
    <m/>
    <x v="0"/>
    <x v="3"/>
    <x v="0"/>
    <x v="3"/>
    <x v="0"/>
  </r>
  <r>
    <s v="Singapore"/>
    <x v="4"/>
    <s v="SG4"/>
    <m/>
    <x v="3"/>
    <x v="3"/>
    <x v="2"/>
    <x v="2"/>
    <x v="0"/>
    <x v="0"/>
    <x v="0"/>
    <m/>
    <x v="0"/>
    <x v="0"/>
    <n v="0.18693242100000002"/>
    <m/>
    <x v="8"/>
    <x v="2"/>
    <x v="0"/>
    <x v="5"/>
    <x v="0"/>
  </r>
  <r>
    <s v="Singapore"/>
    <x v="4"/>
    <s v="SG4"/>
    <m/>
    <x v="4"/>
    <x v="2"/>
    <x v="1"/>
    <x v="5"/>
    <x v="0"/>
    <x v="0"/>
    <x v="0"/>
    <m/>
    <x v="0"/>
    <x v="0"/>
    <n v="0.12463200000000001"/>
    <m/>
    <x v="0"/>
    <x v="3"/>
    <x v="0"/>
    <x v="4"/>
    <x v="0"/>
  </r>
  <r>
    <s v="Singapore"/>
    <x v="2"/>
    <s v="SG1"/>
    <m/>
    <x v="0"/>
    <x v="3"/>
    <x v="2"/>
    <x v="0"/>
    <x v="0"/>
    <x v="0"/>
    <x v="0"/>
    <m/>
    <x v="0"/>
    <x v="0"/>
    <n v="38.425790448000001"/>
    <m/>
    <x v="7"/>
    <x v="1"/>
    <x v="0"/>
    <x v="1"/>
    <x v="1"/>
  </r>
  <r>
    <s v="Singapore"/>
    <x v="0"/>
    <s v="SG1"/>
    <m/>
    <x v="5"/>
    <x v="1"/>
    <x v="3"/>
    <x v="5"/>
    <x v="0"/>
    <x v="0"/>
    <x v="0"/>
    <m/>
    <x v="0"/>
    <x v="0"/>
    <n v="-0.31158000000000002"/>
    <m/>
    <x v="4"/>
    <x v="0"/>
    <x v="0"/>
    <x v="1"/>
    <x v="1"/>
  </r>
  <r>
    <s v="Singapore"/>
    <x v="5"/>
    <s v="SG1"/>
    <m/>
    <x v="1"/>
    <x v="3"/>
    <x v="1"/>
    <x v="4"/>
    <x v="0"/>
    <x v="0"/>
    <x v="0"/>
    <m/>
    <x v="0"/>
    <x v="0"/>
    <n v="0.18652736700000003"/>
    <m/>
    <x v="8"/>
    <x v="3"/>
    <x v="0"/>
    <x v="1"/>
    <x v="1"/>
  </r>
  <r>
    <s v="Singapore"/>
    <x v="2"/>
    <s v="SG3"/>
    <m/>
    <x v="3"/>
    <x v="0"/>
    <x v="0"/>
    <x v="2"/>
    <x v="0"/>
    <x v="0"/>
    <x v="0"/>
    <m/>
    <x v="0"/>
    <x v="0"/>
    <n v="1.900638"/>
    <m/>
    <x v="1"/>
    <x v="3"/>
    <x v="0"/>
    <x v="4"/>
    <x v="0"/>
  </r>
  <r>
    <s v="Singapore"/>
    <x v="5"/>
    <s v="SG4"/>
    <m/>
    <x v="1"/>
    <x v="0"/>
    <x v="1"/>
    <x v="4"/>
    <x v="0"/>
    <x v="0"/>
    <x v="0"/>
    <m/>
    <x v="0"/>
    <x v="0"/>
    <n v="-5.4645211979999999"/>
    <m/>
    <x v="0"/>
    <x v="3"/>
    <x v="0"/>
    <x v="2"/>
    <x v="0"/>
  </r>
  <r>
    <s v="Singapore"/>
    <x v="3"/>
    <s v="SG2"/>
    <m/>
    <x v="5"/>
    <x v="4"/>
    <x v="1"/>
    <x v="5"/>
    <x v="0"/>
    <x v="0"/>
    <x v="0"/>
    <m/>
    <x v="0"/>
    <x v="0"/>
    <n v="0.15579000000000001"/>
    <m/>
    <x v="1"/>
    <x v="3"/>
    <x v="0"/>
    <x v="1"/>
    <x v="2"/>
  </r>
  <r>
    <s v="Singapore"/>
    <x v="1"/>
    <s v="SG3"/>
    <m/>
    <x v="1"/>
    <x v="4"/>
    <x v="3"/>
    <x v="5"/>
    <x v="0"/>
    <x v="0"/>
    <x v="0"/>
    <m/>
    <x v="0"/>
    <x v="0"/>
    <n v="0.1838322"/>
    <m/>
    <x v="4"/>
    <x v="2"/>
    <x v="0"/>
    <x v="4"/>
    <x v="2"/>
  </r>
  <r>
    <s v="Singapore"/>
    <x v="0"/>
    <s v="SG2"/>
    <m/>
    <x v="3"/>
    <x v="4"/>
    <x v="0"/>
    <x v="2"/>
    <x v="0"/>
    <x v="0"/>
    <x v="0"/>
    <m/>
    <x v="0"/>
    <x v="0"/>
    <n v="-6.4433809259999997"/>
    <m/>
    <x v="7"/>
    <x v="2"/>
    <x v="0"/>
    <x v="3"/>
    <x v="2"/>
  </r>
  <r>
    <s v="Singapore"/>
    <x v="2"/>
    <s v="SG2"/>
    <m/>
    <x v="1"/>
    <x v="0"/>
    <x v="1"/>
    <x v="4"/>
    <x v="0"/>
    <x v="0"/>
    <x v="0"/>
    <m/>
    <x v="0"/>
    <x v="0"/>
    <n v="-18.0965664"/>
    <m/>
    <x v="3"/>
    <x v="2"/>
    <x v="0"/>
    <x v="0"/>
    <x v="0"/>
  </r>
  <r>
    <s v="Singapore"/>
    <x v="5"/>
    <s v="SG3"/>
    <m/>
    <x v="4"/>
    <x v="4"/>
    <x v="2"/>
    <x v="2"/>
    <x v="0"/>
    <x v="0"/>
    <x v="0"/>
    <m/>
    <x v="0"/>
    <x v="0"/>
    <n v="-15.579000000000001"/>
    <m/>
    <x v="7"/>
    <x v="0"/>
    <x v="0"/>
    <x v="0"/>
    <x v="0"/>
  </r>
  <r>
    <s v="Singapore"/>
    <x v="4"/>
    <s v="SG4"/>
    <m/>
    <x v="4"/>
    <x v="1"/>
    <x v="4"/>
    <x v="0"/>
    <x v="0"/>
    <x v="0"/>
    <x v="0"/>
    <m/>
    <x v="0"/>
    <x v="0"/>
    <n v="-1.7604270000000002"/>
    <m/>
    <x v="1"/>
    <x v="3"/>
    <x v="0"/>
    <x v="4"/>
    <x v="2"/>
  </r>
  <r>
    <s v="Singapore"/>
    <x v="2"/>
    <s v="SG3"/>
    <m/>
    <x v="5"/>
    <x v="4"/>
    <x v="1"/>
    <x v="0"/>
    <x v="0"/>
    <x v="0"/>
    <x v="0"/>
    <m/>
    <x v="0"/>
    <x v="0"/>
    <n v="3.8947500000000002E-4"/>
    <m/>
    <x v="6"/>
    <x v="2"/>
    <x v="0"/>
    <x v="4"/>
    <x v="2"/>
  </r>
  <r>
    <s v="Singapore"/>
    <x v="2"/>
    <s v="SG3"/>
    <m/>
    <x v="1"/>
    <x v="4"/>
    <x v="3"/>
    <x v="1"/>
    <x v="0"/>
    <x v="0"/>
    <x v="0"/>
    <m/>
    <x v="0"/>
    <x v="0"/>
    <n v="0.59200200000000003"/>
    <m/>
    <x v="1"/>
    <x v="3"/>
    <x v="0"/>
    <x v="5"/>
    <x v="0"/>
  </r>
  <r>
    <s v="Singapore"/>
    <x v="3"/>
    <s v="SG3"/>
    <m/>
    <x v="3"/>
    <x v="4"/>
    <x v="2"/>
    <x v="1"/>
    <x v="0"/>
    <x v="0"/>
    <x v="0"/>
    <m/>
    <x v="0"/>
    <x v="0"/>
    <n v="0.7244235"/>
    <m/>
    <x v="1"/>
    <x v="0"/>
    <x v="0"/>
    <x v="3"/>
    <x v="2"/>
  </r>
  <r>
    <s v="Singapore"/>
    <x v="4"/>
    <s v="SG3"/>
    <m/>
    <x v="2"/>
    <x v="0"/>
    <x v="1"/>
    <x v="0"/>
    <x v="0"/>
    <x v="0"/>
    <x v="0"/>
    <m/>
    <x v="0"/>
    <x v="0"/>
    <n v="-7.7895000000000004E-3"/>
    <m/>
    <x v="0"/>
    <x v="0"/>
    <x v="0"/>
    <x v="2"/>
    <x v="0"/>
  </r>
  <r>
    <s v="Singapore"/>
    <x v="1"/>
    <s v="SG3"/>
    <m/>
    <x v="5"/>
    <x v="1"/>
    <x v="0"/>
    <x v="2"/>
    <x v="0"/>
    <x v="0"/>
    <x v="0"/>
    <m/>
    <x v="0"/>
    <x v="0"/>
    <n v="-3.1158000000000002E-2"/>
    <m/>
    <x v="0"/>
    <x v="0"/>
    <x v="0"/>
    <x v="2"/>
    <x v="2"/>
  </r>
  <r>
    <s v="Singapore"/>
    <x v="1"/>
    <s v="SG2"/>
    <m/>
    <x v="2"/>
    <x v="4"/>
    <x v="4"/>
    <x v="5"/>
    <x v="0"/>
    <x v="0"/>
    <x v="0"/>
    <m/>
    <x v="0"/>
    <x v="0"/>
    <n v="-7.7895000000000004E-3"/>
    <m/>
    <x v="0"/>
    <x v="1"/>
    <x v="0"/>
    <x v="1"/>
    <x v="0"/>
  </r>
  <r>
    <s v="Singapore"/>
    <x v="4"/>
    <s v="SG1"/>
    <m/>
    <x v="3"/>
    <x v="4"/>
    <x v="0"/>
    <x v="4"/>
    <x v="0"/>
    <x v="0"/>
    <x v="0"/>
    <m/>
    <x v="0"/>
    <x v="0"/>
    <n v="-0.1838322"/>
    <m/>
    <x v="4"/>
    <x v="2"/>
    <x v="0"/>
    <x v="1"/>
    <x v="1"/>
  </r>
  <r>
    <s v="Singapore"/>
    <x v="1"/>
    <s v="SG4"/>
    <m/>
    <x v="3"/>
    <x v="1"/>
    <x v="3"/>
    <x v="2"/>
    <x v="0"/>
    <x v="0"/>
    <x v="0"/>
    <m/>
    <x v="0"/>
    <x v="0"/>
    <n v="-1.5579000000000001"/>
    <m/>
    <x v="2"/>
    <x v="0"/>
    <x v="0"/>
    <x v="4"/>
    <x v="1"/>
  </r>
  <r>
    <s v="Singapore"/>
    <x v="2"/>
    <s v="SG2"/>
    <m/>
    <x v="4"/>
    <x v="3"/>
    <x v="0"/>
    <x v="1"/>
    <x v="0"/>
    <x v="0"/>
    <x v="0"/>
    <m/>
    <x v="0"/>
    <x v="0"/>
    <n v="640.80633330000001"/>
    <m/>
    <x v="1"/>
    <x v="3"/>
    <x v="0"/>
    <x v="3"/>
    <x v="0"/>
  </r>
  <r>
    <s v="Singapore"/>
    <x v="4"/>
    <s v="SG2"/>
    <m/>
    <x v="5"/>
    <x v="1"/>
    <x v="3"/>
    <x v="5"/>
    <x v="0"/>
    <x v="0"/>
    <x v="0"/>
    <m/>
    <x v="0"/>
    <x v="0"/>
    <n v="-0.280141578"/>
    <m/>
    <x v="0"/>
    <x v="2"/>
    <x v="0"/>
    <x v="5"/>
    <x v="2"/>
  </r>
  <r>
    <s v="Singapore"/>
    <x v="5"/>
    <s v="SG3"/>
    <m/>
    <x v="5"/>
    <x v="4"/>
    <x v="0"/>
    <x v="4"/>
    <x v="0"/>
    <x v="0"/>
    <x v="0"/>
    <m/>
    <x v="0"/>
    <x v="0"/>
    <n v="-7.7895000000000006E-2"/>
    <m/>
    <x v="0"/>
    <x v="1"/>
    <x v="0"/>
    <x v="4"/>
    <x v="2"/>
  </r>
  <r>
    <s v="Singapore"/>
    <x v="3"/>
    <s v="SG3"/>
    <m/>
    <x v="4"/>
    <x v="2"/>
    <x v="3"/>
    <x v="2"/>
    <x v="0"/>
    <x v="0"/>
    <x v="0"/>
    <m/>
    <x v="0"/>
    <x v="0"/>
    <n v="0.65949022800000001"/>
    <m/>
    <x v="1"/>
    <x v="1"/>
    <x v="0"/>
    <x v="4"/>
    <x v="1"/>
  </r>
  <r>
    <s v="Singapore"/>
    <x v="1"/>
    <s v="SG4"/>
    <m/>
    <x v="3"/>
    <x v="0"/>
    <x v="2"/>
    <x v="5"/>
    <x v="0"/>
    <x v="0"/>
    <x v="0"/>
    <m/>
    <x v="0"/>
    <x v="0"/>
    <n v="3.7700712629999997"/>
    <m/>
    <x v="1"/>
    <x v="3"/>
    <x v="0"/>
    <x v="1"/>
    <x v="1"/>
  </r>
  <r>
    <s v="Singapore"/>
    <x v="5"/>
    <s v="SG3"/>
    <m/>
    <x v="5"/>
    <x v="0"/>
    <x v="4"/>
    <x v="5"/>
    <x v="0"/>
    <x v="0"/>
    <x v="0"/>
    <m/>
    <x v="0"/>
    <x v="0"/>
    <n v="-0.77895000000000003"/>
    <m/>
    <x v="4"/>
    <x v="1"/>
    <x v="0"/>
    <x v="5"/>
    <x v="1"/>
  </r>
  <r>
    <s v="Singapore"/>
    <x v="5"/>
    <s v="SG4"/>
    <m/>
    <x v="5"/>
    <x v="0"/>
    <x v="3"/>
    <x v="3"/>
    <x v="0"/>
    <x v="0"/>
    <x v="0"/>
    <m/>
    <x v="0"/>
    <x v="0"/>
    <n v="-53.283654117000005"/>
    <m/>
    <x v="3"/>
    <x v="0"/>
    <x v="0"/>
    <x v="5"/>
    <x v="2"/>
  </r>
  <r>
    <s v="Singapore"/>
    <x v="5"/>
    <s v="SG4"/>
    <m/>
    <x v="1"/>
    <x v="1"/>
    <x v="1"/>
    <x v="3"/>
    <x v="0"/>
    <x v="0"/>
    <x v="0"/>
    <m/>
    <x v="0"/>
    <x v="0"/>
    <n v="0.62316000000000005"/>
    <m/>
    <x v="1"/>
    <x v="2"/>
    <x v="0"/>
    <x v="2"/>
    <x v="1"/>
  </r>
  <r>
    <s v="Singapore"/>
    <x v="2"/>
    <s v="SG2"/>
    <m/>
    <x v="3"/>
    <x v="2"/>
    <x v="1"/>
    <x v="2"/>
    <x v="0"/>
    <x v="0"/>
    <x v="0"/>
    <m/>
    <x v="0"/>
    <x v="0"/>
    <n v="-2.6484300000000003"/>
    <m/>
    <x v="4"/>
    <x v="2"/>
    <x v="0"/>
    <x v="5"/>
    <x v="2"/>
  </r>
  <r>
    <s v="Singapore"/>
    <x v="3"/>
    <s v="SG1"/>
    <m/>
    <x v="5"/>
    <x v="2"/>
    <x v="2"/>
    <x v="5"/>
    <x v="0"/>
    <x v="0"/>
    <x v="0"/>
    <m/>
    <x v="0"/>
    <x v="0"/>
    <n v="-0.140211"/>
    <m/>
    <x v="4"/>
    <x v="2"/>
    <x v="0"/>
    <x v="1"/>
    <x v="0"/>
  </r>
  <r>
    <s v="Singapore"/>
    <x v="4"/>
    <s v="SG2"/>
    <m/>
    <x v="3"/>
    <x v="0"/>
    <x v="1"/>
    <x v="2"/>
    <x v="0"/>
    <x v="0"/>
    <x v="0"/>
    <m/>
    <x v="0"/>
    <x v="0"/>
    <n v="-6.2316000000000003E-3"/>
    <m/>
    <x v="6"/>
    <x v="1"/>
    <x v="0"/>
    <x v="1"/>
    <x v="1"/>
  </r>
  <r>
    <s v="Singapore"/>
    <x v="4"/>
    <s v="SG3"/>
    <m/>
    <x v="2"/>
    <x v="4"/>
    <x v="2"/>
    <x v="1"/>
    <x v="0"/>
    <x v="0"/>
    <x v="0"/>
    <m/>
    <x v="0"/>
    <x v="0"/>
    <n v="-0.12463200000000001"/>
    <m/>
    <x v="0"/>
    <x v="0"/>
    <x v="0"/>
    <x v="3"/>
    <x v="1"/>
  </r>
  <r>
    <s v="Singapore"/>
    <x v="5"/>
    <s v="SG2"/>
    <m/>
    <x v="4"/>
    <x v="2"/>
    <x v="0"/>
    <x v="1"/>
    <x v="0"/>
    <x v="0"/>
    <x v="0"/>
    <m/>
    <x v="0"/>
    <x v="0"/>
    <n v="40.209399000000005"/>
    <m/>
    <x v="5"/>
    <x v="2"/>
    <x v="0"/>
    <x v="3"/>
    <x v="2"/>
  </r>
  <r>
    <s v="Singapore"/>
    <x v="0"/>
    <s v="SG4"/>
    <m/>
    <x v="1"/>
    <x v="4"/>
    <x v="1"/>
    <x v="3"/>
    <x v="0"/>
    <x v="0"/>
    <x v="0"/>
    <m/>
    <x v="0"/>
    <x v="0"/>
    <n v="-6.2316000000000003E-2"/>
    <m/>
    <x v="0"/>
    <x v="3"/>
    <x v="0"/>
    <x v="2"/>
    <x v="2"/>
  </r>
  <r>
    <s v="Singapore"/>
    <x v="1"/>
    <s v="SG4"/>
    <m/>
    <x v="3"/>
    <x v="4"/>
    <x v="2"/>
    <x v="4"/>
    <x v="0"/>
    <x v="0"/>
    <x v="0"/>
    <m/>
    <x v="0"/>
    <x v="0"/>
    <n v="-0.70105499999999998"/>
    <m/>
    <x v="0"/>
    <x v="2"/>
    <x v="0"/>
    <x v="4"/>
    <x v="1"/>
  </r>
  <r>
    <s v="Singapore"/>
    <x v="4"/>
    <s v="SG3"/>
    <m/>
    <x v="1"/>
    <x v="1"/>
    <x v="4"/>
    <x v="3"/>
    <x v="0"/>
    <x v="0"/>
    <x v="0"/>
    <m/>
    <x v="0"/>
    <x v="0"/>
    <n v="-0.1838322"/>
    <m/>
    <x v="4"/>
    <x v="0"/>
    <x v="0"/>
    <x v="4"/>
    <x v="0"/>
  </r>
  <r>
    <s v="Singapore"/>
    <x v="4"/>
    <s v="SG1"/>
    <m/>
    <x v="1"/>
    <x v="4"/>
    <x v="2"/>
    <x v="0"/>
    <x v="0"/>
    <x v="0"/>
    <x v="0"/>
    <m/>
    <x v="0"/>
    <x v="0"/>
    <n v="-5.4526500000000006E-2"/>
    <m/>
    <x v="0"/>
    <x v="1"/>
    <x v="0"/>
    <x v="5"/>
    <x v="0"/>
  </r>
  <r>
    <s v="Singapore"/>
    <x v="3"/>
    <s v="SG3"/>
    <m/>
    <x v="1"/>
    <x v="3"/>
    <x v="4"/>
    <x v="1"/>
    <x v="0"/>
    <x v="0"/>
    <x v="0"/>
    <m/>
    <x v="0"/>
    <x v="0"/>
    <n v="-0.1324215"/>
    <m/>
    <x v="4"/>
    <x v="2"/>
    <x v="0"/>
    <x v="4"/>
    <x v="1"/>
  </r>
  <r>
    <s v="Singapore"/>
    <x v="0"/>
    <s v="SG3"/>
    <m/>
    <x v="4"/>
    <x v="1"/>
    <x v="2"/>
    <x v="4"/>
    <x v="0"/>
    <x v="0"/>
    <x v="0"/>
    <m/>
    <x v="0"/>
    <x v="0"/>
    <n v="1.5579000000000001E-5"/>
    <m/>
    <x v="8"/>
    <x v="3"/>
    <x v="0"/>
    <x v="4"/>
    <x v="1"/>
  </r>
  <r>
    <s v="Singapore"/>
    <x v="4"/>
    <s v="SG2"/>
    <m/>
    <x v="4"/>
    <x v="4"/>
    <x v="4"/>
    <x v="5"/>
    <x v="0"/>
    <x v="0"/>
    <x v="0"/>
    <m/>
    <x v="0"/>
    <x v="0"/>
    <n v="-0.81010800000000005"/>
    <m/>
    <x v="4"/>
    <x v="0"/>
    <x v="0"/>
    <x v="1"/>
    <x v="2"/>
  </r>
  <r>
    <s v="Singapore"/>
    <x v="2"/>
    <s v="SG3"/>
    <m/>
    <x v="3"/>
    <x v="4"/>
    <x v="2"/>
    <x v="3"/>
    <x v="0"/>
    <x v="0"/>
    <x v="0"/>
    <m/>
    <x v="0"/>
    <x v="0"/>
    <n v="-0.15579000000000001"/>
    <m/>
    <x v="4"/>
    <x v="2"/>
    <x v="0"/>
    <x v="1"/>
    <x v="0"/>
  </r>
  <r>
    <s v="Singapore"/>
    <x v="3"/>
    <s v="SG1"/>
    <m/>
    <x v="2"/>
    <x v="3"/>
    <x v="2"/>
    <x v="2"/>
    <x v="0"/>
    <x v="0"/>
    <x v="0"/>
    <m/>
    <x v="0"/>
    <x v="0"/>
    <n v="-9.3474000000000002E-2"/>
    <m/>
    <x v="0"/>
    <x v="3"/>
    <x v="0"/>
    <x v="0"/>
    <x v="0"/>
  </r>
  <r>
    <s v="Singapore"/>
    <x v="1"/>
    <s v="SG3"/>
    <m/>
    <x v="1"/>
    <x v="1"/>
    <x v="4"/>
    <x v="5"/>
    <x v="0"/>
    <x v="0"/>
    <x v="0"/>
    <m/>
    <x v="0"/>
    <x v="0"/>
    <n v="-6.5787001200000006"/>
    <m/>
    <x v="0"/>
    <x v="3"/>
    <x v="0"/>
    <x v="5"/>
    <x v="0"/>
  </r>
  <r>
    <s v="Singapore"/>
    <x v="1"/>
    <s v="SG3"/>
    <m/>
    <x v="1"/>
    <x v="2"/>
    <x v="3"/>
    <x v="3"/>
    <x v="0"/>
    <x v="0"/>
    <x v="0"/>
    <m/>
    <x v="0"/>
    <x v="0"/>
    <n v="-1.09053"/>
    <m/>
    <x v="0"/>
    <x v="0"/>
    <x v="0"/>
    <x v="3"/>
    <x v="2"/>
  </r>
  <r>
    <s v="Singapore"/>
    <x v="5"/>
    <s v="SG4"/>
    <m/>
    <x v="3"/>
    <x v="0"/>
    <x v="4"/>
    <x v="4"/>
    <x v="0"/>
    <x v="0"/>
    <x v="0"/>
    <m/>
    <x v="0"/>
    <x v="0"/>
    <n v="5.5941384780000005"/>
    <m/>
    <x v="3"/>
    <x v="1"/>
    <x v="0"/>
    <x v="0"/>
    <x v="0"/>
  </r>
  <r>
    <s v="Singapore"/>
    <x v="4"/>
    <s v="SG4"/>
    <m/>
    <x v="0"/>
    <x v="2"/>
    <x v="1"/>
    <x v="3"/>
    <x v="0"/>
    <x v="0"/>
    <x v="0"/>
    <m/>
    <x v="0"/>
    <x v="0"/>
    <n v="0.264843"/>
    <m/>
    <x v="1"/>
    <x v="2"/>
    <x v="0"/>
    <x v="4"/>
    <x v="2"/>
  </r>
  <r>
    <s v="Singapore"/>
    <x v="2"/>
    <s v="SG4"/>
    <m/>
    <x v="3"/>
    <x v="1"/>
    <x v="2"/>
    <x v="4"/>
    <x v="0"/>
    <x v="0"/>
    <x v="0"/>
    <m/>
    <x v="0"/>
    <x v="0"/>
    <n v="-3.8947500000000003E-2"/>
    <m/>
    <x v="0"/>
    <x v="1"/>
    <x v="0"/>
    <x v="5"/>
    <x v="2"/>
  </r>
  <r>
    <s v="Singapore"/>
    <x v="0"/>
    <s v="SG4"/>
    <m/>
    <x v="5"/>
    <x v="0"/>
    <x v="3"/>
    <x v="3"/>
    <x v="0"/>
    <x v="0"/>
    <x v="0"/>
    <m/>
    <x v="0"/>
    <x v="0"/>
    <n v="-1.121688"/>
    <m/>
    <x v="0"/>
    <x v="0"/>
    <x v="0"/>
    <x v="3"/>
    <x v="0"/>
  </r>
  <r>
    <s v="Singapore"/>
    <x v="3"/>
    <s v="SG3"/>
    <m/>
    <x v="5"/>
    <x v="0"/>
    <x v="2"/>
    <x v="4"/>
    <x v="0"/>
    <x v="0"/>
    <x v="0"/>
    <m/>
    <x v="0"/>
    <x v="0"/>
    <n v="0.15579000000000001"/>
    <m/>
    <x v="1"/>
    <x v="2"/>
    <x v="0"/>
    <x v="3"/>
    <x v="2"/>
  </r>
  <r>
    <s v="Singapore"/>
    <x v="0"/>
    <s v="SG4"/>
    <m/>
    <x v="2"/>
    <x v="2"/>
    <x v="3"/>
    <x v="2"/>
    <x v="0"/>
    <x v="0"/>
    <x v="0"/>
    <m/>
    <x v="0"/>
    <x v="0"/>
    <n v="0.74467620000000001"/>
    <m/>
    <x v="1"/>
    <x v="2"/>
    <x v="0"/>
    <x v="5"/>
    <x v="0"/>
  </r>
  <r>
    <s v="Singapore"/>
    <x v="4"/>
    <s v="SG2"/>
    <m/>
    <x v="2"/>
    <x v="2"/>
    <x v="4"/>
    <x v="5"/>
    <x v="0"/>
    <x v="0"/>
    <x v="0"/>
    <m/>
    <x v="0"/>
    <x v="0"/>
    <n v="1.0671615000000001"/>
    <m/>
    <x v="1"/>
    <x v="2"/>
    <x v="0"/>
    <x v="0"/>
    <x v="2"/>
  </r>
  <r>
    <s v="Singapore"/>
    <x v="2"/>
    <s v="SG2"/>
    <m/>
    <x v="5"/>
    <x v="4"/>
    <x v="2"/>
    <x v="4"/>
    <x v="0"/>
    <x v="0"/>
    <x v="0"/>
    <m/>
    <x v="0"/>
    <x v="0"/>
    <n v="-7.7895000000000006E-2"/>
    <m/>
    <x v="0"/>
    <x v="0"/>
    <x v="0"/>
    <x v="5"/>
    <x v="2"/>
  </r>
  <r>
    <s v="Singapore"/>
    <x v="2"/>
    <s v="SG1"/>
    <m/>
    <x v="2"/>
    <x v="3"/>
    <x v="3"/>
    <x v="1"/>
    <x v="0"/>
    <x v="0"/>
    <x v="0"/>
    <m/>
    <x v="0"/>
    <x v="0"/>
    <n v="-0.46737000000000001"/>
    <m/>
    <x v="4"/>
    <x v="1"/>
    <x v="0"/>
    <x v="4"/>
    <x v="2"/>
  </r>
  <r>
    <s v="Singapore"/>
    <x v="2"/>
    <s v="SG4"/>
    <m/>
    <x v="4"/>
    <x v="0"/>
    <x v="4"/>
    <x v="0"/>
    <x v="0"/>
    <x v="0"/>
    <x v="0"/>
    <m/>
    <x v="0"/>
    <x v="0"/>
    <n v="5.7619554659999999"/>
    <m/>
    <x v="8"/>
    <x v="3"/>
    <x v="0"/>
    <x v="2"/>
    <x v="1"/>
  </r>
  <r>
    <s v="Singapore"/>
    <x v="5"/>
    <s v="SG1"/>
    <m/>
    <x v="4"/>
    <x v="1"/>
    <x v="0"/>
    <x v="2"/>
    <x v="0"/>
    <x v="0"/>
    <x v="0"/>
    <m/>
    <x v="0"/>
    <x v="0"/>
    <n v="1.7918654220000001"/>
    <m/>
    <x v="1"/>
    <x v="3"/>
    <x v="0"/>
    <x v="3"/>
    <x v="0"/>
  </r>
  <r>
    <s v="Singapore"/>
    <x v="0"/>
    <s v="SG1"/>
    <m/>
    <x v="3"/>
    <x v="3"/>
    <x v="2"/>
    <x v="5"/>
    <x v="0"/>
    <x v="0"/>
    <x v="0"/>
    <m/>
    <x v="0"/>
    <x v="0"/>
    <n v="-8.174581722000001"/>
    <m/>
    <x v="7"/>
    <x v="1"/>
    <x v="0"/>
    <x v="3"/>
    <x v="0"/>
  </r>
  <r>
    <s v="Singapore"/>
    <x v="5"/>
    <s v="SG1"/>
    <m/>
    <x v="0"/>
    <x v="4"/>
    <x v="3"/>
    <x v="0"/>
    <x v="0"/>
    <x v="0"/>
    <x v="0"/>
    <m/>
    <x v="0"/>
    <x v="0"/>
    <n v="0.21810600000000002"/>
    <m/>
    <x v="4"/>
    <x v="1"/>
    <x v="0"/>
    <x v="0"/>
    <x v="0"/>
  </r>
  <r>
    <s v="Singapore"/>
    <x v="4"/>
    <s v="SG2"/>
    <m/>
    <x v="5"/>
    <x v="4"/>
    <x v="4"/>
    <x v="0"/>
    <x v="0"/>
    <x v="0"/>
    <x v="0"/>
    <m/>
    <x v="0"/>
    <x v="0"/>
    <n v="-9.3474000000000002E-2"/>
    <m/>
    <x v="4"/>
    <x v="3"/>
    <x v="0"/>
    <x v="2"/>
    <x v="0"/>
  </r>
  <r>
    <s v="Singapore"/>
    <x v="4"/>
    <s v="SG4"/>
    <m/>
    <x v="4"/>
    <x v="4"/>
    <x v="0"/>
    <x v="5"/>
    <x v="0"/>
    <x v="0"/>
    <x v="0"/>
    <m/>
    <x v="0"/>
    <x v="0"/>
    <n v="0.85650226200000001"/>
    <m/>
    <x v="8"/>
    <x v="0"/>
    <x v="0"/>
    <x v="3"/>
    <x v="1"/>
  </r>
  <r>
    <s v="Singapore"/>
    <x v="2"/>
    <s v="SG4"/>
    <m/>
    <x v="5"/>
    <x v="3"/>
    <x v="0"/>
    <x v="4"/>
    <x v="0"/>
    <x v="0"/>
    <x v="0"/>
    <m/>
    <x v="0"/>
    <x v="0"/>
    <n v="-1.86948"/>
    <m/>
    <x v="4"/>
    <x v="0"/>
    <x v="0"/>
    <x v="0"/>
    <x v="2"/>
  </r>
  <r>
    <s v="Singapore"/>
    <x v="5"/>
    <s v="SG2"/>
    <m/>
    <x v="0"/>
    <x v="3"/>
    <x v="4"/>
    <x v="4"/>
    <x v="0"/>
    <x v="0"/>
    <x v="0"/>
    <m/>
    <x v="0"/>
    <x v="0"/>
    <n v="-0.79452900000000004"/>
    <m/>
    <x v="4"/>
    <x v="3"/>
    <x v="0"/>
    <x v="4"/>
    <x v="0"/>
  </r>
  <r>
    <s v="Singapore"/>
    <x v="1"/>
    <s v="SG4"/>
    <m/>
    <x v="4"/>
    <x v="0"/>
    <x v="2"/>
    <x v="4"/>
    <x v="0"/>
    <x v="0"/>
    <x v="0"/>
    <m/>
    <x v="0"/>
    <x v="0"/>
    <n v="8.1789749999999998E-3"/>
    <m/>
    <x v="6"/>
    <x v="2"/>
    <x v="0"/>
    <x v="4"/>
    <x v="2"/>
  </r>
  <r>
    <s v="Singapore"/>
    <x v="1"/>
    <s v="SG2"/>
    <m/>
    <x v="5"/>
    <x v="4"/>
    <x v="4"/>
    <x v="1"/>
    <x v="0"/>
    <x v="0"/>
    <x v="0"/>
    <m/>
    <x v="0"/>
    <x v="0"/>
    <n v="0.24926400000000001"/>
    <m/>
    <x v="0"/>
    <x v="1"/>
    <x v="0"/>
    <x v="0"/>
    <x v="1"/>
  </r>
  <r>
    <s v="Singapore"/>
    <x v="4"/>
    <s v="SG2"/>
    <m/>
    <x v="3"/>
    <x v="3"/>
    <x v="3"/>
    <x v="4"/>
    <x v="0"/>
    <x v="0"/>
    <x v="0"/>
    <m/>
    <x v="0"/>
    <x v="0"/>
    <n v="-0.14955840000000001"/>
    <m/>
    <x v="6"/>
    <x v="3"/>
    <x v="0"/>
    <x v="3"/>
    <x v="0"/>
  </r>
  <r>
    <s v="Singapore"/>
    <x v="3"/>
    <s v="SG4"/>
    <m/>
    <x v="0"/>
    <x v="3"/>
    <x v="2"/>
    <x v="1"/>
    <x v="0"/>
    <x v="0"/>
    <x v="0"/>
    <m/>
    <x v="0"/>
    <x v="0"/>
    <n v="-0.77895000000000003"/>
    <m/>
    <x v="4"/>
    <x v="0"/>
    <x v="0"/>
    <x v="0"/>
    <x v="2"/>
  </r>
  <r>
    <s v="Singapore"/>
    <x v="3"/>
    <s v="SG3"/>
    <m/>
    <x v="4"/>
    <x v="4"/>
    <x v="1"/>
    <x v="3"/>
    <x v="0"/>
    <x v="0"/>
    <x v="0"/>
    <m/>
    <x v="0"/>
    <x v="0"/>
    <n v="0.46737000000000001"/>
    <m/>
    <x v="3"/>
    <x v="3"/>
    <x v="0"/>
    <x v="1"/>
    <x v="0"/>
  </r>
  <r>
    <s v="Singapore"/>
    <x v="2"/>
    <s v="SG3"/>
    <m/>
    <x v="2"/>
    <x v="0"/>
    <x v="2"/>
    <x v="3"/>
    <x v="0"/>
    <x v="0"/>
    <x v="0"/>
    <m/>
    <x v="0"/>
    <x v="0"/>
    <n v="-0.70105499999999998"/>
    <m/>
    <x v="4"/>
    <x v="3"/>
    <x v="0"/>
    <x v="3"/>
    <x v="0"/>
  </r>
  <r>
    <s v="Singapore"/>
    <x v="4"/>
    <s v="SG2"/>
    <m/>
    <x v="3"/>
    <x v="4"/>
    <x v="3"/>
    <x v="2"/>
    <x v="0"/>
    <x v="0"/>
    <x v="0"/>
    <m/>
    <x v="0"/>
    <x v="0"/>
    <n v="3.1781160000000002"/>
    <m/>
    <x v="7"/>
    <x v="1"/>
    <x v="0"/>
    <x v="2"/>
    <x v="0"/>
  </r>
  <r>
    <s v="Singapore"/>
    <x v="1"/>
    <s v="SG2"/>
    <m/>
    <x v="1"/>
    <x v="4"/>
    <x v="3"/>
    <x v="5"/>
    <x v="0"/>
    <x v="0"/>
    <x v="0"/>
    <m/>
    <x v="0"/>
    <x v="0"/>
    <n v="-0.74000250000000001"/>
    <m/>
    <x v="8"/>
    <x v="3"/>
    <x v="0"/>
    <x v="1"/>
    <x v="2"/>
  </r>
  <r>
    <s v="Singapore"/>
    <x v="4"/>
    <s v="SG1"/>
    <m/>
    <x v="1"/>
    <x v="2"/>
    <x v="0"/>
    <x v="4"/>
    <x v="0"/>
    <x v="0"/>
    <x v="0"/>
    <m/>
    <x v="0"/>
    <x v="0"/>
    <n v="-4.6737000000000002"/>
    <m/>
    <x v="4"/>
    <x v="2"/>
    <x v="0"/>
    <x v="4"/>
    <x v="2"/>
  </r>
  <r>
    <s v="Singapore"/>
    <x v="4"/>
    <s v="SG3"/>
    <m/>
    <x v="0"/>
    <x v="0"/>
    <x v="3"/>
    <x v="2"/>
    <x v="0"/>
    <x v="0"/>
    <x v="0"/>
    <m/>
    <x v="0"/>
    <x v="0"/>
    <n v="-0.12463200000000001"/>
    <m/>
    <x v="0"/>
    <x v="0"/>
    <x v="0"/>
    <x v="2"/>
    <x v="0"/>
  </r>
  <r>
    <s v="Singapore"/>
    <x v="3"/>
    <s v="SG4"/>
    <m/>
    <x v="0"/>
    <x v="2"/>
    <x v="4"/>
    <x v="0"/>
    <x v="0"/>
    <x v="0"/>
    <x v="0"/>
    <m/>
    <x v="0"/>
    <x v="0"/>
    <n v="-4.7601634500000003"/>
    <m/>
    <x v="2"/>
    <x v="3"/>
    <x v="0"/>
    <x v="1"/>
    <x v="0"/>
  </r>
  <r>
    <s v="Singapore"/>
    <x v="5"/>
    <s v="SG1"/>
    <m/>
    <x v="5"/>
    <x v="2"/>
    <x v="2"/>
    <x v="4"/>
    <x v="0"/>
    <x v="0"/>
    <x v="0"/>
    <m/>
    <x v="0"/>
    <x v="0"/>
    <n v="-0.46737000000000001"/>
    <m/>
    <x v="4"/>
    <x v="2"/>
    <x v="0"/>
    <x v="2"/>
    <x v="0"/>
  </r>
  <r>
    <s v="Singapore"/>
    <x v="0"/>
    <s v="SG3"/>
    <m/>
    <x v="2"/>
    <x v="1"/>
    <x v="3"/>
    <x v="4"/>
    <x v="0"/>
    <x v="0"/>
    <x v="0"/>
    <m/>
    <x v="0"/>
    <x v="0"/>
    <n v="-0.12463200000000001"/>
    <m/>
    <x v="4"/>
    <x v="3"/>
    <x v="0"/>
    <x v="3"/>
    <x v="0"/>
  </r>
  <r>
    <s v="Singapore"/>
    <x v="1"/>
    <s v="SG1"/>
    <m/>
    <x v="0"/>
    <x v="2"/>
    <x v="1"/>
    <x v="4"/>
    <x v="0"/>
    <x v="0"/>
    <x v="0"/>
    <m/>
    <x v="0"/>
    <x v="0"/>
    <n v="-0.48294900000000002"/>
    <m/>
    <x v="4"/>
    <x v="0"/>
    <x v="0"/>
    <x v="0"/>
    <x v="1"/>
  </r>
  <r>
    <s v="Singapore"/>
    <x v="2"/>
    <s v="SG3"/>
    <m/>
    <x v="4"/>
    <x v="0"/>
    <x v="2"/>
    <x v="5"/>
    <x v="0"/>
    <x v="0"/>
    <x v="0"/>
    <m/>
    <x v="0"/>
    <x v="0"/>
    <n v="-0.21810600000000002"/>
    <m/>
    <x v="4"/>
    <x v="0"/>
    <x v="0"/>
    <x v="4"/>
    <x v="1"/>
  </r>
  <r>
    <s v="Singapore"/>
    <x v="1"/>
    <s v="SG2"/>
    <m/>
    <x v="1"/>
    <x v="0"/>
    <x v="2"/>
    <x v="5"/>
    <x v="0"/>
    <x v="0"/>
    <x v="0"/>
    <m/>
    <x v="0"/>
    <x v="0"/>
    <n v="8.9337619710000009"/>
    <m/>
    <x v="7"/>
    <x v="0"/>
    <x v="0"/>
    <x v="0"/>
    <x v="0"/>
  </r>
  <r>
    <s v="Singapore"/>
    <x v="2"/>
    <s v="SG4"/>
    <m/>
    <x v="3"/>
    <x v="1"/>
    <x v="4"/>
    <x v="1"/>
    <x v="0"/>
    <x v="0"/>
    <x v="0"/>
    <m/>
    <x v="0"/>
    <x v="0"/>
    <n v="0.42063300000000003"/>
    <m/>
    <x v="4"/>
    <x v="2"/>
    <x v="0"/>
    <x v="1"/>
    <x v="0"/>
  </r>
  <r>
    <s v="Singapore"/>
    <x v="3"/>
    <s v="SG2"/>
    <m/>
    <x v="3"/>
    <x v="1"/>
    <x v="0"/>
    <x v="1"/>
    <x v="0"/>
    <x v="0"/>
    <x v="0"/>
    <m/>
    <x v="0"/>
    <x v="0"/>
    <n v="1.9955608470000001"/>
    <m/>
    <x v="8"/>
    <x v="2"/>
    <x v="0"/>
    <x v="2"/>
    <x v="1"/>
  </r>
  <r>
    <s v="Singapore"/>
    <x v="0"/>
    <s v="SG1"/>
    <m/>
    <x v="1"/>
    <x v="0"/>
    <x v="0"/>
    <x v="2"/>
    <x v="0"/>
    <x v="0"/>
    <x v="0"/>
    <m/>
    <x v="0"/>
    <x v="0"/>
    <n v="-3.1158000000000002E-2"/>
    <m/>
    <x v="0"/>
    <x v="1"/>
    <x v="0"/>
    <x v="2"/>
    <x v="2"/>
  </r>
  <r>
    <s v="Singapore"/>
    <x v="2"/>
    <s v="SG1"/>
    <m/>
    <x v="0"/>
    <x v="0"/>
    <x v="3"/>
    <x v="2"/>
    <x v="0"/>
    <x v="0"/>
    <x v="0"/>
    <m/>
    <x v="0"/>
    <x v="0"/>
    <n v="0.15579000000000001"/>
    <m/>
    <x v="1"/>
    <x v="2"/>
    <x v="0"/>
    <x v="2"/>
    <x v="2"/>
  </r>
  <r>
    <s v="Singapore"/>
    <x v="4"/>
    <s v="SG2"/>
    <m/>
    <x v="5"/>
    <x v="2"/>
    <x v="1"/>
    <x v="0"/>
    <x v="0"/>
    <x v="0"/>
    <x v="0"/>
    <m/>
    <x v="0"/>
    <x v="0"/>
    <n v="-0.37389600000000001"/>
    <m/>
    <x v="4"/>
    <x v="3"/>
    <x v="0"/>
    <x v="3"/>
    <x v="2"/>
  </r>
  <r>
    <s v="Singapore"/>
    <x v="0"/>
    <s v="SG4"/>
    <m/>
    <x v="0"/>
    <x v="4"/>
    <x v="4"/>
    <x v="4"/>
    <x v="0"/>
    <x v="0"/>
    <x v="0"/>
    <m/>
    <x v="0"/>
    <x v="0"/>
    <n v="-1.1871198000000001"/>
    <m/>
    <x v="3"/>
    <x v="1"/>
    <x v="0"/>
    <x v="2"/>
    <x v="2"/>
  </r>
  <r>
    <s v="Singapore"/>
    <x v="4"/>
    <s v="SG1"/>
    <m/>
    <x v="0"/>
    <x v="1"/>
    <x v="3"/>
    <x v="5"/>
    <x v="0"/>
    <x v="0"/>
    <x v="0"/>
    <m/>
    <x v="0"/>
    <x v="0"/>
    <n v="1.6747425E-2"/>
    <m/>
    <x v="6"/>
    <x v="3"/>
    <x v="0"/>
    <x v="3"/>
    <x v="0"/>
  </r>
  <r>
    <s v="Singapore"/>
    <x v="3"/>
    <s v="SG2"/>
    <m/>
    <x v="1"/>
    <x v="0"/>
    <x v="4"/>
    <x v="0"/>
    <x v="0"/>
    <x v="0"/>
    <x v="0"/>
    <m/>
    <x v="0"/>
    <x v="0"/>
    <n v="-0.15579000000000001"/>
    <m/>
    <x v="0"/>
    <x v="0"/>
    <x v="0"/>
    <x v="0"/>
    <x v="2"/>
  </r>
  <r>
    <s v="Singapore"/>
    <x v="4"/>
    <s v="SG2"/>
    <m/>
    <x v="1"/>
    <x v="0"/>
    <x v="2"/>
    <x v="3"/>
    <x v="0"/>
    <x v="0"/>
    <x v="0"/>
    <m/>
    <x v="0"/>
    <x v="0"/>
    <n v="-0.1838322"/>
    <m/>
    <x v="4"/>
    <x v="1"/>
    <x v="0"/>
    <x v="3"/>
    <x v="0"/>
  </r>
  <r>
    <s v="Singapore"/>
    <x v="5"/>
    <s v="SG2"/>
    <m/>
    <x v="1"/>
    <x v="4"/>
    <x v="1"/>
    <x v="5"/>
    <x v="0"/>
    <x v="0"/>
    <x v="0"/>
    <m/>
    <x v="0"/>
    <x v="0"/>
    <n v="-75.363459237000001"/>
    <m/>
    <x v="7"/>
    <x v="1"/>
    <x v="0"/>
    <x v="0"/>
    <x v="1"/>
  </r>
  <r>
    <s v="Singapore"/>
    <x v="1"/>
    <s v="SG1"/>
    <m/>
    <x v="0"/>
    <x v="0"/>
    <x v="0"/>
    <x v="3"/>
    <x v="0"/>
    <x v="0"/>
    <x v="0"/>
    <m/>
    <x v="0"/>
    <x v="0"/>
    <n v="0.50812466400000011"/>
    <m/>
    <x v="5"/>
    <x v="2"/>
    <x v="0"/>
    <x v="3"/>
    <x v="0"/>
  </r>
  <r>
    <s v="Singapore"/>
    <x v="1"/>
    <s v="SG4"/>
    <m/>
    <x v="3"/>
    <x v="4"/>
    <x v="4"/>
    <x v="3"/>
    <x v="0"/>
    <x v="0"/>
    <x v="0"/>
    <m/>
    <x v="0"/>
    <x v="0"/>
    <n v="-0.280422"/>
    <m/>
    <x v="0"/>
    <x v="0"/>
    <x v="0"/>
    <x v="4"/>
    <x v="0"/>
  </r>
  <r>
    <s v="Singapore"/>
    <x v="0"/>
    <s v="SG1"/>
    <m/>
    <x v="1"/>
    <x v="2"/>
    <x v="2"/>
    <x v="0"/>
    <x v="0"/>
    <x v="0"/>
    <x v="0"/>
    <m/>
    <x v="0"/>
    <x v="0"/>
    <n v="-0.84126600000000007"/>
    <m/>
    <x v="0"/>
    <x v="0"/>
    <x v="0"/>
    <x v="3"/>
    <x v="0"/>
  </r>
  <r>
    <s v="Singapore"/>
    <x v="0"/>
    <s v="SG1"/>
    <m/>
    <x v="4"/>
    <x v="0"/>
    <x v="0"/>
    <x v="0"/>
    <x v="0"/>
    <x v="0"/>
    <x v="0"/>
    <m/>
    <x v="0"/>
    <x v="0"/>
    <n v="-0.12463200000000001"/>
    <m/>
    <x v="4"/>
    <x v="2"/>
    <x v="0"/>
    <x v="0"/>
    <x v="0"/>
  </r>
  <r>
    <s v="Singapore"/>
    <x v="2"/>
    <s v="SG3"/>
    <m/>
    <x v="2"/>
    <x v="2"/>
    <x v="4"/>
    <x v="5"/>
    <x v="0"/>
    <x v="0"/>
    <x v="0"/>
    <m/>
    <x v="0"/>
    <x v="0"/>
    <n v="-9.3474000000000002E-2"/>
    <m/>
    <x v="0"/>
    <x v="3"/>
    <x v="0"/>
    <x v="5"/>
    <x v="2"/>
  </r>
  <r>
    <s v="Singapore"/>
    <x v="4"/>
    <s v="SG1"/>
    <m/>
    <x v="0"/>
    <x v="3"/>
    <x v="0"/>
    <x v="3"/>
    <x v="0"/>
    <x v="0"/>
    <x v="0"/>
    <m/>
    <x v="0"/>
    <x v="0"/>
    <n v="0.15579000000000001"/>
    <m/>
    <x v="1"/>
    <x v="1"/>
    <x v="0"/>
    <x v="1"/>
    <x v="0"/>
  </r>
  <r>
    <s v="Singapore"/>
    <x v="4"/>
    <s v="SG1"/>
    <m/>
    <x v="2"/>
    <x v="0"/>
    <x v="0"/>
    <x v="1"/>
    <x v="0"/>
    <x v="0"/>
    <x v="0"/>
    <m/>
    <x v="0"/>
    <x v="0"/>
    <n v="-0.35598015"/>
    <m/>
    <x v="8"/>
    <x v="3"/>
    <x v="0"/>
    <x v="2"/>
    <x v="0"/>
  </r>
  <r>
    <s v="Singapore"/>
    <x v="2"/>
    <s v="SG2"/>
    <m/>
    <x v="1"/>
    <x v="2"/>
    <x v="1"/>
    <x v="4"/>
    <x v="0"/>
    <x v="0"/>
    <x v="0"/>
    <m/>
    <x v="0"/>
    <x v="0"/>
    <n v="-0.37389600000000001"/>
    <m/>
    <x v="1"/>
    <x v="3"/>
    <x v="0"/>
    <x v="1"/>
    <x v="2"/>
  </r>
  <r>
    <s v="Singapore"/>
    <x v="3"/>
    <s v="SG3"/>
    <m/>
    <x v="3"/>
    <x v="0"/>
    <x v="1"/>
    <x v="3"/>
    <x v="0"/>
    <x v="0"/>
    <x v="0"/>
    <m/>
    <x v="0"/>
    <x v="0"/>
    <n v="-3.1158000000000002E-2"/>
    <m/>
    <x v="0"/>
    <x v="0"/>
    <x v="0"/>
    <x v="5"/>
    <x v="1"/>
  </r>
  <r>
    <s v="Singapore"/>
    <x v="0"/>
    <s v="SG2"/>
    <m/>
    <x v="4"/>
    <x v="3"/>
    <x v="3"/>
    <x v="4"/>
    <x v="0"/>
    <x v="0"/>
    <x v="0"/>
    <m/>
    <x v="0"/>
    <x v="0"/>
    <n v="-0.61322059800000006"/>
    <m/>
    <x v="0"/>
    <x v="3"/>
    <x v="0"/>
    <x v="3"/>
    <x v="0"/>
  </r>
  <r>
    <s v="Singapore"/>
    <x v="4"/>
    <s v="SG2"/>
    <m/>
    <x v="3"/>
    <x v="0"/>
    <x v="4"/>
    <x v="3"/>
    <x v="0"/>
    <x v="0"/>
    <x v="0"/>
    <m/>
    <x v="0"/>
    <x v="0"/>
    <n v="0.28738581299999999"/>
    <m/>
    <x v="7"/>
    <x v="3"/>
    <x v="0"/>
    <x v="0"/>
    <x v="0"/>
  </r>
  <r>
    <s v="Singapore"/>
    <x v="0"/>
    <s v="SG4"/>
    <m/>
    <x v="2"/>
    <x v="2"/>
    <x v="1"/>
    <x v="3"/>
    <x v="0"/>
    <x v="0"/>
    <x v="0"/>
    <m/>
    <x v="0"/>
    <x v="0"/>
    <n v="-0.34273800000000004"/>
    <m/>
    <x v="0"/>
    <x v="1"/>
    <x v="0"/>
    <x v="0"/>
    <x v="2"/>
  </r>
  <r>
    <s v="Singapore"/>
    <x v="2"/>
    <s v="SG4"/>
    <m/>
    <x v="2"/>
    <x v="3"/>
    <x v="3"/>
    <x v="3"/>
    <x v="0"/>
    <x v="0"/>
    <x v="0"/>
    <m/>
    <x v="0"/>
    <x v="0"/>
    <n v="2.7263250000000001"/>
    <m/>
    <x v="1"/>
    <x v="2"/>
    <x v="0"/>
    <x v="0"/>
    <x v="0"/>
  </r>
  <r>
    <s v="Singapore"/>
    <x v="5"/>
    <s v="SG3"/>
    <m/>
    <x v="0"/>
    <x v="3"/>
    <x v="3"/>
    <x v="3"/>
    <x v="0"/>
    <x v="0"/>
    <x v="0"/>
    <m/>
    <x v="0"/>
    <x v="0"/>
    <n v="-0.1838322"/>
    <m/>
    <x v="4"/>
    <x v="2"/>
    <x v="0"/>
    <x v="5"/>
    <x v="1"/>
  </r>
  <r>
    <s v="Singapore"/>
    <x v="3"/>
    <s v="SG4"/>
    <m/>
    <x v="0"/>
    <x v="0"/>
    <x v="4"/>
    <x v="0"/>
    <x v="0"/>
    <x v="0"/>
    <x v="0"/>
    <m/>
    <x v="0"/>
    <x v="0"/>
    <n v="4.6737000000000003E-5"/>
    <m/>
    <x v="8"/>
    <x v="2"/>
    <x v="0"/>
    <x v="1"/>
    <x v="2"/>
  </r>
  <r>
    <s v="Singapore"/>
    <x v="5"/>
    <s v="SG3"/>
    <m/>
    <x v="5"/>
    <x v="2"/>
    <x v="2"/>
    <x v="5"/>
    <x v="0"/>
    <x v="0"/>
    <x v="0"/>
    <m/>
    <x v="0"/>
    <x v="0"/>
    <n v="-0.93474000000000002"/>
    <m/>
    <x v="4"/>
    <x v="1"/>
    <x v="0"/>
    <x v="3"/>
    <x v="1"/>
  </r>
  <r>
    <s v="Singapore"/>
    <x v="0"/>
    <s v="SG4"/>
    <m/>
    <x v="3"/>
    <x v="3"/>
    <x v="3"/>
    <x v="3"/>
    <x v="0"/>
    <x v="0"/>
    <x v="0"/>
    <m/>
    <x v="0"/>
    <x v="0"/>
    <n v="-1.09053"/>
    <m/>
    <x v="4"/>
    <x v="2"/>
    <x v="0"/>
    <x v="3"/>
    <x v="0"/>
  </r>
  <r>
    <s v="Singapore"/>
    <x v="2"/>
    <s v="SG3"/>
    <m/>
    <x v="4"/>
    <x v="3"/>
    <x v="2"/>
    <x v="5"/>
    <x v="0"/>
    <x v="0"/>
    <x v="0"/>
    <m/>
    <x v="0"/>
    <x v="0"/>
    <n v="-0.46737000000000001"/>
    <m/>
    <x v="0"/>
    <x v="2"/>
    <x v="0"/>
    <x v="2"/>
    <x v="1"/>
  </r>
  <r>
    <s v="Singapore"/>
    <x v="2"/>
    <s v="SG1"/>
    <m/>
    <x v="2"/>
    <x v="2"/>
    <x v="4"/>
    <x v="5"/>
    <x v="0"/>
    <x v="0"/>
    <x v="0"/>
    <m/>
    <x v="0"/>
    <x v="0"/>
    <n v="-0.28294579800000003"/>
    <m/>
    <x v="8"/>
    <x v="2"/>
    <x v="0"/>
    <x v="2"/>
    <x v="1"/>
  </r>
  <r>
    <s v="Singapore"/>
    <x v="3"/>
    <s v="SG1"/>
    <m/>
    <x v="1"/>
    <x v="1"/>
    <x v="3"/>
    <x v="3"/>
    <x v="0"/>
    <x v="0"/>
    <x v="0"/>
    <m/>
    <x v="0"/>
    <x v="0"/>
    <n v="0.26328509999999999"/>
    <m/>
    <x v="2"/>
    <x v="3"/>
    <x v="0"/>
    <x v="5"/>
    <x v="2"/>
  </r>
  <r>
    <s v="Singapore"/>
    <x v="0"/>
    <s v="SG2"/>
    <m/>
    <x v="2"/>
    <x v="1"/>
    <x v="4"/>
    <x v="2"/>
    <x v="0"/>
    <x v="0"/>
    <x v="0"/>
    <m/>
    <x v="0"/>
    <x v="0"/>
    <n v="-9.3474000000000002E-2"/>
    <m/>
    <x v="0"/>
    <x v="1"/>
    <x v="0"/>
    <x v="0"/>
    <x v="2"/>
  </r>
  <r>
    <s v="Singapore"/>
    <x v="2"/>
    <s v="SG4"/>
    <m/>
    <x v="5"/>
    <x v="4"/>
    <x v="3"/>
    <x v="1"/>
    <x v="0"/>
    <x v="0"/>
    <x v="0"/>
    <m/>
    <x v="0"/>
    <x v="0"/>
    <n v="4.0505399999999998"/>
    <m/>
    <x v="11"/>
    <x v="2"/>
    <x v="0"/>
    <x v="1"/>
    <x v="1"/>
  </r>
  <r>
    <s v="Singapore"/>
    <x v="4"/>
    <s v="SG3"/>
    <m/>
    <x v="0"/>
    <x v="4"/>
    <x v="0"/>
    <x v="0"/>
    <x v="0"/>
    <x v="0"/>
    <x v="0"/>
    <m/>
    <x v="0"/>
    <x v="0"/>
    <n v="-0.77895000000000003"/>
    <m/>
    <x v="4"/>
    <x v="0"/>
    <x v="0"/>
    <x v="1"/>
    <x v="0"/>
  </r>
  <r>
    <s v="Singapore"/>
    <x v="4"/>
    <s v="SG4"/>
    <m/>
    <x v="1"/>
    <x v="1"/>
    <x v="4"/>
    <x v="1"/>
    <x v="0"/>
    <x v="0"/>
    <x v="0"/>
    <m/>
    <x v="0"/>
    <x v="0"/>
    <n v="-1.0422351000000001"/>
    <m/>
    <x v="4"/>
    <x v="2"/>
    <x v="0"/>
    <x v="2"/>
    <x v="1"/>
  </r>
  <r>
    <s v="Singapore"/>
    <x v="0"/>
    <s v="SG3"/>
    <m/>
    <x v="3"/>
    <x v="2"/>
    <x v="4"/>
    <x v="0"/>
    <x v="0"/>
    <x v="0"/>
    <x v="0"/>
    <m/>
    <x v="0"/>
    <x v="0"/>
    <n v="0.70105499999999998"/>
    <m/>
    <x v="1"/>
    <x v="1"/>
    <x v="0"/>
    <x v="5"/>
    <x v="0"/>
  </r>
  <r>
    <s v="Singapore"/>
    <x v="3"/>
    <s v="SG4"/>
    <m/>
    <x v="4"/>
    <x v="3"/>
    <x v="2"/>
    <x v="3"/>
    <x v="0"/>
    <x v="0"/>
    <x v="0"/>
    <m/>
    <x v="0"/>
    <x v="0"/>
    <n v="0.70105499999999998"/>
    <m/>
    <x v="1"/>
    <x v="0"/>
    <x v="0"/>
    <x v="1"/>
    <x v="2"/>
  </r>
  <r>
    <s v="Singapore"/>
    <x v="1"/>
    <s v="SG4"/>
    <m/>
    <x v="5"/>
    <x v="3"/>
    <x v="4"/>
    <x v="0"/>
    <x v="0"/>
    <x v="0"/>
    <x v="0"/>
    <m/>
    <x v="0"/>
    <x v="0"/>
    <n v="-0.233685"/>
    <m/>
    <x v="0"/>
    <x v="0"/>
    <x v="0"/>
    <x v="5"/>
    <x v="0"/>
  </r>
  <r>
    <s v="Singapore"/>
    <x v="4"/>
    <s v="SG2"/>
    <m/>
    <x v="4"/>
    <x v="0"/>
    <x v="1"/>
    <x v="5"/>
    <x v="0"/>
    <x v="0"/>
    <x v="0"/>
    <m/>
    <x v="0"/>
    <x v="0"/>
    <n v="4.36212"/>
    <m/>
    <x v="1"/>
    <x v="1"/>
    <x v="0"/>
    <x v="2"/>
    <x v="0"/>
  </r>
  <r>
    <s v="Singapore"/>
    <x v="4"/>
    <s v="SG3"/>
    <m/>
    <x v="4"/>
    <x v="3"/>
    <x v="2"/>
    <x v="2"/>
    <x v="0"/>
    <x v="0"/>
    <x v="0"/>
    <m/>
    <x v="0"/>
    <x v="0"/>
    <n v="42.202981313999999"/>
    <m/>
    <x v="8"/>
    <x v="0"/>
    <x v="0"/>
    <x v="2"/>
    <x v="1"/>
  </r>
  <r>
    <s v="Singapore"/>
    <x v="4"/>
    <s v="SG3"/>
    <m/>
    <x v="2"/>
    <x v="0"/>
    <x v="0"/>
    <x v="0"/>
    <x v="0"/>
    <x v="0"/>
    <x v="0"/>
    <m/>
    <x v="0"/>
    <x v="0"/>
    <n v="-0.77895000000000003"/>
    <m/>
    <x v="3"/>
    <x v="0"/>
    <x v="0"/>
    <x v="2"/>
    <x v="1"/>
  </r>
  <r>
    <s v="Singapore"/>
    <x v="1"/>
    <s v="SG2"/>
    <m/>
    <x v="0"/>
    <x v="3"/>
    <x v="2"/>
    <x v="5"/>
    <x v="0"/>
    <x v="0"/>
    <x v="0"/>
    <m/>
    <x v="0"/>
    <x v="0"/>
    <n v="-0.12463200000000001"/>
    <m/>
    <x v="4"/>
    <x v="2"/>
    <x v="0"/>
    <x v="2"/>
    <x v="1"/>
  </r>
  <r>
    <s v="Singapore"/>
    <x v="3"/>
    <s v="SG2"/>
    <m/>
    <x v="4"/>
    <x v="4"/>
    <x v="4"/>
    <x v="0"/>
    <x v="0"/>
    <x v="0"/>
    <x v="0"/>
    <m/>
    <x v="0"/>
    <x v="0"/>
    <n v="-4.6737000000000001E-2"/>
    <m/>
    <x v="0"/>
    <x v="2"/>
    <x v="0"/>
    <x v="5"/>
    <x v="0"/>
  </r>
  <r>
    <s v="Singapore"/>
    <x v="4"/>
    <s v="SG4"/>
    <m/>
    <x v="0"/>
    <x v="2"/>
    <x v="1"/>
    <x v="2"/>
    <x v="0"/>
    <x v="0"/>
    <x v="0"/>
    <m/>
    <x v="0"/>
    <x v="0"/>
    <n v="0.19746382500000001"/>
    <m/>
    <x v="6"/>
    <x v="0"/>
    <x v="0"/>
    <x v="3"/>
    <x v="0"/>
  </r>
  <r>
    <s v="Singapore"/>
    <x v="2"/>
    <s v="SG4"/>
    <m/>
    <x v="4"/>
    <x v="3"/>
    <x v="2"/>
    <x v="3"/>
    <x v="0"/>
    <x v="0"/>
    <x v="0"/>
    <m/>
    <x v="0"/>
    <x v="0"/>
    <n v="0.77895000000000003"/>
    <m/>
    <x v="4"/>
    <x v="2"/>
    <x v="0"/>
    <x v="3"/>
    <x v="0"/>
  </r>
  <r>
    <s v="Singapore"/>
    <x v="2"/>
    <s v="SG1"/>
    <m/>
    <x v="5"/>
    <x v="2"/>
    <x v="1"/>
    <x v="5"/>
    <x v="0"/>
    <x v="0"/>
    <x v="0"/>
    <m/>
    <x v="0"/>
    <x v="0"/>
    <n v="-9.3474000000000002E-2"/>
    <m/>
    <x v="0"/>
    <x v="3"/>
    <x v="0"/>
    <x v="3"/>
    <x v="1"/>
  </r>
  <r>
    <s v="Singapore"/>
    <x v="2"/>
    <s v="SG1"/>
    <m/>
    <x v="3"/>
    <x v="4"/>
    <x v="0"/>
    <x v="1"/>
    <x v="0"/>
    <x v="0"/>
    <x v="0"/>
    <m/>
    <x v="0"/>
    <x v="0"/>
    <n v="-1.5579000000000001E-2"/>
    <m/>
    <x v="0"/>
    <x v="0"/>
    <x v="0"/>
    <x v="0"/>
    <x v="1"/>
  </r>
  <r>
    <s v="Singapore"/>
    <x v="0"/>
    <s v="SG2"/>
    <m/>
    <x v="1"/>
    <x v="0"/>
    <x v="2"/>
    <x v="0"/>
    <x v="0"/>
    <x v="0"/>
    <x v="0"/>
    <m/>
    <x v="0"/>
    <x v="0"/>
    <n v="0.100079496"/>
    <m/>
    <x v="7"/>
    <x v="0"/>
    <x v="0"/>
    <x v="4"/>
    <x v="2"/>
  </r>
  <r>
    <s v="Singapore"/>
    <x v="5"/>
    <s v="SG3"/>
    <m/>
    <x v="4"/>
    <x v="0"/>
    <x v="3"/>
    <x v="5"/>
    <x v="0"/>
    <x v="0"/>
    <x v="0"/>
    <m/>
    <x v="0"/>
    <x v="0"/>
    <n v="7.6337100000000007"/>
    <m/>
    <x v="7"/>
    <x v="3"/>
    <x v="0"/>
    <x v="4"/>
    <x v="1"/>
  </r>
  <r>
    <s v="Singapore"/>
    <x v="5"/>
    <s v="SG3"/>
    <m/>
    <x v="4"/>
    <x v="1"/>
    <x v="4"/>
    <x v="0"/>
    <x v="0"/>
    <x v="0"/>
    <x v="0"/>
    <m/>
    <x v="0"/>
    <x v="0"/>
    <n v="75.453459120000005"/>
    <m/>
    <x v="7"/>
    <x v="1"/>
    <x v="0"/>
    <x v="2"/>
    <x v="2"/>
  </r>
  <r>
    <s v="Singapore"/>
    <x v="2"/>
    <s v="SG2"/>
    <m/>
    <x v="3"/>
    <x v="4"/>
    <x v="1"/>
    <x v="0"/>
    <x v="0"/>
    <x v="0"/>
    <x v="0"/>
    <m/>
    <x v="0"/>
    <x v="0"/>
    <n v="0.280422"/>
    <m/>
    <x v="1"/>
    <x v="0"/>
    <x v="0"/>
    <x v="0"/>
    <x v="2"/>
  </r>
  <r>
    <s v="Singapore"/>
    <x v="1"/>
    <s v="SG4"/>
    <m/>
    <x v="4"/>
    <x v="3"/>
    <x v="0"/>
    <x v="3"/>
    <x v="0"/>
    <x v="0"/>
    <x v="0"/>
    <m/>
    <x v="0"/>
    <x v="0"/>
    <n v="-0.15579000000000001"/>
    <m/>
    <x v="0"/>
    <x v="2"/>
    <x v="0"/>
    <x v="0"/>
    <x v="2"/>
  </r>
  <r>
    <s v="Singapore"/>
    <x v="1"/>
    <s v="SG4"/>
    <m/>
    <x v="3"/>
    <x v="4"/>
    <x v="1"/>
    <x v="0"/>
    <x v="0"/>
    <x v="0"/>
    <x v="0"/>
    <m/>
    <x v="0"/>
    <x v="0"/>
    <n v="-1.7292690000000002"/>
    <m/>
    <x v="0"/>
    <x v="3"/>
    <x v="0"/>
    <x v="3"/>
    <x v="1"/>
  </r>
  <r>
    <s v="Singapore"/>
    <x v="2"/>
    <s v="SG1"/>
    <m/>
    <x v="0"/>
    <x v="0"/>
    <x v="0"/>
    <x v="1"/>
    <x v="0"/>
    <x v="0"/>
    <x v="0"/>
    <m/>
    <x v="0"/>
    <x v="0"/>
    <n v="-0.31158000000000002"/>
    <m/>
    <x v="4"/>
    <x v="2"/>
    <x v="0"/>
    <x v="3"/>
    <x v="0"/>
  </r>
  <r>
    <s v="Singapore"/>
    <x v="2"/>
    <s v="SG4"/>
    <m/>
    <x v="0"/>
    <x v="2"/>
    <x v="3"/>
    <x v="0"/>
    <x v="0"/>
    <x v="0"/>
    <x v="0"/>
    <m/>
    <x v="0"/>
    <x v="0"/>
    <n v="-2.3695659"/>
    <m/>
    <x v="3"/>
    <x v="3"/>
    <x v="0"/>
    <x v="5"/>
    <x v="0"/>
  </r>
  <r>
    <s v="Singapore"/>
    <x v="4"/>
    <s v="SG2"/>
    <m/>
    <x v="2"/>
    <x v="2"/>
    <x v="3"/>
    <x v="0"/>
    <x v="0"/>
    <x v="0"/>
    <x v="0"/>
    <m/>
    <x v="0"/>
    <x v="0"/>
    <n v="0.280141578"/>
    <m/>
    <x v="0"/>
    <x v="1"/>
    <x v="0"/>
    <x v="0"/>
    <x v="1"/>
  </r>
  <r>
    <s v="Singapore"/>
    <x v="4"/>
    <s v="SG2"/>
    <m/>
    <x v="1"/>
    <x v="1"/>
    <x v="0"/>
    <x v="2"/>
    <x v="0"/>
    <x v="0"/>
    <x v="0"/>
    <m/>
    <x v="0"/>
    <x v="0"/>
    <n v="-0.10905300000000001"/>
    <m/>
    <x v="4"/>
    <x v="0"/>
    <x v="0"/>
    <x v="3"/>
    <x v="1"/>
  </r>
  <r>
    <s v="Singapore"/>
    <x v="3"/>
    <s v="SG4"/>
    <m/>
    <x v="0"/>
    <x v="2"/>
    <x v="0"/>
    <x v="4"/>
    <x v="0"/>
    <x v="0"/>
    <x v="0"/>
    <m/>
    <x v="0"/>
    <x v="0"/>
    <n v="-1.5579000000000001E-2"/>
    <m/>
    <x v="0"/>
    <x v="2"/>
    <x v="0"/>
    <x v="2"/>
    <x v="2"/>
  </r>
  <r>
    <s v="Singapore"/>
    <x v="5"/>
    <s v="SG2"/>
    <m/>
    <x v="0"/>
    <x v="2"/>
    <x v="3"/>
    <x v="2"/>
    <x v="0"/>
    <x v="0"/>
    <x v="0"/>
    <m/>
    <x v="0"/>
    <x v="0"/>
    <n v="-1.5579000000000001E-2"/>
    <m/>
    <x v="0"/>
    <x v="3"/>
    <x v="0"/>
    <x v="3"/>
    <x v="2"/>
  </r>
  <r>
    <s v="Singapore"/>
    <x v="0"/>
    <s v="SG3"/>
    <m/>
    <x v="4"/>
    <x v="4"/>
    <x v="2"/>
    <x v="2"/>
    <x v="0"/>
    <x v="0"/>
    <x v="0"/>
    <m/>
    <x v="0"/>
    <x v="0"/>
    <n v="-0.42063300000000003"/>
    <m/>
    <x v="4"/>
    <x v="0"/>
    <x v="0"/>
    <x v="4"/>
    <x v="2"/>
  </r>
  <r>
    <s v="Singapore"/>
    <x v="0"/>
    <s v="SG1"/>
    <m/>
    <x v="3"/>
    <x v="1"/>
    <x v="3"/>
    <x v="2"/>
    <x v="0"/>
    <x v="0"/>
    <x v="0"/>
    <m/>
    <x v="0"/>
    <x v="0"/>
    <n v="-0.38947500000000002"/>
    <m/>
    <x v="0"/>
    <x v="1"/>
    <x v="0"/>
    <x v="3"/>
    <x v="1"/>
  </r>
  <r>
    <s v="Singapore"/>
    <x v="0"/>
    <s v="SG4"/>
    <m/>
    <x v="1"/>
    <x v="1"/>
    <x v="4"/>
    <x v="0"/>
    <x v="0"/>
    <x v="0"/>
    <x v="0"/>
    <m/>
    <x v="0"/>
    <x v="0"/>
    <n v="-0.24926400000000001"/>
    <m/>
    <x v="0"/>
    <x v="2"/>
    <x v="0"/>
    <x v="5"/>
    <x v="0"/>
  </r>
  <r>
    <s v="Singapore"/>
    <x v="2"/>
    <s v="SG1"/>
    <m/>
    <x v="0"/>
    <x v="4"/>
    <x v="1"/>
    <x v="1"/>
    <x v="0"/>
    <x v="0"/>
    <x v="0"/>
    <m/>
    <x v="0"/>
    <x v="0"/>
    <n v="-4.6737000000000001E-2"/>
    <m/>
    <x v="0"/>
    <x v="1"/>
    <x v="0"/>
    <x v="2"/>
    <x v="1"/>
  </r>
  <r>
    <s v="Singapore"/>
    <x v="4"/>
    <s v="SG1"/>
    <m/>
    <x v="2"/>
    <x v="4"/>
    <x v="4"/>
    <x v="3"/>
    <x v="0"/>
    <x v="0"/>
    <x v="0"/>
    <m/>
    <x v="0"/>
    <x v="0"/>
    <n v="-2.4926400000000002"/>
    <m/>
    <x v="1"/>
    <x v="1"/>
    <x v="0"/>
    <x v="4"/>
    <x v="1"/>
  </r>
  <r>
    <s v="Singapore"/>
    <x v="1"/>
    <s v="SG1"/>
    <m/>
    <x v="1"/>
    <x v="2"/>
    <x v="2"/>
    <x v="4"/>
    <x v="0"/>
    <x v="0"/>
    <x v="0"/>
    <m/>
    <x v="0"/>
    <x v="0"/>
    <n v="-3.5831700000000004"/>
    <m/>
    <x v="6"/>
    <x v="3"/>
    <x v="0"/>
    <x v="5"/>
    <x v="0"/>
  </r>
  <r>
    <s v="Singapore"/>
    <x v="5"/>
    <s v="SG2"/>
    <m/>
    <x v="4"/>
    <x v="4"/>
    <x v="0"/>
    <x v="1"/>
    <x v="0"/>
    <x v="0"/>
    <x v="0"/>
    <m/>
    <x v="0"/>
    <x v="0"/>
    <n v="-4.6737000000000001E-2"/>
    <m/>
    <x v="0"/>
    <x v="1"/>
    <x v="0"/>
    <x v="4"/>
    <x v="0"/>
  </r>
  <r>
    <s v="Singapore"/>
    <x v="0"/>
    <s v="SG1"/>
    <m/>
    <x v="2"/>
    <x v="1"/>
    <x v="0"/>
    <x v="1"/>
    <x v="0"/>
    <x v="0"/>
    <x v="0"/>
    <m/>
    <x v="0"/>
    <x v="0"/>
    <n v="-4.4789625E-2"/>
    <m/>
    <x v="6"/>
    <x v="0"/>
    <x v="0"/>
    <x v="3"/>
    <x v="2"/>
  </r>
  <r>
    <s v="Singapore"/>
    <x v="3"/>
    <s v="SG2"/>
    <m/>
    <x v="5"/>
    <x v="4"/>
    <x v="4"/>
    <x v="1"/>
    <x v="0"/>
    <x v="0"/>
    <x v="0"/>
    <m/>
    <x v="0"/>
    <x v="0"/>
    <n v="1.768652712"/>
    <m/>
    <x v="8"/>
    <x v="3"/>
    <x v="0"/>
    <x v="1"/>
    <x v="2"/>
  </r>
  <r>
    <s v="Singapore"/>
    <x v="2"/>
    <s v="SG1"/>
    <m/>
    <x v="3"/>
    <x v="2"/>
    <x v="3"/>
    <x v="2"/>
    <x v="0"/>
    <x v="0"/>
    <x v="0"/>
    <m/>
    <x v="0"/>
    <x v="0"/>
    <n v="-203.61902558400001"/>
    <m/>
    <x v="2"/>
    <x v="0"/>
    <x v="0"/>
    <x v="0"/>
    <x v="2"/>
  </r>
  <r>
    <s v="Singapore"/>
    <x v="3"/>
    <s v="SG2"/>
    <m/>
    <x v="5"/>
    <x v="2"/>
    <x v="4"/>
    <x v="4"/>
    <x v="0"/>
    <x v="0"/>
    <x v="0"/>
    <m/>
    <x v="0"/>
    <x v="0"/>
    <n v="0.70105499999999998"/>
    <m/>
    <x v="1"/>
    <x v="0"/>
    <x v="0"/>
    <x v="4"/>
    <x v="2"/>
  </r>
  <r>
    <s v="Singapore"/>
    <x v="3"/>
    <s v="SG3"/>
    <m/>
    <x v="4"/>
    <x v="3"/>
    <x v="1"/>
    <x v="4"/>
    <x v="0"/>
    <x v="0"/>
    <x v="0"/>
    <m/>
    <x v="0"/>
    <x v="0"/>
    <n v="1.3008465"/>
    <m/>
    <x v="1"/>
    <x v="1"/>
    <x v="0"/>
    <x v="0"/>
    <x v="1"/>
  </r>
  <r>
    <s v="Singapore"/>
    <x v="3"/>
    <s v="SG3"/>
    <m/>
    <x v="5"/>
    <x v="2"/>
    <x v="3"/>
    <x v="0"/>
    <x v="0"/>
    <x v="0"/>
    <x v="0"/>
    <m/>
    <x v="0"/>
    <x v="0"/>
    <n v="-0.12463200000000001"/>
    <m/>
    <x v="0"/>
    <x v="0"/>
    <x v="0"/>
    <x v="2"/>
    <x v="2"/>
  </r>
  <r>
    <s v="Singapore"/>
    <x v="3"/>
    <s v="SG3"/>
    <m/>
    <x v="0"/>
    <x v="1"/>
    <x v="4"/>
    <x v="3"/>
    <x v="0"/>
    <x v="0"/>
    <x v="0"/>
    <m/>
    <x v="0"/>
    <x v="0"/>
    <n v="1.0365955019999999"/>
    <m/>
    <x v="8"/>
    <x v="3"/>
    <x v="0"/>
    <x v="2"/>
    <x v="0"/>
  </r>
  <r>
    <s v="Singapore"/>
    <x v="2"/>
    <s v="SG3"/>
    <m/>
    <x v="4"/>
    <x v="4"/>
    <x v="0"/>
    <x v="1"/>
    <x v="0"/>
    <x v="0"/>
    <x v="0"/>
    <m/>
    <x v="0"/>
    <x v="0"/>
    <n v="-4.6737000000000001E-2"/>
    <m/>
    <x v="0"/>
    <x v="0"/>
    <x v="0"/>
    <x v="3"/>
    <x v="1"/>
  </r>
  <r>
    <s v="Singapore"/>
    <x v="5"/>
    <s v="SG2"/>
    <m/>
    <x v="0"/>
    <x v="4"/>
    <x v="3"/>
    <x v="1"/>
    <x v="0"/>
    <x v="0"/>
    <x v="0"/>
    <m/>
    <x v="0"/>
    <x v="0"/>
    <n v="-2.7263250000000001"/>
    <m/>
    <x v="1"/>
    <x v="0"/>
    <x v="0"/>
    <x v="2"/>
    <x v="2"/>
  </r>
  <r>
    <s v="Singapore"/>
    <x v="5"/>
    <s v="SG3"/>
    <m/>
    <x v="0"/>
    <x v="4"/>
    <x v="0"/>
    <x v="0"/>
    <x v="0"/>
    <x v="0"/>
    <x v="0"/>
    <m/>
    <x v="0"/>
    <x v="0"/>
    <n v="0.66989700000000008"/>
    <m/>
    <x v="1"/>
    <x v="3"/>
    <x v="0"/>
    <x v="1"/>
    <x v="2"/>
  </r>
  <r>
    <s v="Singapore"/>
    <x v="4"/>
    <s v="SG2"/>
    <m/>
    <x v="5"/>
    <x v="1"/>
    <x v="0"/>
    <x v="2"/>
    <x v="0"/>
    <x v="0"/>
    <x v="0"/>
    <m/>
    <x v="0"/>
    <x v="0"/>
    <n v="-0.12463200000000001"/>
    <m/>
    <x v="0"/>
    <x v="0"/>
    <x v="0"/>
    <x v="2"/>
    <x v="0"/>
  </r>
  <r>
    <s v="Singapore"/>
    <x v="2"/>
    <s v="SG4"/>
    <m/>
    <x v="0"/>
    <x v="4"/>
    <x v="3"/>
    <x v="1"/>
    <x v="0"/>
    <x v="0"/>
    <x v="0"/>
    <m/>
    <x v="0"/>
    <x v="0"/>
    <n v="1.1995830000000001"/>
    <m/>
    <x v="8"/>
    <x v="3"/>
    <x v="0"/>
    <x v="4"/>
    <x v="2"/>
  </r>
  <r>
    <s v="Singapore"/>
    <x v="5"/>
    <s v="SG3"/>
    <m/>
    <x v="3"/>
    <x v="4"/>
    <x v="1"/>
    <x v="1"/>
    <x v="0"/>
    <x v="0"/>
    <x v="0"/>
    <m/>
    <x v="0"/>
    <x v="0"/>
    <n v="-1.8694800000000001E-2"/>
    <m/>
    <x v="3"/>
    <x v="1"/>
    <x v="0"/>
    <x v="3"/>
    <x v="1"/>
  </r>
  <r>
    <s v="Singapore"/>
    <x v="5"/>
    <s v="SG3"/>
    <m/>
    <x v="5"/>
    <x v="1"/>
    <x v="2"/>
    <x v="2"/>
    <x v="0"/>
    <x v="0"/>
    <x v="0"/>
    <m/>
    <x v="0"/>
    <x v="0"/>
    <n v="-1.7448480000000002"/>
    <m/>
    <x v="0"/>
    <x v="1"/>
    <x v="0"/>
    <x v="4"/>
    <x v="1"/>
  </r>
  <r>
    <s v="Singapore"/>
    <x v="1"/>
    <s v="SG1"/>
    <m/>
    <x v="5"/>
    <x v="3"/>
    <x v="3"/>
    <x v="2"/>
    <x v="0"/>
    <x v="0"/>
    <x v="0"/>
    <m/>
    <x v="0"/>
    <x v="0"/>
    <n v="6.2480825820000003"/>
    <m/>
    <x v="7"/>
    <x v="2"/>
    <x v="0"/>
    <x v="2"/>
    <x v="0"/>
  </r>
  <r>
    <s v="Singapore"/>
    <x v="2"/>
    <s v="SG1"/>
    <m/>
    <x v="2"/>
    <x v="2"/>
    <x v="4"/>
    <x v="0"/>
    <x v="0"/>
    <x v="0"/>
    <x v="0"/>
    <m/>
    <x v="0"/>
    <x v="0"/>
    <n v="127.732781844"/>
    <m/>
    <x v="5"/>
    <x v="1"/>
    <x v="0"/>
    <x v="2"/>
    <x v="2"/>
  </r>
  <r>
    <s v="Singapore"/>
    <x v="5"/>
    <s v="SG1"/>
    <m/>
    <x v="3"/>
    <x v="3"/>
    <x v="2"/>
    <x v="5"/>
    <x v="0"/>
    <x v="0"/>
    <x v="0"/>
    <m/>
    <x v="0"/>
    <x v="0"/>
    <n v="0.12463200000000001"/>
    <m/>
    <x v="0"/>
    <x v="3"/>
    <x v="0"/>
    <x v="5"/>
    <x v="2"/>
  </r>
  <r>
    <s v="Singapore"/>
    <x v="0"/>
    <s v="SG4"/>
    <m/>
    <x v="2"/>
    <x v="3"/>
    <x v="4"/>
    <x v="1"/>
    <x v="0"/>
    <x v="0"/>
    <x v="0"/>
    <m/>
    <x v="0"/>
    <x v="0"/>
    <n v="17.330624865000001"/>
    <m/>
    <x v="2"/>
    <x v="3"/>
    <x v="0"/>
    <x v="0"/>
    <x v="1"/>
  </r>
  <r>
    <s v="Singapore"/>
    <x v="5"/>
    <s v="SG3"/>
    <m/>
    <x v="3"/>
    <x v="4"/>
    <x v="3"/>
    <x v="2"/>
    <x v="0"/>
    <x v="0"/>
    <x v="0"/>
    <m/>
    <x v="0"/>
    <x v="0"/>
    <n v="0.69097538699999994"/>
    <m/>
    <x v="8"/>
    <x v="3"/>
    <x v="0"/>
    <x v="5"/>
    <x v="2"/>
  </r>
  <r>
    <s v="Singapore"/>
    <x v="0"/>
    <s v="SG4"/>
    <m/>
    <x v="3"/>
    <x v="2"/>
    <x v="4"/>
    <x v="2"/>
    <x v="0"/>
    <x v="0"/>
    <x v="0"/>
    <m/>
    <x v="0"/>
    <x v="0"/>
    <n v="-1.3242150000000001"/>
    <m/>
    <x v="2"/>
    <x v="3"/>
    <x v="0"/>
    <x v="5"/>
    <x v="1"/>
  </r>
  <r>
    <s v="Singapore"/>
    <x v="1"/>
    <s v="SG2"/>
    <m/>
    <x v="0"/>
    <x v="4"/>
    <x v="2"/>
    <x v="0"/>
    <x v="0"/>
    <x v="0"/>
    <x v="0"/>
    <m/>
    <x v="0"/>
    <x v="0"/>
    <n v="-9.3474000000000002E-2"/>
    <m/>
    <x v="0"/>
    <x v="0"/>
    <x v="0"/>
    <x v="2"/>
    <x v="1"/>
  </r>
  <r>
    <s v="Singapore"/>
    <x v="5"/>
    <s v="SG1"/>
    <m/>
    <x v="2"/>
    <x v="1"/>
    <x v="1"/>
    <x v="2"/>
    <x v="0"/>
    <x v="0"/>
    <x v="0"/>
    <m/>
    <x v="0"/>
    <x v="0"/>
    <n v="-0.21810600000000002"/>
    <m/>
    <x v="1"/>
    <x v="0"/>
    <x v="0"/>
    <x v="0"/>
    <x v="0"/>
  </r>
  <r>
    <s v="Singapore"/>
    <x v="5"/>
    <s v="SG3"/>
    <m/>
    <x v="5"/>
    <x v="0"/>
    <x v="0"/>
    <x v="3"/>
    <x v="0"/>
    <x v="0"/>
    <x v="0"/>
    <m/>
    <x v="0"/>
    <x v="0"/>
    <n v="0.233685"/>
    <m/>
    <x v="0"/>
    <x v="1"/>
    <x v="0"/>
    <x v="2"/>
    <x v="1"/>
  </r>
  <r>
    <s v="Singapore"/>
    <x v="3"/>
    <s v="SG3"/>
    <m/>
    <x v="0"/>
    <x v="1"/>
    <x v="3"/>
    <x v="0"/>
    <x v="0"/>
    <x v="0"/>
    <x v="0"/>
    <m/>
    <x v="0"/>
    <x v="0"/>
    <n v="-4.6737000000000001E-2"/>
    <m/>
    <x v="0"/>
    <x v="1"/>
    <x v="0"/>
    <x v="2"/>
    <x v="1"/>
  </r>
  <r>
    <s v="Singapore"/>
    <x v="0"/>
    <s v="SG1"/>
    <m/>
    <x v="3"/>
    <x v="4"/>
    <x v="0"/>
    <x v="1"/>
    <x v="0"/>
    <x v="0"/>
    <x v="0"/>
    <m/>
    <x v="0"/>
    <x v="0"/>
    <n v="-6.0317370090000004"/>
    <m/>
    <x v="4"/>
    <x v="3"/>
    <x v="0"/>
    <x v="5"/>
    <x v="0"/>
  </r>
  <r>
    <s v="Singapore"/>
    <x v="5"/>
    <s v="SG3"/>
    <m/>
    <x v="0"/>
    <x v="3"/>
    <x v="4"/>
    <x v="0"/>
    <x v="0"/>
    <x v="0"/>
    <x v="0"/>
    <m/>
    <x v="0"/>
    <x v="0"/>
    <n v="0.77895000000000003"/>
    <m/>
    <x v="4"/>
    <x v="0"/>
    <x v="0"/>
    <x v="1"/>
    <x v="0"/>
  </r>
  <r>
    <s v="Singapore"/>
    <x v="2"/>
    <s v="SG1"/>
    <m/>
    <x v="4"/>
    <x v="0"/>
    <x v="3"/>
    <x v="2"/>
    <x v="0"/>
    <x v="0"/>
    <x v="0"/>
    <m/>
    <x v="0"/>
    <x v="0"/>
    <n v="-7.7895000000000006E-2"/>
    <m/>
    <x v="1"/>
    <x v="3"/>
    <x v="0"/>
    <x v="4"/>
    <x v="2"/>
  </r>
  <r>
    <s v="Singapore"/>
    <x v="5"/>
    <s v="SG4"/>
    <m/>
    <x v="5"/>
    <x v="2"/>
    <x v="4"/>
    <x v="0"/>
    <x v="0"/>
    <x v="0"/>
    <x v="0"/>
    <m/>
    <x v="0"/>
    <x v="0"/>
    <n v="1.6797122010000001"/>
    <m/>
    <x v="4"/>
    <x v="3"/>
    <x v="0"/>
    <x v="1"/>
    <x v="0"/>
  </r>
  <r>
    <s v="Singapore"/>
    <x v="0"/>
    <s v="SG4"/>
    <m/>
    <x v="4"/>
    <x v="0"/>
    <x v="0"/>
    <x v="2"/>
    <x v="0"/>
    <x v="0"/>
    <x v="0"/>
    <m/>
    <x v="0"/>
    <x v="0"/>
    <n v="23.368500000000001"/>
    <m/>
    <x v="5"/>
    <x v="1"/>
    <x v="0"/>
    <x v="1"/>
    <x v="0"/>
  </r>
  <r>
    <s v="Singapore"/>
    <x v="5"/>
    <s v="SG2"/>
    <m/>
    <x v="5"/>
    <x v="0"/>
    <x v="4"/>
    <x v="0"/>
    <x v="0"/>
    <x v="0"/>
    <x v="0"/>
    <m/>
    <x v="0"/>
    <x v="0"/>
    <n v="19.864331108999998"/>
    <m/>
    <x v="5"/>
    <x v="2"/>
    <x v="0"/>
    <x v="2"/>
    <x v="1"/>
  </r>
  <r>
    <s v="Singapore"/>
    <x v="2"/>
    <s v="SG4"/>
    <m/>
    <x v="1"/>
    <x v="2"/>
    <x v="0"/>
    <x v="1"/>
    <x v="0"/>
    <x v="0"/>
    <x v="0"/>
    <m/>
    <x v="0"/>
    <x v="0"/>
    <n v="-0.37389600000000001"/>
    <m/>
    <x v="4"/>
    <x v="2"/>
    <x v="0"/>
    <x v="0"/>
    <x v="2"/>
  </r>
  <r>
    <s v="Singapore"/>
    <x v="1"/>
    <s v="SG3"/>
    <m/>
    <x v="0"/>
    <x v="3"/>
    <x v="2"/>
    <x v="4"/>
    <x v="0"/>
    <x v="0"/>
    <x v="0"/>
    <m/>
    <x v="0"/>
    <x v="0"/>
    <n v="0.15579000000000001"/>
    <m/>
    <x v="1"/>
    <x v="2"/>
    <x v="0"/>
    <x v="3"/>
    <x v="2"/>
  </r>
  <r>
    <s v="Singapore"/>
    <x v="5"/>
    <s v="SG1"/>
    <m/>
    <x v="5"/>
    <x v="3"/>
    <x v="3"/>
    <x v="2"/>
    <x v="0"/>
    <x v="0"/>
    <x v="0"/>
    <m/>
    <x v="0"/>
    <x v="0"/>
    <n v="-3.1158000000000002E-2"/>
    <m/>
    <x v="0"/>
    <x v="3"/>
    <x v="0"/>
    <x v="4"/>
    <x v="0"/>
  </r>
  <r>
    <s v="Singapore"/>
    <x v="5"/>
    <s v="SG1"/>
    <m/>
    <x v="1"/>
    <x v="4"/>
    <x v="4"/>
    <x v="3"/>
    <x v="0"/>
    <x v="0"/>
    <x v="0"/>
    <m/>
    <x v="0"/>
    <x v="0"/>
    <n v="-0.15579000000000001"/>
    <m/>
    <x v="0"/>
    <x v="1"/>
    <x v="0"/>
    <x v="3"/>
    <x v="0"/>
  </r>
  <r>
    <s v="Singapore"/>
    <x v="4"/>
    <s v="SG1"/>
    <m/>
    <x v="2"/>
    <x v="3"/>
    <x v="4"/>
    <x v="3"/>
    <x v="0"/>
    <x v="0"/>
    <x v="0"/>
    <m/>
    <x v="0"/>
    <x v="0"/>
    <n v="-4.6737000000000001E-2"/>
    <m/>
    <x v="0"/>
    <x v="1"/>
    <x v="0"/>
    <x v="0"/>
    <x v="2"/>
  </r>
  <r>
    <s v="Singapore"/>
    <x v="4"/>
    <s v="SG2"/>
    <m/>
    <x v="1"/>
    <x v="2"/>
    <x v="0"/>
    <x v="0"/>
    <x v="0"/>
    <x v="0"/>
    <x v="0"/>
    <m/>
    <x v="0"/>
    <x v="0"/>
    <n v="-0.15579000000000001"/>
    <m/>
    <x v="0"/>
    <x v="0"/>
    <x v="0"/>
    <x v="3"/>
    <x v="2"/>
  </r>
  <r>
    <s v="Singapore"/>
    <x v="3"/>
    <s v="SG4"/>
    <m/>
    <x v="2"/>
    <x v="2"/>
    <x v="1"/>
    <x v="1"/>
    <x v="0"/>
    <x v="0"/>
    <x v="0"/>
    <m/>
    <x v="0"/>
    <x v="0"/>
    <n v="-7.9452900000000007E-2"/>
    <m/>
    <x v="3"/>
    <x v="1"/>
    <x v="0"/>
    <x v="1"/>
    <x v="1"/>
  </r>
  <r>
    <s v="Singapore"/>
    <x v="0"/>
    <s v="SG2"/>
    <m/>
    <x v="4"/>
    <x v="0"/>
    <x v="3"/>
    <x v="5"/>
    <x v="0"/>
    <x v="0"/>
    <x v="0"/>
    <m/>
    <x v="0"/>
    <x v="0"/>
    <n v="-0.38947500000000002"/>
    <m/>
    <x v="1"/>
    <x v="1"/>
    <x v="0"/>
    <x v="5"/>
    <x v="2"/>
  </r>
  <r>
    <s v="Singapore"/>
    <x v="4"/>
    <s v="SG2"/>
    <m/>
    <x v="4"/>
    <x v="1"/>
    <x v="3"/>
    <x v="3"/>
    <x v="0"/>
    <x v="0"/>
    <x v="0"/>
    <m/>
    <x v="0"/>
    <x v="0"/>
    <n v="-0.21810600000000002"/>
    <m/>
    <x v="4"/>
    <x v="2"/>
    <x v="0"/>
    <x v="5"/>
    <x v="0"/>
  </r>
  <r>
    <s v="Singapore"/>
    <x v="2"/>
    <s v="SG1"/>
    <m/>
    <x v="3"/>
    <x v="2"/>
    <x v="2"/>
    <x v="0"/>
    <x v="0"/>
    <x v="0"/>
    <x v="0"/>
    <m/>
    <x v="0"/>
    <x v="0"/>
    <n v="2.1322509930000004"/>
    <m/>
    <x v="1"/>
    <x v="1"/>
    <x v="0"/>
    <x v="4"/>
    <x v="1"/>
  </r>
  <r>
    <s v="Singapore"/>
    <x v="2"/>
    <s v="SG1"/>
    <m/>
    <x v="1"/>
    <x v="0"/>
    <x v="0"/>
    <x v="4"/>
    <x v="0"/>
    <x v="0"/>
    <x v="0"/>
    <m/>
    <x v="0"/>
    <x v="0"/>
    <n v="-7.7895000000000006E-2"/>
    <m/>
    <x v="1"/>
    <x v="0"/>
    <x v="0"/>
    <x v="2"/>
    <x v="0"/>
  </r>
  <r>
    <s v="Singapore"/>
    <x v="2"/>
    <s v="SG3"/>
    <m/>
    <x v="1"/>
    <x v="4"/>
    <x v="4"/>
    <x v="4"/>
    <x v="0"/>
    <x v="0"/>
    <x v="0"/>
    <m/>
    <x v="0"/>
    <x v="0"/>
    <n v="-2.0174805"/>
    <m/>
    <x v="4"/>
    <x v="1"/>
    <x v="0"/>
    <x v="0"/>
    <x v="0"/>
  </r>
  <r>
    <s v="Singapore"/>
    <x v="5"/>
    <s v="SG4"/>
    <m/>
    <x v="2"/>
    <x v="1"/>
    <x v="2"/>
    <x v="2"/>
    <x v="0"/>
    <x v="0"/>
    <x v="0"/>
    <m/>
    <x v="0"/>
    <x v="0"/>
    <n v="-0.545265"/>
    <m/>
    <x v="4"/>
    <x v="1"/>
    <x v="0"/>
    <x v="4"/>
    <x v="2"/>
  </r>
  <r>
    <s v="Singapore"/>
    <x v="2"/>
    <s v="SG3"/>
    <m/>
    <x v="0"/>
    <x v="4"/>
    <x v="3"/>
    <x v="0"/>
    <x v="0"/>
    <x v="0"/>
    <x v="0"/>
    <m/>
    <x v="0"/>
    <x v="0"/>
    <n v="0.1838322"/>
    <m/>
    <x v="4"/>
    <x v="0"/>
    <x v="0"/>
    <x v="0"/>
    <x v="0"/>
  </r>
  <r>
    <s v="Singapore"/>
    <x v="1"/>
    <s v="SG3"/>
    <m/>
    <x v="4"/>
    <x v="2"/>
    <x v="4"/>
    <x v="1"/>
    <x v="0"/>
    <x v="0"/>
    <x v="0"/>
    <m/>
    <x v="0"/>
    <x v="0"/>
    <n v="1.137267"/>
    <m/>
    <x v="1"/>
    <x v="3"/>
    <x v="0"/>
    <x v="4"/>
    <x v="1"/>
  </r>
  <r>
    <s v="Singapore"/>
    <x v="3"/>
    <s v="SG1"/>
    <m/>
    <x v="5"/>
    <x v="4"/>
    <x v="3"/>
    <x v="2"/>
    <x v="0"/>
    <x v="0"/>
    <x v="0"/>
    <m/>
    <x v="0"/>
    <x v="0"/>
    <n v="-6.7068997110000002"/>
    <m/>
    <x v="2"/>
    <x v="0"/>
    <x v="0"/>
    <x v="1"/>
    <x v="1"/>
  </r>
  <r>
    <s v="Singapore"/>
    <x v="1"/>
    <s v="SG4"/>
    <m/>
    <x v="3"/>
    <x v="2"/>
    <x v="0"/>
    <x v="5"/>
    <x v="0"/>
    <x v="0"/>
    <x v="0"/>
    <m/>
    <x v="0"/>
    <x v="0"/>
    <n v="-2.3976081000000002"/>
    <m/>
    <x v="3"/>
    <x v="1"/>
    <x v="0"/>
    <x v="1"/>
    <x v="0"/>
  </r>
  <r>
    <s v="Singapore"/>
    <x v="5"/>
    <s v="SG4"/>
    <m/>
    <x v="1"/>
    <x v="0"/>
    <x v="4"/>
    <x v="3"/>
    <x v="0"/>
    <x v="0"/>
    <x v="0"/>
    <m/>
    <x v="0"/>
    <x v="0"/>
    <n v="-0.1308636"/>
    <m/>
    <x v="3"/>
    <x v="0"/>
    <x v="0"/>
    <x v="0"/>
    <x v="0"/>
  </r>
  <r>
    <s v="Singapore"/>
    <x v="4"/>
    <s v="SG2"/>
    <m/>
    <x v="1"/>
    <x v="1"/>
    <x v="3"/>
    <x v="5"/>
    <x v="0"/>
    <x v="0"/>
    <x v="0"/>
    <m/>
    <x v="0"/>
    <x v="0"/>
    <n v="-0.12463200000000001"/>
    <m/>
    <x v="0"/>
    <x v="0"/>
    <x v="0"/>
    <x v="1"/>
    <x v="2"/>
  </r>
  <r>
    <s v="Singapore"/>
    <x v="5"/>
    <s v="SG2"/>
    <m/>
    <x v="5"/>
    <x v="1"/>
    <x v="2"/>
    <x v="1"/>
    <x v="0"/>
    <x v="0"/>
    <x v="0"/>
    <m/>
    <x v="0"/>
    <x v="0"/>
    <n v="3.1625370000000004"/>
    <m/>
    <x v="7"/>
    <x v="1"/>
    <x v="0"/>
    <x v="3"/>
    <x v="2"/>
  </r>
  <r>
    <s v="Singapore"/>
    <x v="0"/>
    <s v="SG4"/>
    <m/>
    <x v="3"/>
    <x v="1"/>
    <x v="1"/>
    <x v="5"/>
    <x v="0"/>
    <x v="0"/>
    <x v="0"/>
    <m/>
    <x v="0"/>
    <x v="0"/>
    <n v="-9.3474000000000002E-2"/>
    <m/>
    <x v="0"/>
    <x v="2"/>
    <x v="0"/>
    <x v="2"/>
    <x v="1"/>
  </r>
  <r>
    <s v="Singapore"/>
    <x v="0"/>
    <s v="SG1"/>
    <m/>
    <x v="2"/>
    <x v="2"/>
    <x v="2"/>
    <x v="0"/>
    <x v="0"/>
    <x v="0"/>
    <x v="0"/>
    <m/>
    <x v="0"/>
    <x v="0"/>
    <n v="0.1168425"/>
    <m/>
    <x v="3"/>
    <x v="2"/>
    <x v="0"/>
    <x v="4"/>
    <x v="0"/>
  </r>
  <r>
    <s v="Singapore"/>
    <x v="1"/>
    <s v="SG1"/>
    <m/>
    <x v="1"/>
    <x v="4"/>
    <x v="4"/>
    <x v="1"/>
    <x v="0"/>
    <x v="0"/>
    <x v="0"/>
    <m/>
    <x v="0"/>
    <x v="0"/>
    <n v="2.8556307000000003"/>
    <m/>
    <x v="1"/>
    <x v="2"/>
    <x v="0"/>
    <x v="1"/>
    <x v="2"/>
  </r>
  <r>
    <s v="Singapore"/>
    <x v="0"/>
    <s v="SG3"/>
    <m/>
    <x v="4"/>
    <x v="4"/>
    <x v="1"/>
    <x v="1"/>
    <x v="0"/>
    <x v="0"/>
    <x v="0"/>
    <m/>
    <x v="0"/>
    <x v="0"/>
    <n v="-2.8042199999999999"/>
    <m/>
    <x v="4"/>
    <x v="3"/>
    <x v="0"/>
    <x v="1"/>
    <x v="1"/>
  </r>
  <r>
    <s v="Singapore"/>
    <x v="5"/>
    <s v="SG2"/>
    <m/>
    <x v="3"/>
    <x v="2"/>
    <x v="3"/>
    <x v="3"/>
    <x v="0"/>
    <x v="0"/>
    <x v="0"/>
    <m/>
    <x v="0"/>
    <x v="0"/>
    <n v="-0.10905300000000001"/>
    <m/>
    <x v="4"/>
    <x v="1"/>
    <x v="0"/>
    <x v="2"/>
    <x v="1"/>
  </r>
  <r>
    <s v="Singapore"/>
    <x v="4"/>
    <s v="SG1"/>
    <m/>
    <x v="5"/>
    <x v="2"/>
    <x v="0"/>
    <x v="1"/>
    <x v="0"/>
    <x v="0"/>
    <x v="0"/>
    <m/>
    <x v="0"/>
    <x v="0"/>
    <n v="-0.46737000000000001"/>
    <m/>
    <x v="0"/>
    <x v="0"/>
    <x v="0"/>
    <x v="5"/>
    <x v="1"/>
  </r>
  <r>
    <s v="Singapore"/>
    <x v="4"/>
    <s v="SG4"/>
    <m/>
    <x v="5"/>
    <x v="1"/>
    <x v="2"/>
    <x v="5"/>
    <x v="0"/>
    <x v="0"/>
    <x v="0"/>
    <m/>
    <x v="0"/>
    <x v="0"/>
    <n v="-0.25839329400000005"/>
    <m/>
    <x v="0"/>
    <x v="0"/>
    <x v="0"/>
    <x v="1"/>
    <x v="1"/>
  </r>
  <r>
    <s v="Singapore"/>
    <x v="5"/>
    <s v="SG2"/>
    <m/>
    <x v="1"/>
    <x v="2"/>
    <x v="4"/>
    <x v="2"/>
    <x v="0"/>
    <x v="0"/>
    <x v="0"/>
    <m/>
    <x v="0"/>
    <x v="0"/>
    <n v="-0.12463200000000001"/>
    <m/>
    <x v="4"/>
    <x v="2"/>
    <x v="0"/>
    <x v="4"/>
    <x v="2"/>
  </r>
  <r>
    <s v="Singapore"/>
    <x v="4"/>
    <s v="SG3"/>
    <m/>
    <x v="4"/>
    <x v="0"/>
    <x v="0"/>
    <x v="1"/>
    <x v="0"/>
    <x v="0"/>
    <x v="0"/>
    <m/>
    <x v="0"/>
    <x v="0"/>
    <n v="-0.21810600000000002"/>
    <m/>
    <x v="4"/>
    <x v="1"/>
    <x v="0"/>
    <x v="4"/>
    <x v="0"/>
  </r>
  <r>
    <s v="Singapore"/>
    <x v="2"/>
    <s v="SG3"/>
    <m/>
    <x v="3"/>
    <x v="4"/>
    <x v="1"/>
    <x v="1"/>
    <x v="0"/>
    <x v="0"/>
    <x v="0"/>
    <m/>
    <x v="0"/>
    <x v="0"/>
    <n v="0.233685"/>
    <m/>
    <x v="4"/>
    <x v="1"/>
    <x v="0"/>
    <x v="0"/>
    <x v="2"/>
  </r>
  <r>
    <s v="Singapore"/>
    <x v="4"/>
    <s v="SG4"/>
    <m/>
    <x v="3"/>
    <x v="4"/>
    <x v="4"/>
    <x v="3"/>
    <x v="0"/>
    <x v="0"/>
    <x v="0"/>
    <m/>
    <x v="0"/>
    <x v="0"/>
    <n v="-2.8042200000000003E-2"/>
    <m/>
    <x v="3"/>
    <x v="0"/>
    <x v="0"/>
    <x v="2"/>
    <x v="2"/>
  </r>
  <r>
    <s v="Singapore"/>
    <x v="1"/>
    <s v="SG3"/>
    <m/>
    <x v="2"/>
    <x v="0"/>
    <x v="3"/>
    <x v="5"/>
    <x v="0"/>
    <x v="0"/>
    <x v="0"/>
    <m/>
    <x v="0"/>
    <x v="0"/>
    <n v="95.241998394000007"/>
    <m/>
    <x v="5"/>
    <x v="3"/>
    <x v="0"/>
    <x v="1"/>
    <x v="2"/>
  </r>
  <r>
    <s v="Singapore"/>
    <x v="0"/>
    <s v="SG1"/>
    <m/>
    <x v="5"/>
    <x v="4"/>
    <x v="3"/>
    <x v="1"/>
    <x v="0"/>
    <x v="0"/>
    <x v="0"/>
    <m/>
    <x v="0"/>
    <x v="0"/>
    <n v="-0.60758100000000004"/>
    <m/>
    <x v="4"/>
    <x v="1"/>
    <x v="0"/>
    <x v="1"/>
    <x v="2"/>
  </r>
  <r>
    <s v="Singapore"/>
    <x v="5"/>
    <s v="SG1"/>
    <m/>
    <x v="4"/>
    <x v="0"/>
    <x v="2"/>
    <x v="5"/>
    <x v="0"/>
    <x v="0"/>
    <x v="0"/>
    <m/>
    <x v="0"/>
    <x v="0"/>
    <n v="0.17136900000000002"/>
    <m/>
    <x v="7"/>
    <x v="3"/>
    <x v="0"/>
    <x v="5"/>
    <x v="0"/>
  </r>
  <r>
    <s v="Singapore"/>
    <x v="4"/>
    <s v="SG4"/>
    <m/>
    <x v="5"/>
    <x v="4"/>
    <x v="1"/>
    <x v="5"/>
    <x v="0"/>
    <x v="0"/>
    <x v="0"/>
    <m/>
    <x v="0"/>
    <x v="0"/>
    <n v="-13.714567596"/>
    <m/>
    <x v="7"/>
    <x v="2"/>
    <x v="0"/>
    <x v="3"/>
    <x v="0"/>
  </r>
  <r>
    <s v="Singapore"/>
    <x v="1"/>
    <s v="SG4"/>
    <m/>
    <x v="0"/>
    <x v="3"/>
    <x v="2"/>
    <x v="1"/>
    <x v="0"/>
    <x v="0"/>
    <x v="0"/>
    <m/>
    <x v="0"/>
    <x v="0"/>
    <n v="-2.6100900810000005"/>
    <m/>
    <x v="3"/>
    <x v="0"/>
    <x v="0"/>
    <x v="1"/>
    <x v="2"/>
  </r>
  <r>
    <s v="Singapore"/>
    <x v="3"/>
    <s v="SG1"/>
    <m/>
    <x v="1"/>
    <x v="2"/>
    <x v="0"/>
    <x v="5"/>
    <x v="0"/>
    <x v="0"/>
    <x v="0"/>
    <m/>
    <x v="0"/>
    <x v="0"/>
    <n v="31.017789"/>
    <m/>
    <x v="7"/>
    <x v="1"/>
    <x v="0"/>
    <x v="5"/>
    <x v="1"/>
  </r>
  <r>
    <s v="Singapore"/>
    <x v="2"/>
    <s v="SG2"/>
    <m/>
    <x v="3"/>
    <x v="4"/>
    <x v="0"/>
    <x v="3"/>
    <x v="0"/>
    <x v="0"/>
    <x v="0"/>
    <m/>
    <x v="0"/>
    <x v="0"/>
    <n v="1.4566365000000001"/>
    <m/>
    <x v="1"/>
    <x v="1"/>
    <x v="0"/>
    <x v="0"/>
    <x v="2"/>
  </r>
  <r>
    <s v="Singapore"/>
    <x v="4"/>
    <s v="SG2"/>
    <m/>
    <x v="0"/>
    <x v="3"/>
    <x v="0"/>
    <x v="2"/>
    <x v="0"/>
    <x v="0"/>
    <x v="0"/>
    <m/>
    <x v="0"/>
    <x v="0"/>
    <n v="-9.6641366490000014"/>
    <m/>
    <x v="7"/>
    <x v="1"/>
    <x v="0"/>
    <x v="4"/>
    <x v="2"/>
  </r>
  <r>
    <s v="Singapore"/>
    <x v="3"/>
    <s v="SG2"/>
    <m/>
    <x v="0"/>
    <x v="2"/>
    <x v="1"/>
    <x v="4"/>
    <x v="0"/>
    <x v="0"/>
    <x v="0"/>
    <m/>
    <x v="0"/>
    <x v="0"/>
    <n v="-0.1838322"/>
    <m/>
    <x v="4"/>
    <x v="2"/>
    <x v="0"/>
    <x v="4"/>
    <x v="2"/>
  </r>
  <r>
    <s v="Singapore"/>
    <x v="5"/>
    <s v="SG1"/>
    <m/>
    <x v="2"/>
    <x v="4"/>
    <x v="0"/>
    <x v="4"/>
    <x v="0"/>
    <x v="0"/>
    <x v="0"/>
    <m/>
    <x v="0"/>
    <x v="0"/>
    <n v="1.059372"/>
    <m/>
    <x v="1"/>
    <x v="2"/>
    <x v="0"/>
    <x v="1"/>
    <x v="0"/>
  </r>
  <r>
    <s v="Singapore"/>
    <x v="1"/>
    <s v="SG2"/>
    <m/>
    <x v="4"/>
    <x v="3"/>
    <x v="2"/>
    <x v="1"/>
    <x v="0"/>
    <x v="0"/>
    <x v="0"/>
    <m/>
    <x v="0"/>
    <x v="0"/>
    <n v="-0.31158000000000002"/>
    <m/>
    <x v="4"/>
    <x v="0"/>
    <x v="0"/>
    <x v="5"/>
    <x v="1"/>
  </r>
  <r>
    <s v="Singapore"/>
    <x v="3"/>
    <s v="SG2"/>
    <m/>
    <x v="2"/>
    <x v="1"/>
    <x v="3"/>
    <x v="0"/>
    <x v="0"/>
    <x v="0"/>
    <x v="0"/>
    <m/>
    <x v="0"/>
    <x v="0"/>
    <n v="-0.12785685299999999"/>
    <m/>
    <x v="0"/>
    <x v="0"/>
    <x v="0"/>
    <x v="4"/>
    <x v="0"/>
  </r>
  <r>
    <s v="Singapore"/>
    <x v="0"/>
    <s v="SG3"/>
    <m/>
    <x v="3"/>
    <x v="1"/>
    <x v="0"/>
    <x v="4"/>
    <x v="0"/>
    <x v="0"/>
    <x v="0"/>
    <m/>
    <x v="0"/>
    <x v="0"/>
    <n v="5.4526499999999999E-3"/>
    <m/>
    <x v="6"/>
    <x v="1"/>
    <x v="0"/>
    <x v="3"/>
    <x v="1"/>
  </r>
  <r>
    <s v="Singapore"/>
    <x v="5"/>
    <s v="SG2"/>
    <m/>
    <x v="0"/>
    <x v="1"/>
    <x v="2"/>
    <x v="2"/>
    <x v="0"/>
    <x v="0"/>
    <x v="0"/>
    <m/>
    <x v="0"/>
    <x v="0"/>
    <n v="-2.9210625000000001"/>
    <m/>
    <x v="2"/>
    <x v="2"/>
    <x v="0"/>
    <x v="2"/>
    <x v="1"/>
  </r>
  <r>
    <s v="Singapore"/>
    <x v="4"/>
    <s v="SG1"/>
    <m/>
    <x v="5"/>
    <x v="4"/>
    <x v="4"/>
    <x v="2"/>
    <x v="0"/>
    <x v="0"/>
    <x v="0"/>
    <m/>
    <x v="0"/>
    <x v="0"/>
    <n v="-374.19969702600002"/>
    <m/>
    <x v="7"/>
    <x v="3"/>
    <x v="0"/>
    <x v="3"/>
    <x v="2"/>
  </r>
  <r>
    <s v="Singapore"/>
    <x v="1"/>
    <s v="SG3"/>
    <m/>
    <x v="2"/>
    <x v="3"/>
    <x v="3"/>
    <x v="5"/>
    <x v="0"/>
    <x v="0"/>
    <x v="0"/>
    <m/>
    <x v="0"/>
    <x v="0"/>
    <n v="-42.750489690000002"/>
    <m/>
    <x v="3"/>
    <x v="0"/>
    <x v="0"/>
    <x v="3"/>
    <x v="0"/>
  </r>
  <r>
    <s v="Singapore"/>
    <x v="4"/>
    <s v="SG2"/>
    <m/>
    <x v="3"/>
    <x v="4"/>
    <x v="1"/>
    <x v="4"/>
    <x v="0"/>
    <x v="0"/>
    <x v="0"/>
    <m/>
    <x v="0"/>
    <x v="0"/>
    <n v="-1.40211"/>
    <m/>
    <x v="4"/>
    <x v="3"/>
    <x v="0"/>
    <x v="4"/>
    <x v="0"/>
  </r>
  <r>
    <s v="Singapore"/>
    <x v="1"/>
    <s v="SG1"/>
    <m/>
    <x v="1"/>
    <x v="4"/>
    <x v="4"/>
    <x v="3"/>
    <x v="0"/>
    <x v="0"/>
    <x v="0"/>
    <m/>
    <x v="0"/>
    <x v="0"/>
    <n v="0.17839512900000001"/>
    <m/>
    <x v="1"/>
    <x v="0"/>
    <x v="0"/>
    <x v="3"/>
    <x v="0"/>
  </r>
  <r>
    <s v="Singapore"/>
    <x v="1"/>
    <s v="SG2"/>
    <m/>
    <x v="0"/>
    <x v="0"/>
    <x v="0"/>
    <x v="0"/>
    <x v="0"/>
    <x v="0"/>
    <x v="0"/>
    <m/>
    <x v="0"/>
    <x v="0"/>
    <n v="-1.5579000000000001E-2"/>
    <m/>
    <x v="0"/>
    <x v="0"/>
    <x v="0"/>
    <x v="4"/>
    <x v="2"/>
  </r>
  <r>
    <s v="Singapore"/>
    <x v="3"/>
    <s v="SG3"/>
    <m/>
    <x v="2"/>
    <x v="1"/>
    <x v="1"/>
    <x v="0"/>
    <x v="0"/>
    <x v="0"/>
    <x v="0"/>
    <m/>
    <x v="0"/>
    <x v="0"/>
    <n v="-0.15579000000000001"/>
    <m/>
    <x v="0"/>
    <x v="2"/>
    <x v="0"/>
    <x v="0"/>
    <x v="0"/>
  </r>
  <r>
    <s v="Singapore"/>
    <x v="2"/>
    <s v="SG1"/>
    <m/>
    <x v="2"/>
    <x v="4"/>
    <x v="4"/>
    <x v="0"/>
    <x v="0"/>
    <x v="0"/>
    <x v="0"/>
    <m/>
    <x v="0"/>
    <x v="0"/>
    <n v="-5.702100948"/>
    <m/>
    <x v="0"/>
    <x v="1"/>
    <x v="0"/>
    <x v="3"/>
    <x v="0"/>
  </r>
  <r>
    <s v="Singapore"/>
    <x v="0"/>
    <s v="SG3"/>
    <m/>
    <x v="3"/>
    <x v="2"/>
    <x v="1"/>
    <x v="2"/>
    <x v="0"/>
    <x v="0"/>
    <x v="0"/>
    <m/>
    <x v="0"/>
    <x v="0"/>
    <n v="0.12463200000000001"/>
    <m/>
    <x v="0"/>
    <x v="2"/>
    <x v="0"/>
    <x v="3"/>
    <x v="0"/>
  </r>
  <r>
    <s v="Singapore"/>
    <x v="2"/>
    <s v="SG3"/>
    <m/>
    <x v="5"/>
    <x v="3"/>
    <x v="3"/>
    <x v="5"/>
    <x v="0"/>
    <x v="0"/>
    <x v="0"/>
    <m/>
    <x v="0"/>
    <x v="0"/>
    <n v="-0.77896557900000007"/>
    <m/>
    <x v="3"/>
    <x v="0"/>
    <x v="0"/>
    <x v="1"/>
    <x v="0"/>
  </r>
  <r>
    <s v="Singapore"/>
    <x v="1"/>
    <s v="SG4"/>
    <m/>
    <x v="0"/>
    <x v="2"/>
    <x v="4"/>
    <x v="5"/>
    <x v="0"/>
    <x v="0"/>
    <x v="0"/>
    <m/>
    <x v="0"/>
    <x v="0"/>
    <n v="1.277119683"/>
    <m/>
    <x v="1"/>
    <x v="2"/>
    <x v="0"/>
    <x v="0"/>
    <x v="0"/>
  </r>
  <r>
    <s v="Singapore"/>
    <x v="2"/>
    <s v="SG3"/>
    <m/>
    <x v="0"/>
    <x v="4"/>
    <x v="2"/>
    <x v="2"/>
    <x v="0"/>
    <x v="0"/>
    <x v="0"/>
    <m/>
    <x v="0"/>
    <x v="0"/>
    <n v="-0.545265"/>
    <m/>
    <x v="0"/>
    <x v="1"/>
    <x v="0"/>
    <x v="0"/>
    <x v="2"/>
  </r>
  <r>
    <s v="Singapore"/>
    <x v="5"/>
    <s v="SG3"/>
    <m/>
    <x v="2"/>
    <x v="0"/>
    <x v="1"/>
    <x v="1"/>
    <x v="0"/>
    <x v="0"/>
    <x v="0"/>
    <m/>
    <x v="0"/>
    <x v="0"/>
    <n v="1.1450565000000001"/>
    <m/>
    <x v="1"/>
    <x v="2"/>
    <x v="0"/>
    <x v="0"/>
    <x v="0"/>
  </r>
  <r>
    <s v="Singapore"/>
    <x v="0"/>
    <s v="SG3"/>
    <m/>
    <x v="2"/>
    <x v="1"/>
    <x v="1"/>
    <x v="5"/>
    <x v="0"/>
    <x v="0"/>
    <x v="0"/>
    <m/>
    <x v="0"/>
    <x v="0"/>
    <n v="-0.38947500000000002"/>
    <m/>
    <x v="0"/>
    <x v="3"/>
    <x v="0"/>
    <x v="2"/>
    <x v="2"/>
  </r>
  <r>
    <s v="Singapore"/>
    <x v="3"/>
    <s v="SG1"/>
    <m/>
    <x v="0"/>
    <x v="2"/>
    <x v="2"/>
    <x v="5"/>
    <x v="0"/>
    <x v="0"/>
    <x v="0"/>
    <m/>
    <x v="0"/>
    <x v="0"/>
    <n v="-0.40505400000000003"/>
    <m/>
    <x v="6"/>
    <x v="1"/>
    <x v="0"/>
    <x v="0"/>
    <x v="2"/>
  </r>
  <r>
    <s v="Singapore"/>
    <x v="2"/>
    <s v="SG4"/>
    <m/>
    <x v="2"/>
    <x v="4"/>
    <x v="4"/>
    <x v="1"/>
    <x v="0"/>
    <x v="0"/>
    <x v="0"/>
    <m/>
    <x v="0"/>
    <x v="0"/>
    <n v="-1.480005"/>
    <m/>
    <x v="4"/>
    <x v="3"/>
    <x v="0"/>
    <x v="1"/>
    <x v="1"/>
  </r>
  <r>
    <s v="Singapore"/>
    <x v="3"/>
    <s v="SG1"/>
    <m/>
    <x v="3"/>
    <x v="0"/>
    <x v="2"/>
    <x v="4"/>
    <x v="0"/>
    <x v="0"/>
    <x v="0"/>
    <m/>
    <x v="0"/>
    <x v="0"/>
    <n v="-0.12463200000000001"/>
    <m/>
    <x v="0"/>
    <x v="1"/>
    <x v="0"/>
    <x v="3"/>
    <x v="2"/>
  </r>
  <r>
    <s v="Singapore"/>
    <x v="4"/>
    <s v="SG1"/>
    <m/>
    <x v="4"/>
    <x v="1"/>
    <x v="0"/>
    <x v="3"/>
    <x v="0"/>
    <x v="0"/>
    <x v="0"/>
    <m/>
    <x v="0"/>
    <x v="0"/>
    <n v="-6.782348808000001"/>
    <m/>
    <x v="6"/>
    <x v="2"/>
    <x v="0"/>
    <x v="4"/>
    <x v="1"/>
  </r>
  <r>
    <s v="Singapore"/>
    <x v="1"/>
    <s v="SG2"/>
    <m/>
    <x v="5"/>
    <x v="0"/>
    <x v="2"/>
    <x v="4"/>
    <x v="0"/>
    <x v="0"/>
    <x v="0"/>
    <m/>
    <x v="0"/>
    <x v="0"/>
    <n v="-9.3474000000000002E-2"/>
    <m/>
    <x v="0"/>
    <x v="3"/>
    <x v="0"/>
    <x v="0"/>
    <x v="0"/>
  </r>
  <r>
    <s v="Singapore"/>
    <x v="4"/>
    <s v="SG2"/>
    <m/>
    <x v="5"/>
    <x v="3"/>
    <x v="4"/>
    <x v="5"/>
    <x v="0"/>
    <x v="0"/>
    <x v="0"/>
    <m/>
    <x v="0"/>
    <x v="0"/>
    <n v="-0.39022279199999999"/>
    <m/>
    <x v="4"/>
    <x v="3"/>
    <x v="0"/>
    <x v="3"/>
    <x v="0"/>
  </r>
  <r>
    <s v="Singapore"/>
    <x v="3"/>
    <s v="SG1"/>
    <m/>
    <x v="1"/>
    <x v="1"/>
    <x v="3"/>
    <x v="3"/>
    <x v="0"/>
    <x v="0"/>
    <x v="0"/>
    <m/>
    <x v="0"/>
    <x v="0"/>
    <n v="0.17984397600000002"/>
    <m/>
    <x v="1"/>
    <x v="3"/>
    <x v="0"/>
    <x v="3"/>
    <x v="1"/>
  </r>
  <r>
    <s v="Singapore"/>
    <x v="1"/>
    <s v="SG1"/>
    <m/>
    <x v="3"/>
    <x v="1"/>
    <x v="3"/>
    <x v="1"/>
    <x v="0"/>
    <x v="0"/>
    <x v="0"/>
    <m/>
    <x v="0"/>
    <x v="0"/>
    <n v="-1.5579000000000001E-2"/>
    <m/>
    <x v="0"/>
    <x v="3"/>
    <x v="0"/>
    <x v="0"/>
    <x v="0"/>
  </r>
  <r>
    <s v="Singapore"/>
    <x v="3"/>
    <s v="SG2"/>
    <m/>
    <x v="3"/>
    <x v="3"/>
    <x v="1"/>
    <x v="4"/>
    <x v="0"/>
    <x v="0"/>
    <x v="0"/>
    <m/>
    <x v="0"/>
    <x v="0"/>
    <n v="-1.5579000000000001E-2"/>
    <m/>
    <x v="0"/>
    <x v="0"/>
    <x v="0"/>
    <x v="2"/>
    <x v="0"/>
  </r>
  <r>
    <s v="Singapore"/>
    <x v="0"/>
    <s v="SG3"/>
    <m/>
    <x v="3"/>
    <x v="2"/>
    <x v="0"/>
    <x v="5"/>
    <x v="0"/>
    <x v="0"/>
    <x v="0"/>
    <m/>
    <x v="0"/>
    <x v="0"/>
    <n v="2.9132730000000002"/>
    <m/>
    <x v="1"/>
    <x v="0"/>
    <x v="0"/>
    <x v="4"/>
    <x v="0"/>
  </r>
  <r>
    <s v="Singapore"/>
    <x v="0"/>
    <s v="SG3"/>
    <m/>
    <x v="0"/>
    <x v="3"/>
    <x v="1"/>
    <x v="3"/>
    <x v="0"/>
    <x v="0"/>
    <x v="0"/>
    <m/>
    <x v="0"/>
    <x v="0"/>
    <n v="-0.74779200000000001"/>
    <m/>
    <x v="0"/>
    <x v="0"/>
    <x v="0"/>
    <x v="5"/>
    <x v="0"/>
  </r>
  <r>
    <s v="Singapore"/>
    <x v="1"/>
    <s v="SG3"/>
    <m/>
    <x v="0"/>
    <x v="3"/>
    <x v="3"/>
    <x v="2"/>
    <x v="0"/>
    <x v="0"/>
    <x v="0"/>
    <m/>
    <x v="0"/>
    <x v="0"/>
    <n v="-0.93474000000000002"/>
    <m/>
    <x v="0"/>
    <x v="0"/>
    <x v="0"/>
    <x v="3"/>
    <x v="1"/>
  </r>
  <r>
    <s v="Singapore"/>
    <x v="5"/>
    <s v="SG2"/>
    <m/>
    <x v="4"/>
    <x v="3"/>
    <x v="1"/>
    <x v="4"/>
    <x v="0"/>
    <x v="0"/>
    <x v="0"/>
    <m/>
    <x v="0"/>
    <x v="0"/>
    <n v="-7.7895000000000006E-2"/>
    <m/>
    <x v="1"/>
    <x v="1"/>
    <x v="0"/>
    <x v="3"/>
    <x v="1"/>
  </r>
  <r>
    <s v="Singapore"/>
    <x v="2"/>
    <s v="SG2"/>
    <m/>
    <x v="3"/>
    <x v="0"/>
    <x v="4"/>
    <x v="0"/>
    <x v="0"/>
    <x v="0"/>
    <x v="0"/>
    <m/>
    <x v="0"/>
    <x v="0"/>
    <n v="-7.7895000000000004E-3"/>
    <m/>
    <x v="0"/>
    <x v="1"/>
    <x v="0"/>
    <x v="5"/>
    <x v="2"/>
  </r>
  <r>
    <s v="Singapore"/>
    <x v="5"/>
    <s v="SG1"/>
    <m/>
    <x v="4"/>
    <x v="4"/>
    <x v="2"/>
    <x v="1"/>
    <x v="0"/>
    <x v="0"/>
    <x v="0"/>
    <m/>
    <x v="0"/>
    <x v="0"/>
    <n v="-0.140211"/>
    <m/>
    <x v="0"/>
    <x v="3"/>
    <x v="0"/>
    <x v="0"/>
    <x v="0"/>
  </r>
  <r>
    <s v="Singapore"/>
    <x v="2"/>
    <s v="SG4"/>
    <m/>
    <x v="4"/>
    <x v="2"/>
    <x v="0"/>
    <x v="5"/>
    <x v="0"/>
    <x v="0"/>
    <x v="0"/>
    <m/>
    <x v="0"/>
    <x v="0"/>
    <n v="-0.233685"/>
    <m/>
    <x v="0"/>
    <x v="2"/>
    <x v="0"/>
    <x v="4"/>
    <x v="1"/>
  </r>
  <r>
    <s v="Singapore"/>
    <x v="0"/>
    <s v="SG3"/>
    <m/>
    <x v="4"/>
    <x v="1"/>
    <x v="4"/>
    <x v="2"/>
    <x v="0"/>
    <x v="0"/>
    <x v="0"/>
    <m/>
    <x v="0"/>
    <x v="0"/>
    <n v="-1.6797122010000001"/>
    <m/>
    <x v="4"/>
    <x v="1"/>
    <x v="0"/>
    <x v="0"/>
    <x v="1"/>
  </r>
  <r>
    <s v="Singapore"/>
    <x v="3"/>
    <s v="SG1"/>
    <m/>
    <x v="3"/>
    <x v="1"/>
    <x v="1"/>
    <x v="5"/>
    <x v="0"/>
    <x v="0"/>
    <x v="0"/>
    <m/>
    <x v="0"/>
    <x v="0"/>
    <n v="-0.24926400000000001"/>
    <m/>
    <x v="0"/>
    <x v="0"/>
    <x v="0"/>
    <x v="2"/>
    <x v="2"/>
  </r>
  <r>
    <s v="Singapore"/>
    <x v="1"/>
    <s v="SG3"/>
    <m/>
    <x v="3"/>
    <x v="0"/>
    <x v="2"/>
    <x v="1"/>
    <x v="0"/>
    <x v="0"/>
    <x v="0"/>
    <m/>
    <x v="0"/>
    <x v="0"/>
    <n v="22.589550000000003"/>
    <m/>
    <x v="1"/>
    <x v="2"/>
    <x v="0"/>
    <x v="5"/>
    <x v="1"/>
  </r>
  <r>
    <s v="Singapore"/>
    <x v="4"/>
    <s v="SG4"/>
    <m/>
    <x v="3"/>
    <x v="4"/>
    <x v="0"/>
    <x v="0"/>
    <x v="0"/>
    <x v="0"/>
    <x v="0"/>
    <m/>
    <x v="0"/>
    <x v="0"/>
    <n v="-0.233685"/>
    <m/>
    <x v="0"/>
    <x v="2"/>
    <x v="0"/>
    <x v="3"/>
    <x v="2"/>
  </r>
  <r>
    <s v="Singapore"/>
    <x v="4"/>
    <s v="SG2"/>
    <m/>
    <x v="2"/>
    <x v="1"/>
    <x v="1"/>
    <x v="2"/>
    <x v="0"/>
    <x v="0"/>
    <x v="0"/>
    <m/>
    <x v="0"/>
    <x v="0"/>
    <n v="-0.1838322"/>
    <m/>
    <x v="4"/>
    <x v="1"/>
    <x v="0"/>
    <x v="0"/>
    <x v="2"/>
  </r>
  <r>
    <s v="Singapore"/>
    <x v="3"/>
    <s v="SG2"/>
    <m/>
    <x v="4"/>
    <x v="0"/>
    <x v="0"/>
    <x v="5"/>
    <x v="0"/>
    <x v="0"/>
    <x v="0"/>
    <m/>
    <x v="0"/>
    <x v="0"/>
    <n v="6.4808640000000002E-3"/>
    <m/>
    <x v="8"/>
    <x v="3"/>
    <x v="0"/>
    <x v="3"/>
    <x v="1"/>
  </r>
  <r>
    <s v="Singapore"/>
    <x v="1"/>
    <s v="SG2"/>
    <m/>
    <x v="1"/>
    <x v="1"/>
    <x v="2"/>
    <x v="0"/>
    <x v="0"/>
    <x v="0"/>
    <x v="0"/>
    <m/>
    <x v="0"/>
    <x v="0"/>
    <n v="1.277119683"/>
    <m/>
    <x v="1"/>
    <x v="3"/>
    <x v="0"/>
    <x v="2"/>
    <x v="0"/>
  </r>
  <r>
    <s v="Singapore"/>
    <x v="2"/>
    <s v="SG2"/>
    <m/>
    <x v="5"/>
    <x v="4"/>
    <x v="4"/>
    <x v="3"/>
    <x v="0"/>
    <x v="0"/>
    <x v="0"/>
    <m/>
    <x v="0"/>
    <x v="0"/>
    <n v="-0.70105499999999998"/>
    <m/>
    <x v="4"/>
    <x v="0"/>
    <x v="0"/>
    <x v="1"/>
    <x v="1"/>
  </r>
  <r>
    <s v="Singapore"/>
    <x v="5"/>
    <s v="SG3"/>
    <m/>
    <x v="3"/>
    <x v="3"/>
    <x v="2"/>
    <x v="4"/>
    <x v="0"/>
    <x v="0"/>
    <x v="0"/>
    <m/>
    <x v="0"/>
    <x v="0"/>
    <n v="-0.77895000000000003"/>
    <m/>
    <x v="4"/>
    <x v="2"/>
    <x v="0"/>
    <x v="2"/>
    <x v="2"/>
  </r>
  <r>
    <s v="Singapore"/>
    <x v="0"/>
    <s v="SG4"/>
    <m/>
    <x v="4"/>
    <x v="2"/>
    <x v="2"/>
    <x v="0"/>
    <x v="0"/>
    <x v="0"/>
    <x v="0"/>
    <m/>
    <x v="0"/>
    <x v="0"/>
    <n v="0.70105499999999998"/>
    <m/>
    <x v="1"/>
    <x v="2"/>
    <x v="0"/>
    <x v="4"/>
    <x v="2"/>
  </r>
  <r>
    <s v="Singapore"/>
    <x v="2"/>
    <s v="SG3"/>
    <m/>
    <x v="5"/>
    <x v="3"/>
    <x v="4"/>
    <x v="3"/>
    <x v="0"/>
    <x v="0"/>
    <x v="0"/>
    <m/>
    <x v="0"/>
    <x v="0"/>
    <n v="-0.545265"/>
    <m/>
    <x v="0"/>
    <x v="0"/>
    <x v="0"/>
    <x v="0"/>
    <x v="0"/>
  </r>
  <r>
    <s v="Singapore"/>
    <x v="0"/>
    <s v="SG2"/>
    <m/>
    <x v="1"/>
    <x v="0"/>
    <x v="1"/>
    <x v="5"/>
    <x v="0"/>
    <x v="0"/>
    <x v="0"/>
    <m/>
    <x v="0"/>
    <x v="0"/>
    <n v="8.5684500000000011E-2"/>
    <m/>
    <x v="1"/>
    <x v="3"/>
    <x v="0"/>
    <x v="2"/>
    <x v="2"/>
  </r>
  <r>
    <s v="Singapore"/>
    <x v="0"/>
    <s v="SG1"/>
    <m/>
    <x v="4"/>
    <x v="2"/>
    <x v="1"/>
    <x v="1"/>
    <x v="0"/>
    <x v="0"/>
    <x v="0"/>
    <m/>
    <x v="0"/>
    <x v="0"/>
    <n v="-7.7895000000000003"/>
    <m/>
    <x v="2"/>
    <x v="0"/>
    <x v="0"/>
    <x v="1"/>
    <x v="2"/>
  </r>
  <r>
    <s v="Singapore"/>
    <x v="3"/>
    <s v="SG2"/>
    <m/>
    <x v="1"/>
    <x v="1"/>
    <x v="3"/>
    <x v="4"/>
    <x v="0"/>
    <x v="0"/>
    <x v="0"/>
    <m/>
    <x v="0"/>
    <x v="0"/>
    <n v="1.6797122010000001"/>
    <m/>
    <x v="4"/>
    <x v="3"/>
    <x v="0"/>
    <x v="3"/>
    <x v="2"/>
  </r>
  <r>
    <s v="Singapore"/>
    <x v="2"/>
    <s v="SG3"/>
    <m/>
    <x v="2"/>
    <x v="1"/>
    <x v="1"/>
    <x v="5"/>
    <x v="0"/>
    <x v="0"/>
    <x v="0"/>
    <m/>
    <x v="0"/>
    <x v="0"/>
    <n v="4.6737000000000001E-2"/>
    <m/>
    <x v="0"/>
    <x v="0"/>
    <x v="0"/>
    <x v="4"/>
    <x v="1"/>
  </r>
  <r>
    <s v="Singapore"/>
    <x v="3"/>
    <s v="SG1"/>
    <m/>
    <x v="1"/>
    <x v="3"/>
    <x v="4"/>
    <x v="4"/>
    <x v="0"/>
    <x v="0"/>
    <x v="0"/>
    <m/>
    <x v="0"/>
    <x v="0"/>
    <n v="0.34273800000000004"/>
    <m/>
    <x v="8"/>
    <x v="2"/>
    <x v="0"/>
    <x v="2"/>
    <x v="2"/>
  </r>
  <r>
    <s v="Singapore"/>
    <x v="5"/>
    <s v="SG1"/>
    <m/>
    <x v="3"/>
    <x v="3"/>
    <x v="3"/>
    <x v="4"/>
    <x v="0"/>
    <x v="0"/>
    <x v="0"/>
    <m/>
    <x v="0"/>
    <x v="0"/>
    <n v="-9.3474000000000002E-2"/>
    <m/>
    <x v="0"/>
    <x v="2"/>
    <x v="0"/>
    <x v="3"/>
    <x v="2"/>
  </r>
  <r>
    <s v="Singapore"/>
    <x v="0"/>
    <s v="SG1"/>
    <m/>
    <x v="4"/>
    <x v="1"/>
    <x v="0"/>
    <x v="4"/>
    <x v="0"/>
    <x v="0"/>
    <x v="0"/>
    <m/>
    <x v="0"/>
    <x v="0"/>
    <n v="-7.7895000000000006E-2"/>
    <m/>
    <x v="0"/>
    <x v="2"/>
    <x v="0"/>
    <x v="4"/>
    <x v="0"/>
  </r>
  <r>
    <s v="Singapore"/>
    <x v="3"/>
    <s v="SG4"/>
    <m/>
    <x v="2"/>
    <x v="1"/>
    <x v="3"/>
    <x v="4"/>
    <x v="0"/>
    <x v="0"/>
    <x v="0"/>
    <m/>
    <x v="0"/>
    <x v="0"/>
    <n v="-4.6737000000000001E-2"/>
    <m/>
    <x v="0"/>
    <x v="3"/>
    <x v="0"/>
    <x v="0"/>
    <x v="2"/>
  </r>
  <r>
    <s v="Singapore"/>
    <x v="1"/>
    <s v="SG3"/>
    <m/>
    <x v="1"/>
    <x v="4"/>
    <x v="0"/>
    <x v="1"/>
    <x v="0"/>
    <x v="0"/>
    <x v="0"/>
    <m/>
    <x v="0"/>
    <x v="0"/>
    <n v="-5.6084399999999999"/>
    <m/>
    <x v="4"/>
    <x v="3"/>
    <x v="0"/>
    <x v="4"/>
    <x v="1"/>
  </r>
  <r>
    <s v="Singapore"/>
    <x v="5"/>
    <s v="SG1"/>
    <m/>
    <x v="4"/>
    <x v="0"/>
    <x v="0"/>
    <x v="2"/>
    <x v="0"/>
    <x v="0"/>
    <x v="0"/>
    <m/>
    <x v="0"/>
    <x v="0"/>
    <n v="184.61115000000001"/>
    <m/>
    <x v="5"/>
    <x v="2"/>
    <x v="0"/>
    <x v="3"/>
    <x v="0"/>
  </r>
  <r>
    <s v="Singapore"/>
    <x v="4"/>
    <s v="SG2"/>
    <m/>
    <x v="1"/>
    <x v="4"/>
    <x v="2"/>
    <x v="4"/>
    <x v="0"/>
    <x v="0"/>
    <x v="0"/>
    <m/>
    <x v="0"/>
    <x v="0"/>
    <n v="-4.6737000000000001E-2"/>
    <m/>
    <x v="0"/>
    <x v="2"/>
    <x v="0"/>
    <x v="2"/>
    <x v="2"/>
  </r>
  <r>
    <s v="Singapore"/>
    <x v="5"/>
    <s v="SG3"/>
    <m/>
    <x v="4"/>
    <x v="3"/>
    <x v="0"/>
    <x v="0"/>
    <x v="0"/>
    <x v="0"/>
    <x v="0"/>
    <m/>
    <x v="0"/>
    <x v="0"/>
    <n v="-0.10905300000000001"/>
    <m/>
    <x v="4"/>
    <x v="0"/>
    <x v="0"/>
    <x v="4"/>
    <x v="0"/>
  </r>
  <r>
    <s v="Singapore"/>
    <x v="2"/>
    <s v="SG2"/>
    <m/>
    <x v="5"/>
    <x v="0"/>
    <x v="2"/>
    <x v="5"/>
    <x v="0"/>
    <x v="0"/>
    <x v="0"/>
    <m/>
    <x v="0"/>
    <x v="0"/>
    <n v="15.579000000000001"/>
    <m/>
    <x v="1"/>
    <x v="1"/>
    <x v="0"/>
    <x v="3"/>
    <x v="0"/>
  </r>
  <r>
    <s v="Singapore"/>
    <x v="3"/>
    <s v="SG2"/>
    <m/>
    <x v="3"/>
    <x v="0"/>
    <x v="3"/>
    <x v="2"/>
    <x v="0"/>
    <x v="0"/>
    <x v="0"/>
    <m/>
    <x v="0"/>
    <x v="0"/>
    <n v="-0.38947500000000002"/>
    <m/>
    <x v="4"/>
    <x v="0"/>
    <x v="0"/>
    <x v="3"/>
    <x v="2"/>
  </r>
  <r>
    <s v="Singapore"/>
    <x v="1"/>
    <s v="SG4"/>
    <m/>
    <x v="0"/>
    <x v="0"/>
    <x v="3"/>
    <x v="2"/>
    <x v="0"/>
    <x v="0"/>
    <x v="0"/>
    <m/>
    <x v="0"/>
    <x v="0"/>
    <n v="-176.35428000000002"/>
    <m/>
    <x v="2"/>
    <x v="2"/>
    <x v="0"/>
    <x v="2"/>
    <x v="0"/>
  </r>
  <r>
    <s v="Singapore"/>
    <x v="2"/>
    <s v="SG2"/>
    <m/>
    <x v="0"/>
    <x v="1"/>
    <x v="3"/>
    <x v="0"/>
    <x v="0"/>
    <x v="0"/>
    <x v="0"/>
    <m/>
    <x v="0"/>
    <x v="0"/>
    <n v="0.17136900000000002"/>
    <m/>
    <x v="0"/>
    <x v="1"/>
    <x v="0"/>
    <x v="3"/>
    <x v="2"/>
  </r>
  <r>
    <s v="Singapore"/>
    <x v="1"/>
    <s v="SG3"/>
    <m/>
    <x v="4"/>
    <x v="4"/>
    <x v="3"/>
    <x v="4"/>
    <x v="0"/>
    <x v="0"/>
    <x v="0"/>
    <m/>
    <x v="0"/>
    <x v="0"/>
    <n v="5.2770746700000002"/>
    <m/>
    <x v="8"/>
    <x v="1"/>
    <x v="0"/>
    <x v="3"/>
    <x v="2"/>
  </r>
  <r>
    <s v="Singapore"/>
    <x v="5"/>
    <s v="SG4"/>
    <m/>
    <x v="1"/>
    <x v="3"/>
    <x v="1"/>
    <x v="0"/>
    <x v="0"/>
    <x v="0"/>
    <x v="0"/>
    <m/>
    <x v="0"/>
    <x v="0"/>
    <n v="-0.1838322"/>
    <m/>
    <x v="4"/>
    <x v="0"/>
    <x v="0"/>
    <x v="1"/>
    <x v="0"/>
  </r>
  <r>
    <s v="Singapore"/>
    <x v="3"/>
    <s v="SG1"/>
    <m/>
    <x v="1"/>
    <x v="0"/>
    <x v="3"/>
    <x v="3"/>
    <x v="0"/>
    <x v="0"/>
    <x v="0"/>
    <m/>
    <x v="0"/>
    <x v="0"/>
    <n v="0.92695050000000001"/>
    <m/>
    <x v="1"/>
    <x v="1"/>
    <x v="0"/>
    <x v="0"/>
    <x v="0"/>
  </r>
  <r>
    <s v="Singapore"/>
    <x v="3"/>
    <s v="SG2"/>
    <m/>
    <x v="0"/>
    <x v="1"/>
    <x v="3"/>
    <x v="1"/>
    <x v="0"/>
    <x v="0"/>
    <x v="0"/>
    <m/>
    <x v="0"/>
    <x v="0"/>
    <n v="1.4566988160000001"/>
    <m/>
    <x v="8"/>
    <x v="3"/>
    <x v="0"/>
    <x v="1"/>
    <x v="1"/>
  </r>
  <r>
    <s v="Singapore"/>
    <x v="2"/>
    <s v="SG4"/>
    <m/>
    <x v="3"/>
    <x v="1"/>
    <x v="1"/>
    <x v="2"/>
    <x v="0"/>
    <x v="0"/>
    <x v="0"/>
    <m/>
    <x v="0"/>
    <x v="0"/>
    <n v="-0.30534840000000002"/>
    <m/>
    <x v="4"/>
    <x v="1"/>
    <x v="0"/>
    <x v="4"/>
    <x v="2"/>
  </r>
  <r>
    <s v="Singapore"/>
    <x v="2"/>
    <s v="SG4"/>
    <m/>
    <x v="0"/>
    <x v="1"/>
    <x v="4"/>
    <x v="5"/>
    <x v="0"/>
    <x v="0"/>
    <x v="0"/>
    <m/>
    <x v="0"/>
    <x v="0"/>
    <n v="0.12463200000000001"/>
    <m/>
    <x v="0"/>
    <x v="1"/>
    <x v="0"/>
    <x v="2"/>
    <x v="2"/>
  </r>
  <r>
    <s v="Singapore"/>
    <x v="1"/>
    <s v="SG1"/>
    <m/>
    <x v="4"/>
    <x v="2"/>
    <x v="3"/>
    <x v="0"/>
    <x v="0"/>
    <x v="0"/>
    <x v="0"/>
    <m/>
    <x v="0"/>
    <x v="0"/>
    <n v="-0.12463200000000001"/>
    <m/>
    <x v="0"/>
    <x v="3"/>
    <x v="0"/>
    <x v="1"/>
    <x v="2"/>
  </r>
  <r>
    <s v="Singapore"/>
    <x v="5"/>
    <s v="SG1"/>
    <m/>
    <x v="1"/>
    <x v="4"/>
    <x v="1"/>
    <x v="0"/>
    <x v="0"/>
    <x v="0"/>
    <x v="0"/>
    <m/>
    <x v="0"/>
    <x v="0"/>
    <n v="-2.6904933"/>
    <m/>
    <x v="6"/>
    <x v="3"/>
    <x v="0"/>
    <x v="3"/>
    <x v="1"/>
  </r>
  <r>
    <s v="Singapore"/>
    <x v="3"/>
    <s v="SG1"/>
    <m/>
    <x v="4"/>
    <x v="3"/>
    <x v="2"/>
    <x v="1"/>
    <x v="0"/>
    <x v="0"/>
    <x v="0"/>
    <m/>
    <x v="0"/>
    <x v="0"/>
    <n v="-0.280422"/>
    <m/>
    <x v="0"/>
    <x v="0"/>
    <x v="0"/>
    <x v="2"/>
    <x v="1"/>
  </r>
  <r>
    <s v="Singapore"/>
    <x v="5"/>
    <s v="SG3"/>
    <m/>
    <x v="1"/>
    <x v="1"/>
    <x v="1"/>
    <x v="4"/>
    <x v="0"/>
    <x v="0"/>
    <x v="0"/>
    <m/>
    <x v="0"/>
    <x v="0"/>
    <n v="5.1054564060000001"/>
    <m/>
    <x v="5"/>
    <x v="2"/>
    <x v="0"/>
    <x v="5"/>
    <x v="1"/>
  </r>
  <r>
    <s v="Singapore"/>
    <x v="1"/>
    <s v="SG3"/>
    <m/>
    <x v="1"/>
    <x v="0"/>
    <x v="2"/>
    <x v="2"/>
    <x v="0"/>
    <x v="0"/>
    <x v="0"/>
    <m/>
    <x v="0"/>
    <x v="0"/>
    <n v="-0.12463200000000001"/>
    <m/>
    <x v="0"/>
    <x v="1"/>
    <x v="0"/>
    <x v="0"/>
    <x v="0"/>
  </r>
  <r>
    <s v="Singapore"/>
    <x v="1"/>
    <s v="SG2"/>
    <m/>
    <x v="0"/>
    <x v="0"/>
    <x v="2"/>
    <x v="5"/>
    <x v="0"/>
    <x v="0"/>
    <x v="0"/>
    <m/>
    <x v="0"/>
    <x v="0"/>
    <n v="-2.4976720170000002"/>
    <m/>
    <x v="4"/>
    <x v="3"/>
    <x v="0"/>
    <x v="2"/>
    <x v="1"/>
  </r>
  <r>
    <s v="Singapore"/>
    <x v="5"/>
    <s v="SG4"/>
    <m/>
    <x v="2"/>
    <x v="4"/>
    <x v="1"/>
    <x v="4"/>
    <x v="0"/>
    <x v="0"/>
    <x v="0"/>
    <m/>
    <x v="0"/>
    <x v="0"/>
    <n v="2.9132730000000002"/>
    <m/>
    <x v="1"/>
    <x v="3"/>
    <x v="0"/>
    <x v="2"/>
    <x v="1"/>
  </r>
  <r>
    <s v="Singapore"/>
    <x v="3"/>
    <s v="SG4"/>
    <m/>
    <x v="4"/>
    <x v="1"/>
    <x v="2"/>
    <x v="0"/>
    <x v="0"/>
    <x v="0"/>
    <x v="0"/>
    <m/>
    <x v="0"/>
    <x v="0"/>
    <n v="0.40505400000000003"/>
    <m/>
    <x v="1"/>
    <x v="1"/>
    <x v="0"/>
    <x v="1"/>
    <x v="0"/>
  </r>
  <r>
    <s v="Singapore"/>
    <x v="3"/>
    <s v="SG1"/>
    <m/>
    <x v="0"/>
    <x v="1"/>
    <x v="1"/>
    <x v="3"/>
    <x v="0"/>
    <x v="0"/>
    <x v="0"/>
    <m/>
    <x v="0"/>
    <x v="0"/>
    <n v="-3.1158000000000002E-2"/>
    <m/>
    <x v="0"/>
    <x v="1"/>
    <x v="0"/>
    <x v="0"/>
    <x v="1"/>
  </r>
  <r>
    <s v="Singapore"/>
    <x v="3"/>
    <s v="SG4"/>
    <m/>
    <x v="2"/>
    <x v="3"/>
    <x v="1"/>
    <x v="2"/>
    <x v="0"/>
    <x v="0"/>
    <x v="0"/>
    <m/>
    <x v="0"/>
    <x v="0"/>
    <n v="-0.233685"/>
    <m/>
    <x v="0"/>
    <x v="0"/>
    <x v="0"/>
    <x v="5"/>
    <x v="2"/>
  </r>
  <r>
    <s v="Singapore"/>
    <x v="4"/>
    <s v="SG2"/>
    <m/>
    <x v="1"/>
    <x v="3"/>
    <x v="1"/>
    <x v="1"/>
    <x v="0"/>
    <x v="0"/>
    <x v="0"/>
    <m/>
    <x v="0"/>
    <x v="0"/>
    <n v="0.60002518500000002"/>
    <m/>
    <x v="0"/>
    <x v="2"/>
    <x v="0"/>
    <x v="5"/>
    <x v="1"/>
  </r>
  <r>
    <s v="Singapore"/>
    <x v="4"/>
    <s v="SG2"/>
    <m/>
    <x v="4"/>
    <x v="2"/>
    <x v="3"/>
    <x v="0"/>
    <x v="0"/>
    <x v="0"/>
    <x v="0"/>
    <m/>
    <x v="0"/>
    <x v="0"/>
    <n v="-0.10905300000000001"/>
    <m/>
    <x v="0"/>
    <x v="1"/>
    <x v="0"/>
    <x v="0"/>
    <x v="0"/>
  </r>
  <r>
    <s v="Singapore"/>
    <x v="1"/>
    <s v="SG3"/>
    <m/>
    <x v="2"/>
    <x v="0"/>
    <x v="3"/>
    <x v="4"/>
    <x v="0"/>
    <x v="0"/>
    <x v="0"/>
    <m/>
    <x v="0"/>
    <x v="0"/>
    <n v="7.9343847000000009E-2"/>
    <m/>
    <x v="3"/>
    <x v="0"/>
    <x v="0"/>
    <x v="3"/>
    <x v="1"/>
  </r>
  <r>
    <s v="Singapore"/>
    <x v="4"/>
    <s v="SG3"/>
    <m/>
    <x v="2"/>
    <x v="3"/>
    <x v="3"/>
    <x v="2"/>
    <x v="0"/>
    <x v="0"/>
    <x v="0"/>
    <m/>
    <x v="0"/>
    <x v="0"/>
    <n v="-0.12463200000000001"/>
    <m/>
    <x v="4"/>
    <x v="3"/>
    <x v="0"/>
    <x v="1"/>
    <x v="1"/>
  </r>
  <r>
    <s v="Singapore"/>
    <x v="3"/>
    <s v="SG2"/>
    <m/>
    <x v="4"/>
    <x v="4"/>
    <x v="1"/>
    <x v="2"/>
    <x v="0"/>
    <x v="0"/>
    <x v="0"/>
    <m/>
    <x v="0"/>
    <x v="0"/>
    <n v="-0.14800050000000001"/>
    <m/>
    <x v="4"/>
    <x v="0"/>
    <x v="0"/>
    <x v="1"/>
    <x v="2"/>
  </r>
  <r>
    <s v="Singapore"/>
    <x v="5"/>
    <s v="SG2"/>
    <m/>
    <x v="4"/>
    <x v="4"/>
    <x v="2"/>
    <x v="3"/>
    <x v="0"/>
    <x v="0"/>
    <x v="0"/>
    <m/>
    <x v="0"/>
    <x v="0"/>
    <n v="-0.46511104500000006"/>
    <m/>
    <x v="4"/>
    <x v="0"/>
    <x v="0"/>
    <x v="0"/>
    <x v="2"/>
  </r>
  <r>
    <s v="Singapore"/>
    <x v="0"/>
    <s v="SG4"/>
    <m/>
    <x v="0"/>
    <x v="0"/>
    <x v="4"/>
    <x v="0"/>
    <x v="0"/>
    <x v="0"/>
    <x v="0"/>
    <m/>
    <x v="0"/>
    <x v="0"/>
    <n v="-0.233685"/>
    <m/>
    <x v="0"/>
    <x v="2"/>
    <x v="0"/>
    <x v="5"/>
    <x v="0"/>
  </r>
  <r>
    <s v="Singapore"/>
    <x v="0"/>
    <s v="SG1"/>
    <m/>
    <x v="4"/>
    <x v="4"/>
    <x v="4"/>
    <x v="4"/>
    <x v="0"/>
    <x v="0"/>
    <x v="0"/>
    <m/>
    <x v="0"/>
    <x v="0"/>
    <n v="0.37389600000000001"/>
    <m/>
    <x v="1"/>
    <x v="2"/>
    <x v="0"/>
    <x v="0"/>
    <x v="1"/>
  </r>
  <r>
    <s v="Singapore"/>
    <x v="4"/>
    <s v="SG2"/>
    <m/>
    <x v="1"/>
    <x v="4"/>
    <x v="4"/>
    <x v="3"/>
    <x v="0"/>
    <x v="0"/>
    <x v="0"/>
    <m/>
    <x v="0"/>
    <x v="0"/>
    <n v="-0.70105499999999998"/>
    <m/>
    <x v="4"/>
    <x v="1"/>
    <x v="0"/>
    <x v="5"/>
    <x v="1"/>
  </r>
  <r>
    <s v="Singapore"/>
    <x v="5"/>
    <s v="SG1"/>
    <m/>
    <x v="3"/>
    <x v="1"/>
    <x v="4"/>
    <x v="2"/>
    <x v="0"/>
    <x v="0"/>
    <x v="0"/>
    <m/>
    <x v="0"/>
    <x v="0"/>
    <n v="2.1666026880000002"/>
    <m/>
    <x v="1"/>
    <x v="1"/>
    <x v="0"/>
    <x v="2"/>
    <x v="2"/>
  </r>
  <r>
    <s v="Singapore"/>
    <x v="0"/>
    <s v="SG4"/>
    <m/>
    <x v="4"/>
    <x v="3"/>
    <x v="4"/>
    <x v="4"/>
    <x v="0"/>
    <x v="0"/>
    <x v="0"/>
    <m/>
    <x v="0"/>
    <x v="0"/>
    <n v="7.4000250000000002E-3"/>
    <m/>
    <x v="6"/>
    <x v="2"/>
    <x v="0"/>
    <x v="0"/>
    <x v="0"/>
  </r>
  <r>
    <s v="Singapore"/>
    <x v="0"/>
    <s v="SG1"/>
    <m/>
    <x v="0"/>
    <x v="1"/>
    <x v="4"/>
    <x v="3"/>
    <x v="0"/>
    <x v="0"/>
    <x v="0"/>
    <m/>
    <x v="0"/>
    <x v="0"/>
    <n v="4.36212"/>
    <m/>
    <x v="1"/>
    <x v="2"/>
    <x v="0"/>
    <x v="4"/>
    <x v="1"/>
  </r>
  <r>
    <s v="Singapore"/>
    <x v="2"/>
    <s v="SG1"/>
    <m/>
    <x v="0"/>
    <x v="2"/>
    <x v="1"/>
    <x v="3"/>
    <x v="0"/>
    <x v="0"/>
    <x v="0"/>
    <m/>
    <x v="0"/>
    <x v="0"/>
    <n v="0.15579000000000001"/>
    <m/>
    <x v="1"/>
    <x v="0"/>
    <x v="0"/>
    <x v="0"/>
    <x v="1"/>
  </r>
  <r>
    <s v="Singapore"/>
    <x v="0"/>
    <s v="SG1"/>
    <m/>
    <x v="0"/>
    <x v="1"/>
    <x v="4"/>
    <x v="3"/>
    <x v="0"/>
    <x v="0"/>
    <x v="0"/>
    <m/>
    <x v="0"/>
    <x v="0"/>
    <n v="-1.5579000000000001E-2"/>
    <m/>
    <x v="0"/>
    <x v="1"/>
    <x v="0"/>
    <x v="5"/>
    <x v="2"/>
  </r>
  <r>
    <s v="Singapore"/>
    <x v="0"/>
    <s v="SG2"/>
    <m/>
    <x v="4"/>
    <x v="1"/>
    <x v="2"/>
    <x v="0"/>
    <x v="0"/>
    <x v="0"/>
    <x v="0"/>
    <m/>
    <x v="0"/>
    <x v="0"/>
    <n v="1.0801232280000002"/>
    <m/>
    <x v="1"/>
    <x v="3"/>
    <x v="0"/>
    <x v="2"/>
    <x v="1"/>
  </r>
  <r>
    <s v="Singapore"/>
    <x v="0"/>
    <s v="SG1"/>
    <m/>
    <x v="4"/>
    <x v="3"/>
    <x v="3"/>
    <x v="4"/>
    <x v="0"/>
    <x v="0"/>
    <x v="0"/>
    <m/>
    <x v="0"/>
    <x v="0"/>
    <n v="2.8042199999999999"/>
    <m/>
    <x v="1"/>
    <x v="3"/>
    <x v="0"/>
    <x v="0"/>
    <x v="0"/>
  </r>
  <r>
    <s v="Singapore"/>
    <x v="1"/>
    <s v="SG1"/>
    <m/>
    <x v="3"/>
    <x v="3"/>
    <x v="1"/>
    <x v="2"/>
    <x v="0"/>
    <x v="0"/>
    <x v="0"/>
    <m/>
    <x v="0"/>
    <x v="0"/>
    <n v="0.15579000000000001"/>
    <m/>
    <x v="1"/>
    <x v="3"/>
    <x v="0"/>
    <x v="0"/>
    <x v="0"/>
  </r>
  <r>
    <s v="Singapore"/>
    <x v="3"/>
    <s v="SG1"/>
    <m/>
    <x v="3"/>
    <x v="2"/>
    <x v="4"/>
    <x v="2"/>
    <x v="0"/>
    <x v="0"/>
    <x v="0"/>
    <m/>
    <x v="0"/>
    <x v="0"/>
    <n v="-0.17136900000000002"/>
    <m/>
    <x v="8"/>
    <x v="3"/>
    <x v="0"/>
    <x v="3"/>
    <x v="2"/>
  </r>
  <r>
    <s v="Singapore"/>
    <x v="1"/>
    <s v="SG2"/>
    <m/>
    <x v="3"/>
    <x v="3"/>
    <x v="4"/>
    <x v="0"/>
    <x v="0"/>
    <x v="0"/>
    <x v="0"/>
    <m/>
    <x v="0"/>
    <x v="0"/>
    <n v="0.15579000000000001"/>
    <m/>
    <x v="1"/>
    <x v="1"/>
    <x v="0"/>
    <x v="2"/>
    <x v="2"/>
  </r>
  <r>
    <s v="Singapore"/>
    <x v="5"/>
    <s v="SG1"/>
    <m/>
    <x v="4"/>
    <x v="4"/>
    <x v="0"/>
    <x v="4"/>
    <x v="0"/>
    <x v="0"/>
    <x v="0"/>
    <m/>
    <x v="0"/>
    <x v="0"/>
    <n v="-0.12743621999999999"/>
    <m/>
    <x v="0"/>
    <x v="1"/>
    <x v="0"/>
    <x v="0"/>
    <x v="2"/>
  </r>
  <r>
    <s v="Singapore"/>
    <x v="3"/>
    <s v="SG3"/>
    <m/>
    <x v="2"/>
    <x v="2"/>
    <x v="4"/>
    <x v="4"/>
    <x v="0"/>
    <x v="0"/>
    <x v="0"/>
    <m/>
    <x v="0"/>
    <x v="0"/>
    <n v="-0.24926400000000001"/>
    <m/>
    <x v="0"/>
    <x v="3"/>
    <x v="0"/>
    <x v="4"/>
    <x v="1"/>
  </r>
  <r>
    <s v="Singapore"/>
    <x v="4"/>
    <s v="SG1"/>
    <m/>
    <x v="4"/>
    <x v="0"/>
    <x v="1"/>
    <x v="3"/>
    <x v="0"/>
    <x v="0"/>
    <x v="0"/>
    <m/>
    <x v="0"/>
    <x v="0"/>
    <n v="-0.12463200000000001"/>
    <m/>
    <x v="0"/>
    <x v="3"/>
    <x v="0"/>
    <x v="3"/>
    <x v="2"/>
  </r>
  <r>
    <s v="Singapore"/>
    <x v="5"/>
    <s v="SG3"/>
    <m/>
    <x v="0"/>
    <x v="3"/>
    <x v="1"/>
    <x v="3"/>
    <x v="0"/>
    <x v="0"/>
    <x v="0"/>
    <m/>
    <x v="0"/>
    <x v="0"/>
    <n v="-3.0304115010000001"/>
    <m/>
    <x v="6"/>
    <x v="2"/>
    <x v="0"/>
    <x v="0"/>
    <x v="0"/>
  </r>
  <r>
    <s v="Singapore"/>
    <x v="2"/>
    <s v="SG2"/>
    <m/>
    <x v="5"/>
    <x v="0"/>
    <x v="1"/>
    <x v="0"/>
    <x v="0"/>
    <x v="0"/>
    <x v="0"/>
    <m/>
    <x v="0"/>
    <x v="0"/>
    <n v="-9.8147700000000004E-2"/>
    <m/>
    <x v="3"/>
    <x v="3"/>
    <x v="0"/>
    <x v="0"/>
    <x v="2"/>
  </r>
  <r>
    <s v="Singapore"/>
    <x v="2"/>
    <s v="SG2"/>
    <m/>
    <x v="5"/>
    <x v="2"/>
    <x v="3"/>
    <x v="3"/>
    <x v="0"/>
    <x v="0"/>
    <x v="0"/>
    <m/>
    <x v="0"/>
    <x v="0"/>
    <n v="-2.6484300000000003"/>
    <m/>
    <x v="1"/>
    <x v="0"/>
    <x v="0"/>
    <x v="2"/>
    <x v="0"/>
  </r>
  <r>
    <s v="Singapore"/>
    <x v="0"/>
    <s v="SG2"/>
    <m/>
    <x v="2"/>
    <x v="3"/>
    <x v="1"/>
    <x v="0"/>
    <x v="0"/>
    <x v="0"/>
    <x v="0"/>
    <m/>
    <x v="0"/>
    <x v="0"/>
    <n v="271.83267414000005"/>
    <m/>
    <x v="7"/>
    <x v="1"/>
    <x v="0"/>
    <x v="4"/>
    <x v="2"/>
  </r>
  <r>
    <s v="Singapore"/>
    <x v="3"/>
    <s v="SG3"/>
    <m/>
    <x v="0"/>
    <x v="4"/>
    <x v="2"/>
    <x v="0"/>
    <x v="0"/>
    <x v="0"/>
    <x v="0"/>
    <m/>
    <x v="0"/>
    <x v="0"/>
    <n v="-4.6737000000000002"/>
    <m/>
    <x v="4"/>
    <x v="0"/>
    <x v="0"/>
    <x v="2"/>
    <x v="1"/>
  </r>
  <r>
    <s v="Singapore"/>
    <x v="0"/>
    <s v="SG1"/>
    <m/>
    <x v="0"/>
    <x v="4"/>
    <x v="0"/>
    <x v="3"/>
    <x v="0"/>
    <x v="0"/>
    <x v="0"/>
    <m/>
    <x v="0"/>
    <x v="0"/>
    <n v="-1.5579000000000001E-2"/>
    <m/>
    <x v="0"/>
    <x v="1"/>
    <x v="0"/>
    <x v="3"/>
    <x v="0"/>
  </r>
  <r>
    <s v="Singapore"/>
    <x v="4"/>
    <s v="SG1"/>
    <m/>
    <x v="2"/>
    <x v="3"/>
    <x v="0"/>
    <x v="5"/>
    <x v="0"/>
    <x v="0"/>
    <x v="0"/>
    <m/>
    <x v="0"/>
    <x v="0"/>
    <n v="0.37389600000000001"/>
    <m/>
    <x v="4"/>
    <x v="1"/>
    <x v="0"/>
    <x v="3"/>
    <x v="2"/>
  </r>
  <r>
    <s v="Singapore"/>
    <x v="3"/>
    <s v="SG1"/>
    <m/>
    <x v="5"/>
    <x v="3"/>
    <x v="2"/>
    <x v="5"/>
    <x v="0"/>
    <x v="0"/>
    <x v="0"/>
    <m/>
    <x v="0"/>
    <x v="0"/>
    <n v="-1.5579000000000001E-2"/>
    <m/>
    <x v="0"/>
    <x v="1"/>
    <x v="0"/>
    <x v="4"/>
    <x v="2"/>
  </r>
  <r>
    <s v="Singapore"/>
    <x v="4"/>
    <s v="SG1"/>
    <m/>
    <x v="3"/>
    <x v="0"/>
    <x v="2"/>
    <x v="2"/>
    <x v="0"/>
    <x v="0"/>
    <x v="0"/>
    <m/>
    <x v="0"/>
    <x v="0"/>
    <n v="-7.7895000000000006E-2"/>
    <m/>
    <x v="0"/>
    <x v="3"/>
    <x v="0"/>
    <x v="4"/>
    <x v="2"/>
  </r>
  <r>
    <s v="Singapore"/>
    <x v="5"/>
    <s v="SG2"/>
    <m/>
    <x v="1"/>
    <x v="0"/>
    <x v="0"/>
    <x v="4"/>
    <x v="0"/>
    <x v="0"/>
    <x v="0"/>
    <m/>
    <x v="0"/>
    <x v="0"/>
    <n v="-0.31158000000000002"/>
    <m/>
    <x v="3"/>
    <x v="2"/>
    <x v="0"/>
    <x v="5"/>
    <x v="2"/>
  </r>
  <r>
    <s v="Singapore"/>
    <x v="0"/>
    <s v="SG2"/>
    <m/>
    <x v="1"/>
    <x v="0"/>
    <x v="2"/>
    <x v="3"/>
    <x v="0"/>
    <x v="0"/>
    <x v="0"/>
    <m/>
    <x v="0"/>
    <x v="0"/>
    <n v="0.52968599999999999"/>
    <m/>
    <x v="8"/>
    <x v="2"/>
    <x v="0"/>
    <x v="0"/>
    <x v="1"/>
  </r>
  <r>
    <s v="Singapore"/>
    <x v="0"/>
    <s v="SG4"/>
    <m/>
    <x v="4"/>
    <x v="4"/>
    <x v="4"/>
    <x v="1"/>
    <x v="0"/>
    <x v="0"/>
    <x v="0"/>
    <m/>
    <x v="0"/>
    <x v="0"/>
    <n v="-0.62316000000000005"/>
    <m/>
    <x v="4"/>
    <x v="1"/>
    <x v="0"/>
    <x v="2"/>
    <x v="0"/>
  </r>
  <r>
    <s v="Singapore"/>
    <x v="2"/>
    <s v="SG4"/>
    <m/>
    <x v="1"/>
    <x v="4"/>
    <x v="1"/>
    <x v="0"/>
    <x v="0"/>
    <x v="0"/>
    <x v="0"/>
    <m/>
    <x v="0"/>
    <x v="0"/>
    <n v="-6.2316000000000003E-2"/>
    <m/>
    <x v="0"/>
    <x v="0"/>
    <x v="0"/>
    <x v="0"/>
    <x v="1"/>
  </r>
  <r>
    <s v="Singapore"/>
    <x v="1"/>
    <s v="SG3"/>
    <m/>
    <x v="1"/>
    <x v="1"/>
    <x v="2"/>
    <x v="1"/>
    <x v="0"/>
    <x v="0"/>
    <x v="0"/>
    <m/>
    <x v="0"/>
    <x v="0"/>
    <n v="83.97448664400001"/>
    <m/>
    <x v="5"/>
    <x v="2"/>
    <x v="0"/>
    <x v="1"/>
    <x v="0"/>
  </r>
  <r>
    <s v="Singapore"/>
    <x v="0"/>
    <s v="SG1"/>
    <m/>
    <x v="0"/>
    <x v="1"/>
    <x v="1"/>
    <x v="4"/>
    <x v="0"/>
    <x v="0"/>
    <x v="0"/>
    <m/>
    <x v="0"/>
    <x v="0"/>
    <n v="0.7244235"/>
    <m/>
    <x v="1"/>
    <x v="1"/>
    <x v="0"/>
    <x v="2"/>
    <x v="1"/>
  </r>
  <r>
    <s v="Singapore"/>
    <x v="3"/>
    <s v="SG1"/>
    <m/>
    <x v="5"/>
    <x v="0"/>
    <x v="1"/>
    <x v="0"/>
    <x v="0"/>
    <x v="0"/>
    <x v="0"/>
    <m/>
    <x v="0"/>
    <x v="0"/>
    <n v="-0.15579000000000001"/>
    <m/>
    <x v="0"/>
    <x v="2"/>
    <x v="0"/>
    <x v="0"/>
    <x v="2"/>
  </r>
  <r>
    <s v="Singapore"/>
    <x v="5"/>
    <s v="SG2"/>
    <m/>
    <x v="2"/>
    <x v="4"/>
    <x v="3"/>
    <x v="3"/>
    <x v="0"/>
    <x v="0"/>
    <x v="0"/>
    <m/>
    <x v="0"/>
    <x v="0"/>
    <n v="0.93474000000000002"/>
    <m/>
    <x v="8"/>
    <x v="0"/>
    <x v="0"/>
    <x v="2"/>
    <x v="0"/>
  </r>
  <r>
    <s v="Singapore"/>
    <x v="3"/>
    <s v="SG1"/>
    <m/>
    <x v="4"/>
    <x v="4"/>
    <x v="2"/>
    <x v="5"/>
    <x v="0"/>
    <x v="0"/>
    <x v="0"/>
    <m/>
    <x v="0"/>
    <x v="0"/>
    <n v="-0.1838322"/>
    <m/>
    <x v="4"/>
    <x v="2"/>
    <x v="0"/>
    <x v="1"/>
    <x v="1"/>
  </r>
  <r>
    <s v="Singapore"/>
    <x v="2"/>
    <s v="SG4"/>
    <m/>
    <x v="3"/>
    <x v="4"/>
    <x v="0"/>
    <x v="0"/>
    <x v="0"/>
    <x v="0"/>
    <x v="0"/>
    <m/>
    <x v="0"/>
    <x v="0"/>
    <n v="0.186948"/>
    <m/>
    <x v="1"/>
    <x v="1"/>
    <x v="0"/>
    <x v="3"/>
    <x v="0"/>
  </r>
  <r>
    <s v="Singapore"/>
    <x v="2"/>
    <s v="SG4"/>
    <m/>
    <x v="3"/>
    <x v="3"/>
    <x v="0"/>
    <x v="5"/>
    <x v="0"/>
    <x v="0"/>
    <x v="0"/>
    <m/>
    <x v="0"/>
    <x v="0"/>
    <n v="2.601693"/>
    <m/>
    <x v="1"/>
    <x v="1"/>
    <x v="0"/>
    <x v="2"/>
    <x v="1"/>
  </r>
  <r>
    <s v="Singapore"/>
    <x v="4"/>
    <s v="SG1"/>
    <m/>
    <x v="2"/>
    <x v="1"/>
    <x v="1"/>
    <x v="0"/>
    <x v="0"/>
    <x v="0"/>
    <x v="0"/>
    <m/>
    <x v="0"/>
    <x v="0"/>
    <n v="-1.059372"/>
    <m/>
    <x v="4"/>
    <x v="1"/>
    <x v="0"/>
    <x v="3"/>
    <x v="0"/>
  </r>
  <r>
    <s v="Singapore"/>
    <x v="4"/>
    <s v="SG2"/>
    <m/>
    <x v="3"/>
    <x v="3"/>
    <x v="2"/>
    <x v="3"/>
    <x v="0"/>
    <x v="0"/>
    <x v="0"/>
    <m/>
    <x v="0"/>
    <x v="0"/>
    <n v="6.6608014500000001"/>
    <m/>
    <x v="7"/>
    <x v="1"/>
    <x v="0"/>
    <x v="1"/>
    <x v="1"/>
  </r>
  <r>
    <s v="Singapore"/>
    <x v="4"/>
    <s v="SG2"/>
    <m/>
    <x v="1"/>
    <x v="4"/>
    <x v="2"/>
    <x v="3"/>
    <x v="0"/>
    <x v="0"/>
    <x v="0"/>
    <m/>
    <x v="0"/>
    <x v="0"/>
    <n v="0.43621200000000004"/>
    <m/>
    <x v="0"/>
    <x v="0"/>
    <x v="0"/>
    <x v="1"/>
    <x v="2"/>
  </r>
  <r>
    <s v="Singapore"/>
    <x v="5"/>
    <s v="SG2"/>
    <m/>
    <x v="4"/>
    <x v="1"/>
    <x v="1"/>
    <x v="1"/>
    <x v="0"/>
    <x v="0"/>
    <x v="0"/>
    <m/>
    <x v="0"/>
    <x v="0"/>
    <n v="1.9182266910000001"/>
    <m/>
    <x v="1"/>
    <x v="0"/>
    <x v="0"/>
    <x v="4"/>
    <x v="0"/>
  </r>
  <r>
    <s v="Singapore"/>
    <x v="2"/>
    <s v="SG1"/>
    <m/>
    <x v="0"/>
    <x v="3"/>
    <x v="4"/>
    <x v="0"/>
    <x v="0"/>
    <x v="0"/>
    <x v="0"/>
    <m/>
    <x v="0"/>
    <x v="0"/>
    <n v="-0.10905300000000001"/>
    <m/>
    <x v="4"/>
    <x v="0"/>
    <x v="0"/>
    <x v="5"/>
    <x v="2"/>
  </r>
  <r>
    <s v="Singapore"/>
    <x v="5"/>
    <s v="SG1"/>
    <m/>
    <x v="5"/>
    <x v="4"/>
    <x v="0"/>
    <x v="0"/>
    <x v="0"/>
    <x v="0"/>
    <x v="0"/>
    <m/>
    <x v="0"/>
    <x v="0"/>
    <n v="0.44400150000000005"/>
    <m/>
    <x v="4"/>
    <x v="1"/>
    <x v="0"/>
    <x v="2"/>
    <x v="0"/>
  </r>
  <r>
    <s v="Singapore"/>
    <x v="5"/>
    <s v="SG1"/>
    <m/>
    <x v="3"/>
    <x v="4"/>
    <x v="1"/>
    <x v="1"/>
    <x v="0"/>
    <x v="0"/>
    <x v="0"/>
    <m/>
    <x v="0"/>
    <x v="0"/>
    <n v="-1.5579000000000001E-2"/>
    <m/>
    <x v="0"/>
    <x v="3"/>
    <x v="0"/>
    <x v="4"/>
    <x v="2"/>
  </r>
  <r>
    <s v="Singapore"/>
    <x v="4"/>
    <s v="SG3"/>
    <m/>
    <x v="5"/>
    <x v="3"/>
    <x v="2"/>
    <x v="3"/>
    <x v="0"/>
    <x v="0"/>
    <x v="0"/>
    <m/>
    <x v="0"/>
    <x v="0"/>
    <n v="-7.7895000000000006E-2"/>
    <m/>
    <x v="0"/>
    <x v="3"/>
    <x v="0"/>
    <x v="3"/>
    <x v="1"/>
  </r>
  <r>
    <s v="Singapore"/>
    <x v="4"/>
    <s v="SG4"/>
    <m/>
    <x v="1"/>
    <x v="1"/>
    <x v="3"/>
    <x v="3"/>
    <x v="0"/>
    <x v="0"/>
    <x v="0"/>
    <m/>
    <x v="0"/>
    <x v="0"/>
    <n v="-0.10905300000000001"/>
    <m/>
    <x v="4"/>
    <x v="0"/>
    <x v="0"/>
    <x v="5"/>
    <x v="2"/>
  </r>
  <r>
    <s v="Singapore"/>
    <x v="1"/>
    <s v="SG2"/>
    <m/>
    <x v="3"/>
    <x v="1"/>
    <x v="2"/>
    <x v="0"/>
    <x v="0"/>
    <x v="0"/>
    <x v="0"/>
    <m/>
    <x v="0"/>
    <x v="0"/>
    <n v="-1.5579000000000001E-2"/>
    <m/>
    <x v="0"/>
    <x v="1"/>
    <x v="0"/>
    <x v="3"/>
    <x v="1"/>
  </r>
  <r>
    <s v="Singapore"/>
    <x v="2"/>
    <s v="SG3"/>
    <m/>
    <x v="5"/>
    <x v="2"/>
    <x v="3"/>
    <x v="1"/>
    <x v="0"/>
    <x v="0"/>
    <x v="0"/>
    <m/>
    <x v="0"/>
    <x v="0"/>
    <n v="-8.4282390000000006E-3"/>
    <m/>
    <x v="3"/>
    <x v="1"/>
    <x v="0"/>
    <x v="2"/>
    <x v="1"/>
  </r>
  <r>
    <s v="Singapore"/>
    <x v="5"/>
    <s v="SG2"/>
    <m/>
    <x v="5"/>
    <x v="3"/>
    <x v="2"/>
    <x v="4"/>
    <x v="0"/>
    <x v="0"/>
    <x v="0"/>
    <m/>
    <x v="0"/>
    <x v="0"/>
    <n v="-0.24926400000000001"/>
    <m/>
    <x v="0"/>
    <x v="1"/>
    <x v="0"/>
    <x v="0"/>
    <x v="1"/>
  </r>
  <r>
    <s v="Singapore"/>
    <x v="1"/>
    <s v="SG1"/>
    <m/>
    <x v="4"/>
    <x v="2"/>
    <x v="4"/>
    <x v="2"/>
    <x v="0"/>
    <x v="0"/>
    <x v="0"/>
    <m/>
    <x v="0"/>
    <x v="0"/>
    <n v="-0.7290972"/>
    <m/>
    <x v="2"/>
    <x v="3"/>
    <x v="0"/>
    <x v="3"/>
    <x v="2"/>
  </r>
  <r>
    <s v="Singapore"/>
    <x v="2"/>
    <s v="SG3"/>
    <m/>
    <x v="1"/>
    <x v="4"/>
    <x v="4"/>
    <x v="3"/>
    <x v="0"/>
    <x v="0"/>
    <x v="0"/>
    <m/>
    <x v="0"/>
    <x v="0"/>
    <n v="9.3474000000000005E-3"/>
    <m/>
    <x v="3"/>
    <x v="0"/>
    <x v="0"/>
    <x v="4"/>
    <x v="0"/>
  </r>
  <r>
    <s v="Singapore"/>
    <x v="5"/>
    <s v="SG3"/>
    <m/>
    <x v="2"/>
    <x v="2"/>
    <x v="2"/>
    <x v="1"/>
    <x v="0"/>
    <x v="0"/>
    <x v="0"/>
    <m/>
    <x v="0"/>
    <x v="0"/>
    <n v="-1.540233414"/>
    <m/>
    <x v="4"/>
    <x v="0"/>
    <x v="0"/>
    <x v="1"/>
    <x v="1"/>
  </r>
  <r>
    <s v="Singapore"/>
    <x v="2"/>
    <s v="SG4"/>
    <m/>
    <x v="3"/>
    <x v="0"/>
    <x v="0"/>
    <x v="4"/>
    <x v="0"/>
    <x v="0"/>
    <x v="0"/>
    <m/>
    <x v="0"/>
    <x v="0"/>
    <n v="-2.4990273900000002"/>
    <m/>
    <x v="6"/>
    <x v="3"/>
    <x v="0"/>
    <x v="4"/>
    <x v="1"/>
  </r>
  <r>
    <s v="Singapore"/>
    <x v="3"/>
    <s v="SG4"/>
    <m/>
    <x v="1"/>
    <x v="0"/>
    <x v="2"/>
    <x v="0"/>
    <x v="0"/>
    <x v="0"/>
    <x v="0"/>
    <m/>
    <x v="0"/>
    <x v="0"/>
    <n v="-2.0429677439999998"/>
    <m/>
    <x v="7"/>
    <x v="1"/>
    <x v="0"/>
    <x v="1"/>
    <x v="1"/>
  </r>
  <r>
    <s v="Singapore"/>
    <x v="3"/>
    <s v="SG1"/>
    <m/>
    <x v="2"/>
    <x v="3"/>
    <x v="3"/>
    <x v="2"/>
    <x v="0"/>
    <x v="0"/>
    <x v="0"/>
    <m/>
    <x v="0"/>
    <x v="0"/>
    <n v="-1.5579000000000001E-2"/>
    <m/>
    <x v="0"/>
    <x v="2"/>
    <x v="0"/>
    <x v="3"/>
    <x v="1"/>
  </r>
  <r>
    <s v="Singapore"/>
    <x v="5"/>
    <s v="SG3"/>
    <m/>
    <x v="0"/>
    <x v="2"/>
    <x v="4"/>
    <x v="1"/>
    <x v="0"/>
    <x v="0"/>
    <x v="0"/>
    <m/>
    <x v="0"/>
    <x v="0"/>
    <n v="-0.10905300000000001"/>
    <m/>
    <x v="4"/>
    <x v="1"/>
    <x v="0"/>
    <x v="5"/>
    <x v="0"/>
  </r>
  <r>
    <s v="Singapore"/>
    <x v="5"/>
    <s v="SG4"/>
    <m/>
    <x v="4"/>
    <x v="0"/>
    <x v="0"/>
    <x v="0"/>
    <x v="0"/>
    <x v="0"/>
    <x v="0"/>
    <m/>
    <x v="0"/>
    <x v="0"/>
    <n v="-0.140211"/>
    <m/>
    <x v="0"/>
    <x v="3"/>
    <x v="0"/>
    <x v="0"/>
    <x v="1"/>
  </r>
  <r>
    <s v="Singapore"/>
    <x v="2"/>
    <s v="SG3"/>
    <m/>
    <x v="5"/>
    <x v="1"/>
    <x v="0"/>
    <x v="0"/>
    <x v="0"/>
    <x v="0"/>
    <x v="0"/>
    <m/>
    <x v="0"/>
    <x v="0"/>
    <n v="-1.5579000000000001E-2"/>
    <m/>
    <x v="0"/>
    <x v="0"/>
    <x v="0"/>
    <x v="5"/>
    <x v="1"/>
  </r>
  <r>
    <s v="Singapore"/>
    <x v="3"/>
    <s v="SG4"/>
    <m/>
    <x v="5"/>
    <x v="0"/>
    <x v="2"/>
    <x v="4"/>
    <x v="0"/>
    <x v="0"/>
    <x v="0"/>
    <m/>
    <x v="0"/>
    <x v="0"/>
    <n v="-0.24926400000000001"/>
    <m/>
    <x v="0"/>
    <x v="1"/>
    <x v="0"/>
    <x v="3"/>
    <x v="1"/>
  </r>
  <r>
    <s v="Singapore"/>
    <x v="1"/>
    <s v="SG2"/>
    <m/>
    <x v="1"/>
    <x v="0"/>
    <x v="2"/>
    <x v="2"/>
    <x v="0"/>
    <x v="0"/>
    <x v="0"/>
    <m/>
    <x v="0"/>
    <x v="0"/>
    <n v="-0.233685"/>
    <m/>
    <x v="0"/>
    <x v="0"/>
    <x v="0"/>
    <x v="0"/>
    <x v="2"/>
  </r>
  <r>
    <s v="Singapore"/>
    <x v="2"/>
    <s v="SG4"/>
    <m/>
    <x v="0"/>
    <x v="2"/>
    <x v="3"/>
    <x v="4"/>
    <x v="0"/>
    <x v="0"/>
    <x v="0"/>
    <m/>
    <x v="0"/>
    <x v="0"/>
    <n v="-0.51340594500000003"/>
    <m/>
    <x v="4"/>
    <x v="2"/>
    <x v="0"/>
    <x v="5"/>
    <x v="0"/>
  </r>
  <r>
    <s v="Singapore"/>
    <x v="5"/>
    <s v="SG2"/>
    <m/>
    <x v="2"/>
    <x v="0"/>
    <x v="1"/>
    <x v="5"/>
    <x v="0"/>
    <x v="0"/>
    <x v="0"/>
    <m/>
    <x v="0"/>
    <x v="0"/>
    <n v="-4.4787132360000008"/>
    <m/>
    <x v="7"/>
    <x v="2"/>
    <x v="0"/>
    <x v="0"/>
    <x v="2"/>
  </r>
  <r>
    <s v="Singapore"/>
    <x v="5"/>
    <s v="SG2"/>
    <m/>
    <x v="2"/>
    <x v="1"/>
    <x v="1"/>
    <x v="4"/>
    <x v="0"/>
    <x v="0"/>
    <x v="0"/>
    <m/>
    <x v="0"/>
    <x v="0"/>
    <n v="2.8556307000000003"/>
    <m/>
    <x v="1"/>
    <x v="2"/>
    <x v="0"/>
    <x v="1"/>
    <x v="1"/>
  </r>
  <r>
    <s v="Singapore"/>
    <x v="1"/>
    <s v="SG1"/>
    <m/>
    <x v="2"/>
    <x v="0"/>
    <x v="0"/>
    <x v="2"/>
    <x v="0"/>
    <x v="0"/>
    <x v="0"/>
    <m/>
    <x v="0"/>
    <x v="0"/>
    <n v="23.555448000000002"/>
    <m/>
    <x v="2"/>
    <x v="3"/>
    <x v="0"/>
    <x v="5"/>
    <x v="0"/>
  </r>
  <r>
    <s v="Singapore"/>
    <x v="4"/>
    <s v="SG1"/>
    <m/>
    <x v="5"/>
    <x v="3"/>
    <x v="3"/>
    <x v="1"/>
    <x v="0"/>
    <x v="0"/>
    <x v="0"/>
    <m/>
    <x v="0"/>
    <x v="0"/>
    <n v="-0.31158000000000002"/>
    <m/>
    <x v="0"/>
    <x v="2"/>
    <x v="0"/>
    <x v="5"/>
    <x v="0"/>
  </r>
  <r>
    <s v="Singapore"/>
    <x v="1"/>
    <s v="SG2"/>
    <m/>
    <x v="2"/>
    <x v="3"/>
    <x v="1"/>
    <x v="2"/>
    <x v="0"/>
    <x v="0"/>
    <x v="0"/>
    <m/>
    <x v="0"/>
    <x v="0"/>
    <n v="2.4147449999999999"/>
    <m/>
    <x v="1"/>
    <x v="3"/>
    <x v="0"/>
    <x v="0"/>
    <x v="0"/>
  </r>
  <r>
    <s v="Singapore"/>
    <x v="0"/>
    <s v="SG2"/>
    <m/>
    <x v="1"/>
    <x v="4"/>
    <x v="3"/>
    <x v="1"/>
    <x v="0"/>
    <x v="0"/>
    <x v="0"/>
    <m/>
    <x v="0"/>
    <x v="0"/>
    <n v="-3.1158000000000002E-2"/>
    <m/>
    <x v="0"/>
    <x v="1"/>
    <x v="0"/>
    <x v="5"/>
    <x v="0"/>
  </r>
  <r>
    <s v="Singapore"/>
    <x v="2"/>
    <s v="SG2"/>
    <m/>
    <x v="4"/>
    <x v="4"/>
    <x v="4"/>
    <x v="2"/>
    <x v="0"/>
    <x v="0"/>
    <x v="0"/>
    <m/>
    <x v="0"/>
    <x v="0"/>
    <n v="-74.000250000000008"/>
    <m/>
    <x v="2"/>
    <x v="1"/>
    <x v="0"/>
    <x v="5"/>
    <x v="0"/>
  </r>
  <r>
    <s v="Singapore"/>
    <x v="0"/>
    <s v="SG4"/>
    <m/>
    <x v="4"/>
    <x v="3"/>
    <x v="2"/>
    <x v="1"/>
    <x v="0"/>
    <x v="0"/>
    <x v="0"/>
    <m/>
    <x v="0"/>
    <x v="0"/>
    <n v="-0.12463200000000001"/>
    <m/>
    <x v="4"/>
    <x v="0"/>
    <x v="0"/>
    <x v="0"/>
    <x v="0"/>
  </r>
  <r>
    <s v="Singapore"/>
    <x v="5"/>
    <s v="SG1"/>
    <m/>
    <x v="0"/>
    <x v="4"/>
    <x v="2"/>
    <x v="0"/>
    <x v="0"/>
    <x v="0"/>
    <x v="0"/>
    <m/>
    <x v="0"/>
    <x v="0"/>
    <n v="-0.15579000000000001"/>
    <m/>
    <x v="1"/>
    <x v="3"/>
    <x v="0"/>
    <x v="0"/>
    <x v="0"/>
  </r>
  <r>
    <s v="Singapore"/>
    <x v="1"/>
    <s v="SG2"/>
    <m/>
    <x v="3"/>
    <x v="4"/>
    <x v="1"/>
    <x v="2"/>
    <x v="0"/>
    <x v="0"/>
    <x v="0"/>
    <m/>
    <x v="0"/>
    <x v="0"/>
    <n v="-0.280422"/>
    <m/>
    <x v="0"/>
    <x v="2"/>
    <x v="0"/>
    <x v="5"/>
    <x v="0"/>
  </r>
  <r>
    <s v="Singapore"/>
    <x v="2"/>
    <s v="SG1"/>
    <m/>
    <x v="3"/>
    <x v="3"/>
    <x v="2"/>
    <x v="3"/>
    <x v="0"/>
    <x v="0"/>
    <x v="0"/>
    <m/>
    <x v="0"/>
    <x v="0"/>
    <n v="7.7895000000000006E-2"/>
    <m/>
    <x v="1"/>
    <x v="1"/>
    <x v="0"/>
    <x v="4"/>
    <x v="2"/>
  </r>
  <r>
    <s v="Singapore"/>
    <x v="2"/>
    <s v="SG2"/>
    <m/>
    <x v="0"/>
    <x v="4"/>
    <x v="0"/>
    <x v="4"/>
    <x v="0"/>
    <x v="0"/>
    <x v="0"/>
    <m/>
    <x v="0"/>
    <x v="0"/>
    <n v="-0.85547404800000004"/>
    <m/>
    <x v="6"/>
    <x v="1"/>
    <x v="0"/>
    <x v="1"/>
    <x v="1"/>
  </r>
  <r>
    <s v="Singapore"/>
    <x v="5"/>
    <s v="SG2"/>
    <m/>
    <x v="3"/>
    <x v="3"/>
    <x v="4"/>
    <x v="4"/>
    <x v="0"/>
    <x v="0"/>
    <x v="0"/>
    <m/>
    <x v="0"/>
    <x v="0"/>
    <n v="-6.4146220919999992"/>
    <m/>
    <x v="4"/>
    <x v="2"/>
    <x v="0"/>
    <x v="4"/>
    <x v="2"/>
  </r>
  <r>
    <s v="Singapore"/>
    <x v="1"/>
    <s v="SG4"/>
    <m/>
    <x v="2"/>
    <x v="3"/>
    <x v="3"/>
    <x v="2"/>
    <x v="0"/>
    <x v="0"/>
    <x v="0"/>
    <m/>
    <x v="0"/>
    <x v="0"/>
    <n v="-0.12463200000000001"/>
    <m/>
    <x v="0"/>
    <x v="0"/>
    <x v="0"/>
    <x v="5"/>
    <x v="2"/>
  </r>
  <r>
    <s v="Singapore"/>
    <x v="1"/>
    <s v="SG2"/>
    <m/>
    <x v="5"/>
    <x v="1"/>
    <x v="4"/>
    <x v="1"/>
    <x v="0"/>
    <x v="0"/>
    <x v="0"/>
    <m/>
    <x v="0"/>
    <x v="0"/>
    <n v="0.26481184200000002"/>
    <m/>
    <x v="0"/>
    <x v="2"/>
    <x v="0"/>
    <x v="2"/>
    <x v="1"/>
  </r>
  <r>
    <s v="Singapore"/>
    <x v="4"/>
    <s v="SG3"/>
    <m/>
    <x v="3"/>
    <x v="2"/>
    <x v="0"/>
    <x v="1"/>
    <x v="0"/>
    <x v="0"/>
    <x v="0"/>
    <m/>
    <x v="0"/>
    <x v="0"/>
    <n v="0.24926400000000001"/>
    <m/>
    <x v="8"/>
    <x v="3"/>
    <x v="0"/>
    <x v="4"/>
    <x v="1"/>
  </r>
  <r>
    <s v="Singapore"/>
    <x v="2"/>
    <s v="SG4"/>
    <m/>
    <x v="2"/>
    <x v="4"/>
    <x v="2"/>
    <x v="0"/>
    <x v="0"/>
    <x v="0"/>
    <x v="0"/>
    <m/>
    <x v="0"/>
    <x v="0"/>
    <n v="-0.15579000000000001"/>
    <m/>
    <x v="0"/>
    <x v="2"/>
    <x v="0"/>
    <x v="4"/>
    <x v="2"/>
  </r>
  <r>
    <s v="Singapore"/>
    <x v="0"/>
    <s v="SG2"/>
    <m/>
    <x v="1"/>
    <x v="4"/>
    <x v="0"/>
    <x v="3"/>
    <x v="0"/>
    <x v="0"/>
    <x v="0"/>
    <m/>
    <x v="0"/>
    <x v="0"/>
    <n v="1.018819863"/>
    <m/>
    <x v="1"/>
    <x v="0"/>
    <x v="0"/>
    <x v="1"/>
    <x v="0"/>
  </r>
  <r>
    <s v="Singapore"/>
    <x v="3"/>
    <s v="SG3"/>
    <m/>
    <x v="4"/>
    <x v="2"/>
    <x v="3"/>
    <x v="1"/>
    <x v="0"/>
    <x v="0"/>
    <x v="0"/>
    <m/>
    <x v="0"/>
    <x v="0"/>
    <n v="0.71663399999999999"/>
    <m/>
    <x v="1"/>
    <x v="2"/>
    <x v="0"/>
    <x v="4"/>
    <x v="1"/>
  </r>
  <r>
    <s v="Singapore"/>
    <x v="3"/>
    <s v="SG1"/>
    <m/>
    <x v="4"/>
    <x v="0"/>
    <x v="1"/>
    <x v="2"/>
    <x v="0"/>
    <x v="0"/>
    <x v="0"/>
    <m/>
    <x v="0"/>
    <x v="0"/>
    <n v="-0.10905300000000001"/>
    <m/>
    <x v="4"/>
    <x v="0"/>
    <x v="0"/>
    <x v="5"/>
    <x v="0"/>
  </r>
  <r>
    <s v="Singapore"/>
    <x v="3"/>
    <s v="SG3"/>
    <m/>
    <x v="0"/>
    <x v="0"/>
    <x v="3"/>
    <x v="4"/>
    <x v="0"/>
    <x v="0"/>
    <x v="0"/>
    <m/>
    <x v="0"/>
    <x v="0"/>
    <n v="-4.6737000000000001E-2"/>
    <m/>
    <x v="0"/>
    <x v="1"/>
    <x v="0"/>
    <x v="5"/>
    <x v="0"/>
  </r>
  <r>
    <s v="Singapore"/>
    <x v="0"/>
    <s v="SG2"/>
    <m/>
    <x v="1"/>
    <x v="2"/>
    <x v="3"/>
    <x v="2"/>
    <x v="0"/>
    <x v="0"/>
    <x v="0"/>
    <m/>
    <x v="0"/>
    <x v="0"/>
    <n v="0.21031650000000002"/>
    <m/>
    <x v="1"/>
    <x v="0"/>
    <x v="0"/>
    <x v="4"/>
    <x v="0"/>
  </r>
  <r>
    <s v="Singapore"/>
    <x v="1"/>
    <s v="SG2"/>
    <m/>
    <x v="0"/>
    <x v="4"/>
    <x v="3"/>
    <x v="0"/>
    <x v="0"/>
    <x v="0"/>
    <x v="0"/>
    <m/>
    <x v="0"/>
    <x v="0"/>
    <n v="-5.3233910370000004"/>
    <m/>
    <x v="0"/>
    <x v="2"/>
    <x v="0"/>
    <x v="5"/>
    <x v="2"/>
  </r>
  <r>
    <s v="Singapore"/>
    <x v="0"/>
    <s v="SG1"/>
    <m/>
    <x v="3"/>
    <x v="3"/>
    <x v="4"/>
    <x v="5"/>
    <x v="0"/>
    <x v="0"/>
    <x v="0"/>
    <m/>
    <x v="0"/>
    <x v="0"/>
    <n v="-4.6737000000000003E-3"/>
    <m/>
    <x v="3"/>
    <x v="0"/>
    <x v="0"/>
    <x v="5"/>
    <x v="1"/>
  </r>
  <r>
    <s v="Singapore"/>
    <x v="5"/>
    <s v="SG2"/>
    <m/>
    <x v="3"/>
    <x v="3"/>
    <x v="0"/>
    <x v="2"/>
    <x v="0"/>
    <x v="0"/>
    <x v="0"/>
    <m/>
    <x v="0"/>
    <x v="0"/>
    <n v="35.208711369"/>
    <m/>
    <x v="7"/>
    <x v="2"/>
    <x v="0"/>
    <x v="2"/>
    <x v="0"/>
  </r>
  <r>
    <s v="Singapore"/>
    <x v="4"/>
    <s v="SG2"/>
    <m/>
    <x v="3"/>
    <x v="4"/>
    <x v="3"/>
    <x v="3"/>
    <x v="0"/>
    <x v="0"/>
    <x v="0"/>
    <m/>
    <x v="0"/>
    <x v="0"/>
    <n v="2.0252700000000002E-2"/>
    <m/>
    <x v="3"/>
    <x v="3"/>
    <x v="0"/>
    <x v="2"/>
    <x v="1"/>
  </r>
  <r>
    <s v="Singapore"/>
    <x v="1"/>
    <s v="SG2"/>
    <m/>
    <x v="2"/>
    <x v="2"/>
    <x v="2"/>
    <x v="4"/>
    <x v="0"/>
    <x v="0"/>
    <x v="0"/>
    <m/>
    <x v="0"/>
    <x v="0"/>
    <n v="-3.1158000000000002E-2"/>
    <m/>
    <x v="0"/>
    <x v="2"/>
    <x v="0"/>
    <x v="3"/>
    <x v="1"/>
  </r>
  <r>
    <s v="Singapore"/>
    <x v="5"/>
    <s v="SG1"/>
    <m/>
    <x v="3"/>
    <x v="1"/>
    <x v="4"/>
    <x v="0"/>
    <x v="0"/>
    <x v="0"/>
    <x v="0"/>
    <m/>
    <x v="0"/>
    <x v="0"/>
    <n v="-77.175546201000003"/>
    <m/>
    <x v="3"/>
    <x v="0"/>
    <x v="0"/>
    <x v="0"/>
    <x v="1"/>
  </r>
  <r>
    <s v="Singapore"/>
    <x v="4"/>
    <s v="SG4"/>
    <m/>
    <x v="3"/>
    <x v="4"/>
    <x v="3"/>
    <x v="3"/>
    <x v="0"/>
    <x v="0"/>
    <x v="0"/>
    <m/>
    <x v="0"/>
    <x v="0"/>
    <n v="-0.11216880000000001"/>
    <m/>
    <x v="6"/>
    <x v="1"/>
    <x v="0"/>
    <x v="2"/>
    <x v="1"/>
  </r>
  <r>
    <s v="Singapore"/>
    <x v="3"/>
    <s v="SG3"/>
    <m/>
    <x v="1"/>
    <x v="4"/>
    <x v="1"/>
    <x v="2"/>
    <x v="0"/>
    <x v="0"/>
    <x v="0"/>
    <m/>
    <x v="0"/>
    <x v="0"/>
    <n v="2.054605257"/>
    <m/>
    <x v="1"/>
    <x v="3"/>
    <x v="0"/>
    <x v="4"/>
    <x v="1"/>
  </r>
  <r>
    <s v="Singapore"/>
    <x v="1"/>
    <s v="SG4"/>
    <m/>
    <x v="0"/>
    <x v="1"/>
    <x v="0"/>
    <x v="2"/>
    <x v="0"/>
    <x v="0"/>
    <x v="0"/>
    <m/>
    <x v="0"/>
    <x v="0"/>
    <n v="0.40505400000000003"/>
    <m/>
    <x v="8"/>
    <x v="3"/>
    <x v="0"/>
    <x v="4"/>
    <x v="2"/>
  </r>
  <r>
    <s v="Singapore"/>
    <x v="3"/>
    <s v="SG2"/>
    <m/>
    <x v="5"/>
    <x v="3"/>
    <x v="4"/>
    <x v="2"/>
    <x v="0"/>
    <x v="0"/>
    <x v="0"/>
    <m/>
    <x v="0"/>
    <x v="0"/>
    <n v="-1.5579000000000001E-2"/>
    <m/>
    <x v="0"/>
    <x v="3"/>
    <x v="0"/>
    <x v="5"/>
    <x v="2"/>
  </r>
  <r>
    <s v="Singapore"/>
    <x v="3"/>
    <s v="SG1"/>
    <m/>
    <x v="5"/>
    <x v="3"/>
    <x v="3"/>
    <x v="4"/>
    <x v="0"/>
    <x v="0"/>
    <x v="0"/>
    <m/>
    <x v="0"/>
    <x v="0"/>
    <n v="-7.7895000000000006E-2"/>
    <m/>
    <x v="0"/>
    <x v="2"/>
    <x v="0"/>
    <x v="0"/>
    <x v="2"/>
  </r>
  <r>
    <s v="Singapore"/>
    <x v="0"/>
    <s v="SG2"/>
    <m/>
    <x v="0"/>
    <x v="0"/>
    <x v="4"/>
    <x v="1"/>
    <x v="0"/>
    <x v="0"/>
    <x v="0"/>
    <m/>
    <x v="0"/>
    <x v="0"/>
    <n v="1.677936195"/>
    <m/>
    <x v="8"/>
    <x v="0"/>
    <x v="0"/>
    <x v="3"/>
    <x v="1"/>
  </r>
  <r>
    <s v="Singapore"/>
    <x v="4"/>
    <s v="SG2"/>
    <m/>
    <x v="0"/>
    <x v="0"/>
    <x v="3"/>
    <x v="5"/>
    <x v="0"/>
    <x v="0"/>
    <x v="0"/>
    <m/>
    <x v="0"/>
    <x v="0"/>
    <n v="3.1158000000000002E-2"/>
    <m/>
    <x v="0"/>
    <x v="0"/>
    <x v="0"/>
    <x v="2"/>
    <x v="2"/>
  </r>
  <r>
    <s v="Singapore"/>
    <x v="1"/>
    <s v="SG3"/>
    <m/>
    <x v="4"/>
    <x v="3"/>
    <x v="4"/>
    <x v="0"/>
    <x v="0"/>
    <x v="0"/>
    <x v="0"/>
    <m/>
    <x v="0"/>
    <x v="0"/>
    <n v="62.800242057000006"/>
    <m/>
    <x v="1"/>
    <x v="2"/>
    <x v="0"/>
    <x v="5"/>
    <x v="2"/>
  </r>
  <r>
    <s v="Singapore"/>
    <x v="4"/>
    <s v="SG4"/>
    <m/>
    <x v="3"/>
    <x v="3"/>
    <x v="1"/>
    <x v="4"/>
    <x v="0"/>
    <x v="0"/>
    <x v="0"/>
    <m/>
    <x v="0"/>
    <x v="0"/>
    <n v="-0.1838322"/>
    <m/>
    <x v="4"/>
    <x v="1"/>
    <x v="0"/>
    <x v="2"/>
    <x v="0"/>
  </r>
  <r>
    <s v="Singapore"/>
    <x v="3"/>
    <s v="SG1"/>
    <m/>
    <x v="0"/>
    <x v="4"/>
    <x v="1"/>
    <x v="1"/>
    <x v="0"/>
    <x v="0"/>
    <x v="0"/>
    <m/>
    <x v="0"/>
    <x v="0"/>
    <n v="-4.6737000000000001E-2"/>
    <m/>
    <x v="0"/>
    <x v="0"/>
    <x v="0"/>
    <x v="0"/>
    <x v="1"/>
  </r>
  <r>
    <s v="Singapore"/>
    <x v="4"/>
    <s v="SG4"/>
    <m/>
    <x v="0"/>
    <x v="3"/>
    <x v="3"/>
    <x v="3"/>
    <x v="0"/>
    <x v="0"/>
    <x v="0"/>
    <m/>
    <x v="0"/>
    <x v="0"/>
    <n v="-9.3474000000000002E-2"/>
    <m/>
    <x v="4"/>
    <x v="0"/>
    <x v="0"/>
    <x v="4"/>
    <x v="2"/>
  </r>
  <r>
    <s v="Singapore"/>
    <x v="4"/>
    <s v="SG2"/>
    <m/>
    <x v="4"/>
    <x v="2"/>
    <x v="2"/>
    <x v="1"/>
    <x v="0"/>
    <x v="0"/>
    <x v="0"/>
    <m/>
    <x v="0"/>
    <x v="0"/>
    <n v="-11.924369127"/>
    <m/>
    <x v="0"/>
    <x v="2"/>
    <x v="0"/>
    <x v="1"/>
    <x v="1"/>
  </r>
  <r>
    <s v="Singapore"/>
    <x v="4"/>
    <s v="SG1"/>
    <m/>
    <x v="4"/>
    <x v="0"/>
    <x v="3"/>
    <x v="5"/>
    <x v="0"/>
    <x v="0"/>
    <x v="0"/>
    <m/>
    <x v="0"/>
    <x v="0"/>
    <n v="0.17136900000000002"/>
    <m/>
    <x v="8"/>
    <x v="3"/>
    <x v="0"/>
    <x v="1"/>
    <x v="0"/>
  </r>
  <r>
    <s v="Singapore"/>
    <x v="0"/>
    <s v="SG4"/>
    <m/>
    <x v="5"/>
    <x v="4"/>
    <x v="4"/>
    <x v="4"/>
    <x v="0"/>
    <x v="0"/>
    <x v="0"/>
    <m/>
    <x v="0"/>
    <x v="0"/>
    <n v="-3.7389600000000001"/>
    <m/>
    <x v="4"/>
    <x v="2"/>
    <x v="0"/>
    <x v="0"/>
    <x v="2"/>
  </r>
  <r>
    <s v="Singapore"/>
    <x v="3"/>
    <s v="SG4"/>
    <m/>
    <x v="3"/>
    <x v="0"/>
    <x v="1"/>
    <x v="3"/>
    <x v="0"/>
    <x v="0"/>
    <x v="0"/>
    <m/>
    <x v="0"/>
    <x v="0"/>
    <n v="4.2770742390000001"/>
    <m/>
    <x v="7"/>
    <x v="2"/>
    <x v="0"/>
    <x v="1"/>
    <x v="0"/>
  </r>
  <r>
    <s v="Singapore"/>
    <x v="2"/>
    <s v="SG3"/>
    <m/>
    <x v="2"/>
    <x v="1"/>
    <x v="2"/>
    <x v="3"/>
    <x v="0"/>
    <x v="0"/>
    <x v="0"/>
    <m/>
    <x v="0"/>
    <x v="0"/>
    <n v="0.27965862899999999"/>
    <m/>
    <x v="8"/>
    <x v="2"/>
    <x v="0"/>
    <x v="2"/>
    <x v="2"/>
  </r>
  <r>
    <s v="Singapore"/>
    <x v="0"/>
    <s v="SG1"/>
    <m/>
    <x v="4"/>
    <x v="2"/>
    <x v="3"/>
    <x v="2"/>
    <x v="0"/>
    <x v="0"/>
    <x v="0"/>
    <m/>
    <x v="0"/>
    <x v="0"/>
    <n v="-0.38947500000000002"/>
    <m/>
    <x v="4"/>
    <x v="2"/>
    <x v="0"/>
    <x v="2"/>
    <x v="1"/>
  </r>
  <r>
    <s v="Singapore"/>
    <x v="4"/>
    <s v="SG3"/>
    <m/>
    <x v="4"/>
    <x v="0"/>
    <x v="4"/>
    <x v="1"/>
    <x v="0"/>
    <x v="0"/>
    <x v="0"/>
    <m/>
    <x v="0"/>
    <x v="0"/>
    <n v="-0.12463200000000001"/>
    <m/>
    <x v="4"/>
    <x v="2"/>
    <x v="0"/>
    <x v="4"/>
    <x v="2"/>
  </r>
  <r>
    <s v="Singapore"/>
    <x v="4"/>
    <s v="SG2"/>
    <m/>
    <x v="4"/>
    <x v="2"/>
    <x v="1"/>
    <x v="0"/>
    <x v="0"/>
    <x v="0"/>
    <x v="0"/>
    <m/>
    <x v="0"/>
    <x v="0"/>
    <n v="2.0276535870000001"/>
    <m/>
    <x v="3"/>
    <x v="0"/>
    <x v="0"/>
    <x v="1"/>
    <x v="0"/>
  </r>
  <r>
    <s v="Singapore"/>
    <x v="2"/>
    <s v="SG4"/>
    <m/>
    <x v="5"/>
    <x v="3"/>
    <x v="2"/>
    <x v="5"/>
    <x v="0"/>
    <x v="0"/>
    <x v="0"/>
    <m/>
    <x v="0"/>
    <x v="0"/>
    <n v="-0.93474000000000002"/>
    <m/>
    <x v="4"/>
    <x v="3"/>
    <x v="0"/>
    <x v="1"/>
    <x v="2"/>
  </r>
  <r>
    <s v="Singapore"/>
    <x v="2"/>
    <s v="SG1"/>
    <m/>
    <x v="2"/>
    <x v="2"/>
    <x v="0"/>
    <x v="2"/>
    <x v="0"/>
    <x v="0"/>
    <x v="0"/>
    <m/>
    <x v="0"/>
    <x v="0"/>
    <n v="7.7895000000000004E-3"/>
    <m/>
    <x v="0"/>
    <x v="1"/>
    <x v="0"/>
    <x v="2"/>
    <x v="0"/>
  </r>
  <r>
    <s v="Singapore"/>
    <x v="2"/>
    <s v="SG3"/>
    <m/>
    <x v="0"/>
    <x v="1"/>
    <x v="1"/>
    <x v="4"/>
    <x v="0"/>
    <x v="0"/>
    <x v="0"/>
    <m/>
    <x v="0"/>
    <x v="0"/>
    <n v="-0.21810600000000002"/>
    <m/>
    <x v="4"/>
    <x v="1"/>
    <x v="0"/>
    <x v="5"/>
    <x v="1"/>
  </r>
  <r>
    <s v="Singapore"/>
    <x v="1"/>
    <s v="SG1"/>
    <m/>
    <x v="2"/>
    <x v="4"/>
    <x v="0"/>
    <x v="4"/>
    <x v="0"/>
    <x v="0"/>
    <x v="0"/>
    <m/>
    <x v="0"/>
    <x v="0"/>
    <n v="623.16000000000008"/>
    <m/>
    <x v="3"/>
    <x v="0"/>
    <x v="0"/>
    <x v="3"/>
    <x v="2"/>
  </r>
  <r>
    <s v="Singapore"/>
    <x v="1"/>
    <s v="SG1"/>
    <m/>
    <x v="1"/>
    <x v="4"/>
    <x v="2"/>
    <x v="4"/>
    <x v="0"/>
    <x v="0"/>
    <x v="0"/>
    <m/>
    <x v="0"/>
    <x v="0"/>
    <n v="1.1365659450000001"/>
    <m/>
    <x v="1"/>
    <x v="3"/>
    <x v="0"/>
    <x v="4"/>
    <x v="2"/>
  </r>
  <r>
    <s v="Singapore"/>
    <x v="3"/>
    <s v="SG3"/>
    <m/>
    <x v="0"/>
    <x v="1"/>
    <x v="2"/>
    <x v="0"/>
    <x v="0"/>
    <x v="0"/>
    <x v="0"/>
    <m/>
    <x v="0"/>
    <x v="0"/>
    <n v="-0.41284350000000003"/>
    <m/>
    <x v="4"/>
    <x v="2"/>
    <x v="0"/>
    <x v="1"/>
    <x v="0"/>
  </r>
  <r>
    <s v="Singapore"/>
    <x v="1"/>
    <s v="SG1"/>
    <m/>
    <x v="5"/>
    <x v="0"/>
    <x v="0"/>
    <x v="4"/>
    <x v="0"/>
    <x v="0"/>
    <x v="0"/>
    <m/>
    <x v="0"/>
    <x v="0"/>
    <n v="-9.3474000000000005E-3"/>
    <m/>
    <x v="3"/>
    <x v="1"/>
    <x v="0"/>
    <x v="1"/>
    <x v="1"/>
  </r>
  <r>
    <s v="Singapore"/>
    <x v="2"/>
    <s v="SG1"/>
    <m/>
    <x v="1"/>
    <x v="3"/>
    <x v="2"/>
    <x v="0"/>
    <x v="0"/>
    <x v="0"/>
    <x v="0"/>
    <m/>
    <x v="0"/>
    <x v="0"/>
    <n v="-1.7448480000000002"/>
    <m/>
    <x v="4"/>
    <x v="3"/>
    <x v="0"/>
    <x v="5"/>
    <x v="1"/>
  </r>
  <r>
    <s v="Singapore"/>
    <x v="5"/>
    <s v="SG1"/>
    <m/>
    <x v="4"/>
    <x v="4"/>
    <x v="2"/>
    <x v="4"/>
    <x v="0"/>
    <x v="0"/>
    <x v="0"/>
    <m/>
    <x v="0"/>
    <x v="0"/>
    <n v="-0.1838322"/>
    <m/>
    <x v="4"/>
    <x v="1"/>
    <x v="0"/>
    <x v="4"/>
    <x v="2"/>
  </r>
  <r>
    <s v="Singapore"/>
    <x v="3"/>
    <s v="SG2"/>
    <m/>
    <x v="4"/>
    <x v="2"/>
    <x v="2"/>
    <x v="3"/>
    <x v="0"/>
    <x v="0"/>
    <x v="0"/>
    <m/>
    <x v="0"/>
    <x v="0"/>
    <n v="-9.4252950000000002E-2"/>
    <m/>
    <x v="6"/>
    <x v="1"/>
    <x v="0"/>
    <x v="2"/>
    <x v="1"/>
  </r>
  <r>
    <s v="Singapore"/>
    <x v="2"/>
    <s v="SG1"/>
    <m/>
    <x v="2"/>
    <x v="1"/>
    <x v="4"/>
    <x v="2"/>
    <x v="0"/>
    <x v="0"/>
    <x v="0"/>
    <m/>
    <x v="0"/>
    <x v="0"/>
    <n v="-0.15579000000000001"/>
    <m/>
    <x v="0"/>
    <x v="0"/>
    <x v="0"/>
    <x v="0"/>
    <x v="0"/>
  </r>
  <r>
    <s v="Singapore"/>
    <x v="1"/>
    <s v="SG3"/>
    <m/>
    <x v="0"/>
    <x v="4"/>
    <x v="1"/>
    <x v="2"/>
    <x v="0"/>
    <x v="0"/>
    <x v="0"/>
    <m/>
    <x v="0"/>
    <x v="0"/>
    <n v="2.2901130000000003"/>
    <m/>
    <x v="1"/>
    <x v="2"/>
    <x v="0"/>
    <x v="2"/>
    <x v="0"/>
  </r>
  <r>
    <s v="Singapore"/>
    <x v="2"/>
    <s v="SG3"/>
    <m/>
    <x v="0"/>
    <x v="3"/>
    <x v="3"/>
    <x v="0"/>
    <x v="0"/>
    <x v="0"/>
    <x v="0"/>
    <m/>
    <x v="0"/>
    <x v="0"/>
    <n v="-0.31158000000000002"/>
    <m/>
    <x v="4"/>
    <x v="3"/>
    <x v="0"/>
    <x v="5"/>
    <x v="1"/>
  </r>
  <r>
    <s v="Singapore"/>
    <x v="5"/>
    <s v="SG3"/>
    <m/>
    <x v="1"/>
    <x v="4"/>
    <x v="4"/>
    <x v="4"/>
    <x v="0"/>
    <x v="0"/>
    <x v="0"/>
    <m/>
    <x v="0"/>
    <x v="0"/>
    <n v="-1.6202160000000001"/>
    <m/>
    <x v="0"/>
    <x v="3"/>
    <x v="0"/>
    <x v="1"/>
    <x v="0"/>
  </r>
  <r>
    <s v="Singapore"/>
    <x v="0"/>
    <s v="SG1"/>
    <m/>
    <x v="1"/>
    <x v="1"/>
    <x v="1"/>
    <x v="0"/>
    <x v="0"/>
    <x v="0"/>
    <x v="0"/>
    <m/>
    <x v="0"/>
    <x v="0"/>
    <n v="0.1838322"/>
    <m/>
    <x v="4"/>
    <x v="2"/>
    <x v="0"/>
    <x v="3"/>
    <x v="1"/>
  </r>
  <r>
    <s v="Singapore"/>
    <x v="4"/>
    <s v="SG4"/>
    <m/>
    <x v="2"/>
    <x v="0"/>
    <x v="3"/>
    <x v="0"/>
    <x v="0"/>
    <x v="0"/>
    <x v="0"/>
    <m/>
    <x v="0"/>
    <x v="0"/>
    <n v="-0.21810600000000002"/>
    <m/>
    <x v="4"/>
    <x v="3"/>
    <x v="0"/>
    <x v="0"/>
    <x v="0"/>
  </r>
  <r>
    <s v="Singapore"/>
    <x v="2"/>
    <s v="SG3"/>
    <m/>
    <x v="4"/>
    <x v="0"/>
    <x v="3"/>
    <x v="2"/>
    <x v="0"/>
    <x v="0"/>
    <x v="0"/>
    <m/>
    <x v="0"/>
    <x v="0"/>
    <n v="-1.6797122010000001"/>
    <m/>
    <x v="4"/>
    <x v="1"/>
    <x v="0"/>
    <x v="0"/>
    <x v="1"/>
  </r>
  <r>
    <s v="Singapore"/>
    <x v="0"/>
    <s v="SG2"/>
    <m/>
    <x v="1"/>
    <x v="1"/>
    <x v="1"/>
    <x v="0"/>
    <x v="0"/>
    <x v="0"/>
    <x v="0"/>
    <m/>
    <x v="0"/>
    <x v="0"/>
    <n v="0.1838322"/>
    <m/>
    <x v="4"/>
    <x v="0"/>
    <x v="0"/>
    <x v="4"/>
    <x v="1"/>
  </r>
  <r>
    <s v="Singapore"/>
    <x v="4"/>
    <s v="SG4"/>
    <m/>
    <x v="1"/>
    <x v="3"/>
    <x v="2"/>
    <x v="5"/>
    <x v="0"/>
    <x v="0"/>
    <x v="0"/>
    <m/>
    <x v="0"/>
    <x v="0"/>
    <n v="-3.5208540000000004"/>
    <m/>
    <x v="1"/>
    <x v="0"/>
    <x v="0"/>
    <x v="3"/>
    <x v="2"/>
  </r>
  <r>
    <s v="Singapore"/>
    <x v="4"/>
    <s v="SG3"/>
    <m/>
    <x v="4"/>
    <x v="1"/>
    <x v="0"/>
    <x v="0"/>
    <x v="0"/>
    <x v="0"/>
    <x v="0"/>
    <m/>
    <x v="0"/>
    <x v="0"/>
    <n v="-7.0105500000000001E-2"/>
    <m/>
    <x v="4"/>
    <x v="3"/>
    <x v="0"/>
    <x v="5"/>
    <x v="2"/>
  </r>
  <r>
    <s v="Singapore"/>
    <x v="5"/>
    <s v="SG1"/>
    <m/>
    <x v="4"/>
    <x v="4"/>
    <x v="0"/>
    <x v="4"/>
    <x v="0"/>
    <x v="0"/>
    <x v="0"/>
    <m/>
    <x v="0"/>
    <x v="0"/>
    <n v="-2.1592494000000002"/>
    <m/>
    <x v="3"/>
    <x v="1"/>
    <x v="0"/>
    <x v="0"/>
    <x v="0"/>
  </r>
  <r>
    <s v="Singapore"/>
    <x v="1"/>
    <s v="SG1"/>
    <m/>
    <x v="4"/>
    <x v="4"/>
    <x v="1"/>
    <x v="1"/>
    <x v="0"/>
    <x v="0"/>
    <x v="0"/>
    <m/>
    <x v="0"/>
    <x v="0"/>
    <n v="0.77895000000000003"/>
    <m/>
    <x v="4"/>
    <x v="2"/>
    <x v="0"/>
    <x v="1"/>
    <x v="2"/>
  </r>
  <r>
    <s v="Singapore"/>
    <x v="3"/>
    <s v="SG1"/>
    <m/>
    <x v="0"/>
    <x v="1"/>
    <x v="3"/>
    <x v="4"/>
    <x v="0"/>
    <x v="0"/>
    <x v="0"/>
    <m/>
    <x v="0"/>
    <x v="0"/>
    <n v="-2.1031650000000002"/>
    <m/>
    <x v="1"/>
    <x v="1"/>
    <x v="0"/>
    <x v="0"/>
    <x v="1"/>
  </r>
  <r>
    <s v="Singapore"/>
    <x v="2"/>
    <s v="SG3"/>
    <m/>
    <x v="1"/>
    <x v="2"/>
    <x v="4"/>
    <x v="4"/>
    <x v="0"/>
    <x v="0"/>
    <x v="0"/>
    <m/>
    <x v="0"/>
    <x v="0"/>
    <n v="-0.75386781000000003"/>
    <m/>
    <x v="6"/>
    <x v="3"/>
    <x v="0"/>
    <x v="2"/>
    <x v="2"/>
  </r>
  <r>
    <s v="Singapore"/>
    <x v="0"/>
    <s v="SG3"/>
    <m/>
    <x v="4"/>
    <x v="4"/>
    <x v="3"/>
    <x v="5"/>
    <x v="0"/>
    <x v="0"/>
    <x v="0"/>
    <m/>
    <x v="0"/>
    <x v="0"/>
    <n v="-0.12463200000000001"/>
    <m/>
    <x v="0"/>
    <x v="2"/>
    <x v="0"/>
    <x v="0"/>
    <x v="0"/>
  </r>
  <r>
    <s v="Singapore"/>
    <x v="4"/>
    <s v="SG2"/>
    <m/>
    <x v="3"/>
    <x v="1"/>
    <x v="4"/>
    <x v="2"/>
    <x v="0"/>
    <x v="0"/>
    <x v="0"/>
    <m/>
    <x v="0"/>
    <x v="0"/>
    <n v="-0.24926400000000001"/>
    <m/>
    <x v="0"/>
    <x v="3"/>
    <x v="0"/>
    <x v="5"/>
    <x v="2"/>
  </r>
  <r>
    <s v="Singapore"/>
    <x v="0"/>
    <s v="SG4"/>
    <m/>
    <x v="4"/>
    <x v="4"/>
    <x v="4"/>
    <x v="4"/>
    <x v="0"/>
    <x v="0"/>
    <x v="0"/>
    <m/>
    <x v="0"/>
    <x v="0"/>
    <n v="9.25267968"/>
    <m/>
    <x v="7"/>
    <x v="1"/>
    <x v="0"/>
    <x v="0"/>
    <x v="2"/>
  </r>
  <r>
    <s v="Singapore"/>
    <x v="3"/>
    <s v="SG1"/>
    <m/>
    <x v="2"/>
    <x v="4"/>
    <x v="2"/>
    <x v="5"/>
    <x v="0"/>
    <x v="0"/>
    <x v="0"/>
    <m/>
    <x v="0"/>
    <x v="0"/>
    <n v="-0.21810600000000002"/>
    <m/>
    <x v="4"/>
    <x v="1"/>
    <x v="0"/>
    <x v="0"/>
    <x v="2"/>
  </r>
  <r>
    <s v="Singapore"/>
    <x v="4"/>
    <s v="SG4"/>
    <m/>
    <x v="1"/>
    <x v="1"/>
    <x v="2"/>
    <x v="4"/>
    <x v="0"/>
    <x v="0"/>
    <x v="0"/>
    <m/>
    <x v="0"/>
    <x v="0"/>
    <n v="-0.12463200000000001"/>
    <m/>
    <x v="0"/>
    <x v="3"/>
    <x v="0"/>
    <x v="4"/>
    <x v="1"/>
  </r>
  <r>
    <s v="Singapore"/>
    <x v="3"/>
    <s v="SG2"/>
    <m/>
    <x v="4"/>
    <x v="4"/>
    <x v="2"/>
    <x v="0"/>
    <x v="0"/>
    <x v="0"/>
    <x v="0"/>
    <m/>
    <x v="0"/>
    <x v="0"/>
    <n v="1.1450565000000001"/>
    <m/>
    <x v="1"/>
    <x v="2"/>
    <x v="0"/>
    <x v="3"/>
    <x v="0"/>
  </r>
  <r>
    <s v="Singapore"/>
    <x v="2"/>
    <s v="SG4"/>
    <m/>
    <x v="1"/>
    <x v="2"/>
    <x v="4"/>
    <x v="2"/>
    <x v="0"/>
    <x v="0"/>
    <x v="0"/>
    <m/>
    <x v="0"/>
    <x v="0"/>
    <n v="2.6484300000000003"/>
    <m/>
    <x v="1"/>
    <x v="1"/>
    <x v="0"/>
    <x v="1"/>
    <x v="1"/>
  </r>
  <r>
    <s v="Singapore"/>
    <x v="2"/>
    <s v="SG3"/>
    <m/>
    <x v="2"/>
    <x v="1"/>
    <x v="4"/>
    <x v="0"/>
    <x v="0"/>
    <x v="0"/>
    <x v="0"/>
    <m/>
    <x v="0"/>
    <x v="0"/>
    <n v="-0.12463200000000001"/>
    <m/>
    <x v="0"/>
    <x v="3"/>
    <x v="0"/>
    <x v="4"/>
    <x v="1"/>
  </r>
  <r>
    <s v="Singapore"/>
    <x v="3"/>
    <s v="SG1"/>
    <m/>
    <x v="4"/>
    <x v="4"/>
    <x v="2"/>
    <x v="2"/>
    <x v="0"/>
    <x v="0"/>
    <x v="0"/>
    <m/>
    <x v="0"/>
    <x v="0"/>
    <n v="-0.51303204899999999"/>
    <m/>
    <x v="4"/>
    <x v="1"/>
    <x v="0"/>
    <x v="4"/>
    <x v="0"/>
  </r>
  <r>
    <s v="Singapore"/>
    <x v="3"/>
    <s v="SG4"/>
    <m/>
    <x v="4"/>
    <x v="3"/>
    <x v="0"/>
    <x v="1"/>
    <x v="0"/>
    <x v="0"/>
    <x v="0"/>
    <m/>
    <x v="0"/>
    <x v="0"/>
    <n v="1.1049561540000001"/>
    <m/>
    <x v="12"/>
    <x v="3"/>
    <x v="0"/>
    <x v="1"/>
    <x v="1"/>
  </r>
  <r>
    <s v="Singapore"/>
    <x v="0"/>
    <s v="SG3"/>
    <m/>
    <x v="3"/>
    <x v="1"/>
    <x v="0"/>
    <x v="1"/>
    <x v="0"/>
    <x v="0"/>
    <x v="0"/>
    <m/>
    <x v="0"/>
    <x v="0"/>
    <n v="0.11430312300000001"/>
    <m/>
    <x v="12"/>
    <x v="3"/>
    <x v="0"/>
    <x v="4"/>
    <x v="1"/>
  </r>
  <r>
    <s v="Singapore"/>
    <x v="3"/>
    <s v="SG4"/>
    <m/>
    <x v="1"/>
    <x v="1"/>
    <x v="0"/>
    <x v="1"/>
    <x v="0"/>
    <x v="0"/>
    <x v="0"/>
    <m/>
    <x v="0"/>
    <x v="0"/>
    <n v="8.7153288119999992"/>
    <m/>
    <x v="12"/>
    <x v="1"/>
    <x v="0"/>
    <x v="0"/>
    <x v="2"/>
  </r>
  <r>
    <s v="Singapore"/>
    <x v="5"/>
    <s v="SG2"/>
    <m/>
    <x v="3"/>
    <x v="0"/>
    <x v="1"/>
    <x v="3"/>
    <x v="0"/>
    <x v="0"/>
    <x v="0"/>
    <m/>
    <x v="0"/>
    <x v="0"/>
    <n v="7.543460853"/>
    <m/>
    <x v="12"/>
    <x v="1"/>
    <x v="0"/>
    <x v="4"/>
    <x v="0"/>
  </r>
  <r>
    <s v="Singapore"/>
    <x v="3"/>
    <s v="SG2"/>
    <m/>
    <x v="0"/>
    <x v="4"/>
    <x v="1"/>
    <x v="0"/>
    <x v="0"/>
    <x v="0"/>
    <x v="0"/>
    <m/>
    <x v="0"/>
    <x v="0"/>
    <n v="0.73560922200000001"/>
    <m/>
    <x v="12"/>
    <x v="0"/>
    <x v="0"/>
    <x v="1"/>
    <x v="2"/>
  </r>
  <r>
    <s v="Singapore"/>
    <x v="4"/>
    <s v="SG2"/>
    <m/>
    <x v="5"/>
    <x v="4"/>
    <x v="4"/>
    <x v="1"/>
    <x v="0"/>
    <x v="0"/>
    <x v="0"/>
    <m/>
    <x v="0"/>
    <x v="0"/>
    <n v="5.5450957860000001"/>
    <m/>
    <x v="12"/>
    <x v="2"/>
    <x v="0"/>
    <x v="5"/>
    <x v="1"/>
  </r>
  <r>
    <s v="Singapore"/>
    <x v="2"/>
    <s v="SG2"/>
    <m/>
    <x v="3"/>
    <x v="3"/>
    <x v="2"/>
    <x v="3"/>
    <x v="0"/>
    <x v="0"/>
    <x v="0"/>
    <m/>
    <x v="0"/>
    <x v="0"/>
    <n v="7.543460853"/>
    <m/>
    <x v="12"/>
    <x v="1"/>
    <x v="0"/>
    <x v="4"/>
    <x v="0"/>
  </r>
  <r>
    <s v="Singapore"/>
    <x v="5"/>
    <s v="SG4"/>
    <m/>
    <x v="4"/>
    <x v="2"/>
    <x v="2"/>
    <x v="0"/>
    <x v="0"/>
    <x v="0"/>
    <x v="0"/>
    <m/>
    <x v="0"/>
    <x v="0"/>
    <n v="5.0387471280000007"/>
    <m/>
    <x v="12"/>
    <x v="2"/>
    <x v="0"/>
    <x v="3"/>
    <x v="2"/>
  </r>
  <r>
    <s v="Singapore"/>
    <x v="3"/>
    <s v="SG4"/>
    <m/>
    <x v="1"/>
    <x v="2"/>
    <x v="0"/>
    <x v="0"/>
    <x v="0"/>
    <x v="0"/>
    <x v="0"/>
    <m/>
    <x v="0"/>
    <x v="0"/>
    <n v="22.142385962999999"/>
    <m/>
    <x v="12"/>
    <x v="2"/>
    <x v="0"/>
    <x v="4"/>
    <x v="0"/>
  </r>
  <r>
    <s v="Singapore"/>
    <x v="3"/>
    <s v="SG1"/>
    <m/>
    <x v="0"/>
    <x v="0"/>
    <x v="1"/>
    <x v="3"/>
    <x v="0"/>
    <x v="0"/>
    <x v="0"/>
    <m/>
    <x v="0"/>
    <x v="0"/>
    <n v="18.791140536"/>
    <m/>
    <x v="12"/>
    <x v="3"/>
    <x v="0"/>
    <x v="1"/>
    <x v="0"/>
  </r>
  <r>
    <s v="Singapore"/>
    <x v="2"/>
    <s v="SG2"/>
    <m/>
    <x v="1"/>
    <x v="4"/>
    <x v="0"/>
    <x v="5"/>
    <x v="0"/>
    <x v="0"/>
    <x v="0"/>
    <m/>
    <x v="0"/>
    <x v="0"/>
    <n v="7.543460853"/>
    <m/>
    <x v="12"/>
    <x v="2"/>
    <x v="0"/>
    <x v="2"/>
    <x v="2"/>
  </r>
  <r>
    <s v="Singapore"/>
    <x v="0"/>
    <s v="SG1"/>
    <m/>
    <x v="2"/>
    <x v="2"/>
    <x v="4"/>
    <x v="5"/>
    <x v="0"/>
    <x v="0"/>
    <x v="0"/>
    <m/>
    <x v="0"/>
    <x v="0"/>
    <n v="0.50387159700000006"/>
    <m/>
    <x v="12"/>
    <x v="2"/>
    <x v="0"/>
    <x v="2"/>
    <x v="2"/>
  </r>
  <r>
    <s v="Singapore"/>
    <x v="3"/>
    <s v="SG1"/>
    <m/>
    <x v="0"/>
    <x v="4"/>
    <x v="0"/>
    <x v="5"/>
    <x v="0"/>
    <x v="0"/>
    <x v="0"/>
    <m/>
    <x v="0"/>
    <x v="0"/>
    <n v="6.4755359820000002"/>
    <m/>
    <x v="12"/>
    <x v="1"/>
    <x v="0"/>
    <x v="5"/>
    <x v="2"/>
  </r>
  <r>
    <s v="Singapore"/>
    <x v="1"/>
    <s v="SG2"/>
    <m/>
    <x v="1"/>
    <x v="3"/>
    <x v="1"/>
    <x v="1"/>
    <x v="0"/>
    <x v="0"/>
    <x v="0"/>
    <m/>
    <x v="0"/>
    <x v="0"/>
    <n v="3.642463674"/>
    <m/>
    <x v="12"/>
    <x v="3"/>
    <x v="0"/>
    <x v="2"/>
    <x v="0"/>
  </r>
  <r>
    <s v="Singapore"/>
    <x v="1"/>
    <s v="SG2"/>
    <m/>
    <x v="1"/>
    <x v="0"/>
    <x v="2"/>
    <x v="5"/>
    <x v="0"/>
    <x v="0"/>
    <x v="0"/>
    <m/>
    <x v="0"/>
    <x v="0"/>
    <n v="7.543460853"/>
    <m/>
    <x v="12"/>
    <x v="2"/>
    <x v="0"/>
    <x v="1"/>
    <x v="2"/>
  </r>
  <r>
    <s v="Singapore"/>
    <x v="4"/>
    <s v="SG2"/>
    <m/>
    <x v="4"/>
    <x v="1"/>
    <x v="0"/>
    <x v="3"/>
    <x v="0"/>
    <x v="0"/>
    <x v="0"/>
    <m/>
    <x v="0"/>
    <x v="0"/>
    <n v="0.67432143600000005"/>
    <m/>
    <x v="12"/>
    <x v="0"/>
    <x v="0"/>
    <x v="5"/>
    <x v="2"/>
  </r>
  <r>
    <s v="Singapore"/>
    <x v="3"/>
    <s v="SG3"/>
    <m/>
    <x v="2"/>
    <x v="3"/>
    <x v="4"/>
    <x v="3"/>
    <x v="0"/>
    <x v="0"/>
    <x v="0"/>
    <m/>
    <x v="0"/>
    <x v="0"/>
    <n v="0.67432143600000005"/>
    <m/>
    <x v="12"/>
    <x v="1"/>
    <x v="0"/>
    <x v="3"/>
    <x v="1"/>
  </r>
  <r>
    <s v="Singapore"/>
    <x v="3"/>
    <s v="SG1"/>
    <m/>
    <x v="1"/>
    <x v="2"/>
    <x v="4"/>
    <x v="2"/>
    <x v="0"/>
    <x v="0"/>
    <x v="0"/>
    <m/>
    <x v="0"/>
    <x v="0"/>
    <n v="0.67432143600000005"/>
    <m/>
    <x v="12"/>
    <x v="1"/>
    <x v="0"/>
    <x v="4"/>
    <x v="1"/>
  </r>
  <r>
    <s v="Singapore"/>
    <x v="2"/>
    <s v="SG3"/>
    <m/>
    <x v="5"/>
    <x v="3"/>
    <x v="1"/>
    <x v="2"/>
    <x v="0"/>
    <x v="0"/>
    <x v="0"/>
    <m/>
    <x v="0"/>
    <x v="0"/>
    <n v="0.11430312300000001"/>
    <m/>
    <x v="12"/>
    <x v="2"/>
    <x v="0"/>
    <x v="2"/>
    <x v="0"/>
  </r>
  <r>
    <s v="Singapore"/>
    <x v="5"/>
    <s v="SG1"/>
    <m/>
    <x v="0"/>
    <x v="0"/>
    <x v="2"/>
    <x v="2"/>
    <x v="0"/>
    <x v="0"/>
    <x v="0"/>
    <m/>
    <x v="0"/>
    <x v="0"/>
    <n v="22.790519100000001"/>
    <m/>
    <x v="12"/>
    <x v="3"/>
    <x v="0"/>
    <x v="0"/>
    <x v="0"/>
  </r>
  <r>
    <s v="Singapore"/>
    <x v="2"/>
    <s v="SG2"/>
    <m/>
    <x v="1"/>
    <x v="3"/>
    <x v="0"/>
    <x v="2"/>
    <x v="0"/>
    <x v="0"/>
    <x v="0"/>
    <m/>
    <x v="0"/>
    <x v="0"/>
    <n v="0.55247807700000007"/>
    <m/>
    <x v="12"/>
    <x v="0"/>
    <x v="0"/>
    <x v="2"/>
    <x v="2"/>
  </r>
  <r>
    <s v="Singapore"/>
    <x v="0"/>
    <s v="SG4"/>
    <m/>
    <x v="3"/>
    <x v="4"/>
    <x v="4"/>
    <x v="5"/>
    <x v="0"/>
    <x v="0"/>
    <x v="0"/>
    <m/>
    <x v="0"/>
    <x v="0"/>
    <n v="0.67432143600000005"/>
    <m/>
    <x v="12"/>
    <x v="2"/>
    <x v="0"/>
    <x v="1"/>
    <x v="1"/>
  </r>
  <r>
    <s v="Singapore"/>
    <x v="1"/>
    <s v="SG3"/>
    <m/>
    <x v="1"/>
    <x v="2"/>
    <x v="0"/>
    <x v="3"/>
    <x v="0"/>
    <x v="0"/>
    <x v="0"/>
    <m/>
    <x v="0"/>
    <x v="0"/>
    <n v="0.50387159700000006"/>
    <m/>
    <x v="12"/>
    <x v="0"/>
    <x v="0"/>
    <x v="5"/>
    <x v="1"/>
  </r>
  <r>
    <s v="Singapore"/>
    <x v="5"/>
    <s v="SG4"/>
    <m/>
    <x v="2"/>
    <x v="4"/>
    <x v="3"/>
    <x v="2"/>
    <x v="0"/>
    <x v="0"/>
    <x v="0"/>
    <m/>
    <x v="0"/>
    <x v="0"/>
    <n v="0.11114058600000001"/>
    <m/>
    <x v="12"/>
    <x v="1"/>
    <x v="0"/>
    <x v="4"/>
    <x v="0"/>
  </r>
  <r>
    <s v="Singapore"/>
    <x v="1"/>
    <s v="SG3"/>
    <m/>
    <x v="2"/>
    <x v="3"/>
    <x v="1"/>
    <x v="0"/>
    <x v="0"/>
    <x v="0"/>
    <x v="0"/>
    <m/>
    <x v="0"/>
    <x v="0"/>
    <n v="7.3808005140000006"/>
    <m/>
    <x v="12"/>
    <x v="1"/>
    <x v="0"/>
    <x v="5"/>
    <x v="0"/>
  </r>
  <r>
    <s v="Singapore"/>
    <x v="3"/>
    <s v="SG2"/>
    <m/>
    <x v="3"/>
    <x v="2"/>
    <x v="3"/>
    <x v="4"/>
    <x v="0"/>
    <x v="0"/>
    <x v="0"/>
    <m/>
    <x v="0"/>
    <x v="0"/>
    <n v="3.7785929760000001"/>
    <m/>
    <x v="12"/>
    <x v="0"/>
    <x v="0"/>
    <x v="5"/>
    <x v="1"/>
  </r>
  <r>
    <s v="Singapore"/>
    <x v="0"/>
    <s v="SG1"/>
    <m/>
    <x v="2"/>
    <x v="2"/>
    <x v="3"/>
    <x v="3"/>
    <x v="0"/>
    <x v="0"/>
    <x v="0"/>
    <m/>
    <x v="0"/>
    <x v="0"/>
    <n v="8.0642668230000005"/>
    <m/>
    <x v="12"/>
    <x v="2"/>
    <x v="0"/>
    <x v="1"/>
    <x v="1"/>
  </r>
  <r>
    <s v="Singapore"/>
    <x v="0"/>
    <s v="SG3"/>
    <m/>
    <x v="5"/>
    <x v="3"/>
    <x v="3"/>
    <x v="0"/>
    <x v="0"/>
    <x v="0"/>
    <x v="0"/>
    <m/>
    <x v="0"/>
    <x v="0"/>
    <n v="12.951071964"/>
    <m/>
    <x v="12"/>
    <x v="2"/>
    <x v="0"/>
    <x v="0"/>
    <x v="1"/>
  </r>
  <r>
    <s v="Singapore"/>
    <x v="4"/>
    <s v="SG1"/>
    <m/>
    <x v="1"/>
    <x v="4"/>
    <x v="3"/>
    <x v="0"/>
    <x v="0"/>
    <x v="0"/>
    <x v="0"/>
    <m/>
    <x v="0"/>
    <x v="0"/>
    <n v="5.8825836630000001"/>
    <m/>
    <x v="12"/>
    <x v="2"/>
    <x v="0"/>
    <x v="4"/>
    <x v="2"/>
  </r>
  <r>
    <s v="Singapore"/>
    <x v="3"/>
    <s v="SG4"/>
    <m/>
    <x v="2"/>
    <x v="2"/>
    <x v="2"/>
    <x v="4"/>
    <x v="0"/>
    <x v="0"/>
    <x v="0"/>
    <m/>
    <x v="0"/>
    <x v="0"/>
    <n v="29.523170898"/>
    <m/>
    <x v="12"/>
    <x v="0"/>
    <x v="0"/>
    <x v="5"/>
    <x v="2"/>
  </r>
  <r>
    <s v="Singapore"/>
    <x v="3"/>
    <s v="SG2"/>
    <m/>
    <x v="0"/>
    <x v="4"/>
    <x v="1"/>
    <x v="1"/>
    <x v="0"/>
    <x v="0"/>
    <x v="0"/>
    <m/>
    <x v="0"/>
    <x v="0"/>
    <n v="2.6735277690000001"/>
    <m/>
    <x v="12"/>
    <x v="3"/>
    <x v="0"/>
    <x v="2"/>
    <x v="0"/>
  </r>
  <r>
    <s v="Singapore"/>
    <x v="3"/>
    <s v="SG3"/>
    <m/>
    <x v="5"/>
    <x v="4"/>
    <x v="2"/>
    <x v="5"/>
    <x v="0"/>
    <x v="0"/>
    <x v="0"/>
    <m/>
    <x v="0"/>
    <x v="0"/>
    <n v="4.33641465"/>
    <m/>
    <x v="12"/>
    <x v="3"/>
    <x v="0"/>
    <x v="0"/>
    <x v="2"/>
  </r>
  <r>
    <s v="Singapore"/>
    <x v="4"/>
    <s v="SG2"/>
    <m/>
    <x v="3"/>
    <x v="0"/>
    <x v="1"/>
    <x v="0"/>
    <x v="0"/>
    <x v="0"/>
    <x v="0"/>
    <m/>
    <x v="0"/>
    <x v="0"/>
    <n v="1.1049561540000001"/>
    <m/>
    <x v="12"/>
    <x v="1"/>
    <x v="0"/>
    <x v="1"/>
    <x v="0"/>
  </r>
  <r>
    <s v="Singapore"/>
    <x v="0"/>
    <s v="SG3"/>
    <m/>
    <x v="1"/>
    <x v="3"/>
    <x v="1"/>
    <x v="2"/>
    <x v="0"/>
    <x v="0"/>
    <x v="0"/>
    <m/>
    <x v="0"/>
    <x v="0"/>
    <n v="8.0810142480000007"/>
    <m/>
    <x v="12"/>
    <x v="0"/>
    <x v="0"/>
    <x v="2"/>
    <x v="0"/>
  </r>
  <r>
    <s v="Singapore"/>
    <x v="2"/>
    <s v="SG4"/>
    <m/>
    <x v="0"/>
    <x v="3"/>
    <x v="3"/>
    <x v="2"/>
    <x v="0"/>
    <x v="0"/>
    <x v="0"/>
    <m/>
    <x v="0"/>
    <x v="0"/>
    <n v="0.11430312300000001"/>
    <m/>
    <x v="12"/>
    <x v="2"/>
    <x v="0"/>
    <x v="4"/>
    <x v="0"/>
  </r>
  <r>
    <s v="Singapore"/>
    <x v="3"/>
    <s v="SG4"/>
    <m/>
    <x v="4"/>
    <x v="0"/>
    <x v="1"/>
    <x v="4"/>
    <x v="0"/>
    <x v="0"/>
    <x v="0"/>
    <m/>
    <x v="0"/>
    <x v="0"/>
    <n v="21.581090172000003"/>
    <m/>
    <x v="12"/>
    <x v="0"/>
    <x v="0"/>
    <x v="1"/>
    <x v="0"/>
  </r>
  <r>
    <s v="Singapore"/>
    <x v="0"/>
    <s v="SG3"/>
    <m/>
    <x v="5"/>
    <x v="3"/>
    <x v="4"/>
    <x v="1"/>
    <x v="0"/>
    <x v="0"/>
    <x v="0"/>
    <m/>
    <x v="0"/>
    <x v="0"/>
    <n v="49.509781578000002"/>
    <m/>
    <x v="12"/>
    <x v="2"/>
    <x v="0"/>
    <x v="2"/>
    <x v="1"/>
  </r>
  <r>
    <s v="Singapore"/>
    <x v="2"/>
    <s v="SG2"/>
    <m/>
    <x v="3"/>
    <x v="4"/>
    <x v="2"/>
    <x v="0"/>
    <x v="0"/>
    <x v="0"/>
    <x v="0"/>
    <m/>
    <x v="0"/>
    <x v="0"/>
    <n v="0.16977994200000002"/>
    <m/>
    <x v="12"/>
    <x v="0"/>
    <x v="0"/>
    <x v="2"/>
    <x v="0"/>
  </r>
  <r>
    <s v="Singapore"/>
    <x v="3"/>
    <s v="SG4"/>
    <m/>
    <x v="4"/>
    <x v="3"/>
    <x v="0"/>
    <x v="3"/>
    <x v="0"/>
    <x v="0"/>
    <x v="0"/>
    <m/>
    <x v="0"/>
    <x v="0"/>
    <n v="7.5434452740000006"/>
    <m/>
    <x v="12"/>
    <x v="2"/>
    <x v="0"/>
    <x v="2"/>
    <x v="2"/>
  </r>
  <r>
    <s v="Singapore"/>
    <x v="5"/>
    <s v="SG3"/>
    <m/>
    <x v="3"/>
    <x v="4"/>
    <x v="1"/>
    <x v="1"/>
    <x v="0"/>
    <x v="0"/>
    <x v="0"/>
    <m/>
    <x v="0"/>
    <x v="0"/>
    <n v="13.851849744000001"/>
    <m/>
    <x v="12"/>
    <x v="1"/>
    <x v="0"/>
    <x v="3"/>
    <x v="1"/>
  </r>
  <r>
    <s v="Singapore"/>
    <x v="3"/>
    <s v="SG2"/>
    <m/>
    <x v="1"/>
    <x v="0"/>
    <x v="3"/>
    <x v="1"/>
    <x v="0"/>
    <x v="0"/>
    <x v="0"/>
    <m/>
    <x v="0"/>
    <x v="0"/>
    <n v="7.543460853"/>
    <m/>
    <x v="12"/>
    <x v="2"/>
    <x v="0"/>
    <x v="0"/>
    <x v="1"/>
  </r>
  <r>
    <s v="Singapore"/>
    <x v="2"/>
    <s v="SG4"/>
    <m/>
    <x v="4"/>
    <x v="1"/>
    <x v="4"/>
    <x v="4"/>
    <x v="0"/>
    <x v="0"/>
    <x v="0"/>
    <m/>
    <x v="0"/>
    <x v="0"/>
    <n v="3.7477309770000002"/>
    <m/>
    <x v="12"/>
    <x v="3"/>
    <x v="0"/>
    <x v="0"/>
    <x v="2"/>
  </r>
  <r>
    <s v="Singapore"/>
    <x v="3"/>
    <s v="SG3"/>
    <m/>
    <x v="1"/>
    <x v="4"/>
    <x v="2"/>
    <x v="4"/>
    <x v="0"/>
    <x v="0"/>
    <x v="0"/>
    <m/>
    <x v="0"/>
    <x v="0"/>
    <n v="0.50387159700000006"/>
    <m/>
    <x v="12"/>
    <x v="0"/>
    <x v="0"/>
    <x v="0"/>
    <x v="2"/>
  </r>
  <r>
    <s v="Singapore"/>
    <x v="4"/>
    <s v="SG2"/>
    <m/>
    <x v="0"/>
    <x v="0"/>
    <x v="4"/>
    <x v="3"/>
    <x v="0"/>
    <x v="0"/>
    <x v="0"/>
    <m/>
    <x v="0"/>
    <x v="0"/>
    <n v="3.1957202700000003"/>
    <m/>
    <x v="12"/>
    <x v="3"/>
    <x v="0"/>
    <x v="3"/>
    <x v="2"/>
  </r>
  <r>
    <s v="Singapore"/>
    <x v="2"/>
    <s v="SG1"/>
    <m/>
    <x v="3"/>
    <x v="3"/>
    <x v="1"/>
    <x v="4"/>
    <x v="0"/>
    <x v="0"/>
    <x v="0"/>
    <m/>
    <x v="0"/>
    <x v="0"/>
    <n v="9.6712562520000009"/>
    <m/>
    <x v="12"/>
    <x v="1"/>
    <x v="0"/>
    <x v="1"/>
    <x v="0"/>
  </r>
  <r>
    <s v="Singapore"/>
    <x v="5"/>
    <s v="SG1"/>
    <m/>
    <x v="5"/>
    <x v="0"/>
    <x v="3"/>
    <x v="3"/>
    <x v="0"/>
    <x v="0"/>
    <x v="0"/>
    <m/>
    <x v="0"/>
    <x v="0"/>
    <n v="11.023264188000001"/>
    <m/>
    <x v="12"/>
    <x v="1"/>
    <x v="0"/>
    <x v="0"/>
    <x v="0"/>
  </r>
  <r>
    <s v="Singapore"/>
    <x v="2"/>
    <s v="SG2"/>
    <m/>
    <x v="3"/>
    <x v="1"/>
    <x v="1"/>
    <x v="0"/>
    <x v="0"/>
    <x v="0"/>
    <x v="0"/>
    <m/>
    <x v="0"/>
    <x v="0"/>
    <n v="1.0002185370000001"/>
    <m/>
    <x v="12"/>
    <x v="0"/>
    <x v="0"/>
    <x v="5"/>
    <x v="2"/>
  </r>
  <r>
    <s v="Singapore"/>
    <x v="3"/>
    <s v="SG2"/>
    <m/>
    <x v="2"/>
    <x v="3"/>
    <x v="0"/>
    <x v="3"/>
    <x v="0"/>
    <x v="0"/>
    <x v="0"/>
    <m/>
    <x v="0"/>
    <x v="0"/>
    <n v="7.543460853"/>
    <m/>
    <x v="12"/>
    <x v="2"/>
    <x v="0"/>
    <x v="4"/>
    <x v="2"/>
  </r>
  <r>
    <s v="Singapore"/>
    <x v="2"/>
    <s v="SG3"/>
    <m/>
    <x v="2"/>
    <x v="0"/>
    <x v="1"/>
    <x v="0"/>
    <x v="0"/>
    <x v="0"/>
    <x v="0"/>
    <m/>
    <x v="0"/>
    <x v="0"/>
    <n v="0.67432143600000005"/>
    <m/>
    <x v="12"/>
    <x v="0"/>
    <x v="0"/>
    <x v="2"/>
    <x v="0"/>
  </r>
  <r>
    <s v="Singapore"/>
    <x v="4"/>
    <s v="SG2"/>
    <m/>
    <x v="5"/>
    <x v="1"/>
    <x v="1"/>
    <x v="5"/>
    <x v="0"/>
    <x v="0"/>
    <x v="0"/>
    <m/>
    <x v="0"/>
    <x v="0"/>
    <n v="7.543460853"/>
    <m/>
    <x v="12"/>
    <x v="0"/>
    <x v="0"/>
    <x v="0"/>
    <x v="2"/>
  </r>
  <r>
    <s v="Singapore"/>
    <x v="5"/>
    <s v="SG2"/>
    <m/>
    <x v="3"/>
    <x v="1"/>
    <x v="1"/>
    <x v="0"/>
    <x v="0"/>
    <x v="0"/>
    <x v="0"/>
    <m/>
    <x v="0"/>
    <x v="0"/>
    <n v="2.7033615540000002"/>
    <m/>
    <x v="12"/>
    <x v="1"/>
    <x v="0"/>
    <x v="0"/>
    <x v="2"/>
  </r>
  <r>
    <s v="Singapore"/>
    <x v="4"/>
    <s v="SG2"/>
    <m/>
    <x v="5"/>
    <x v="0"/>
    <x v="1"/>
    <x v="2"/>
    <x v="0"/>
    <x v="0"/>
    <x v="0"/>
    <m/>
    <x v="0"/>
    <x v="0"/>
    <n v="0.7779373650000001"/>
    <m/>
    <x v="12"/>
    <x v="1"/>
    <x v="0"/>
    <x v="4"/>
    <x v="1"/>
  </r>
  <r>
    <s v="Singapore"/>
    <x v="5"/>
    <s v="SG3"/>
    <m/>
    <x v="1"/>
    <x v="0"/>
    <x v="1"/>
    <x v="5"/>
    <x v="0"/>
    <x v="0"/>
    <x v="0"/>
    <m/>
    <x v="0"/>
    <x v="0"/>
    <n v="41.274457335000001"/>
    <m/>
    <x v="12"/>
    <x v="2"/>
    <x v="0"/>
    <x v="2"/>
    <x v="2"/>
  </r>
  <r>
    <s v="Singapore"/>
    <x v="2"/>
    <s v="SG4"/>
    <m/>
    <x v="2"/>
    <x v="0"/>
    <x v="0"/>
    <x v="3"/>
    <x v="0"/>
    <x v="0"/>
    <x v="0"/>
    <m/>
    <x v="0"/>
    <x v="0"/>
    <n v="7.543460853"/>
    <m/>
    <x v="12"/>
    <x v="0"/>
    <x v="0"/>
    <x v="3"/>
    <x v="1"/>
  </r>
  <r>
    <s v="Singapore"/>
    <x v="1"/>
    <s v="SG4"/>
    <m/>
    <x v="4"/>
    <x v="4"/>
    <x v="4"/>
    <x v="3"/>
    <x v="0"/>
    <x v="0"/>
    <x v="0"/>
    <m/>
    <x v="0"/>
    <x v="0"/>
    <n v="10.581381432000001"/>
    <m/>
    <x v="12"/>
    <x v="1"/>
    <x v="0"/>
    <x v="3"/>
    <x v="2"/>
  </r>
  <r>
    <s v="Singapore"/>
    <x v="3"/>
    <s v="SG4"/>
    <m/>
    <x v="3"/>
    <x v="2"/>
    <x v="1"/>
    <x v="3"/>
    <x v="0"/>
    <x v="0"/>
    <x v="0"/>
    <m/>
    <x v="0"/>
    <x v="0"/>
    <n v="5.8825680840000008"/>
    <m/>
    <x v="12"/>
    <x v="2"/>
    <x v="0"/>
    <x v="2"/>
    <x v="0"/>
  </r>
  <r>
    <s v="Singapore"/>
    <x v="2"/>
    <s v="SG1"/>
    <m/>
    <x v="2"/>
    <x v="1"/>
    <x v="3"/>
    <x v="0"/>
    <x v="0"/>
    <x v="0"/>
    <x v="0"/>
    <m/>
    <x v="0"/>
    <x v="0"/>
    <n v="0.96837506100000015"/>
    <m/>
    <x v="12"/>
    <x v="2"/>
    <x v="0"/>
    <x v="1"/>
    <x v="2"/>
  </r>
  <r>
    <s v="Singapore"/>
    <x v="3"/>
    <s v="SG3"/>
    <m/>
    <x v="3"/>
    <x v="3"/>
    <x v="1"/>
    <x v="2"/>
    <x v="0"/>
    <x v="0"/>
    <x v="0"/>
    <m/>
    <x v="0"/>
    <x v="0"/>
    <n v="5.8825680840000008"/>
    <m/>
    <x v="12"/>
    <x v="2"/>
    <x v="0"/>
    <x v="0"/>
    <x v="1"/>
  </r>
  <r>
    <s v="Singapore"/>
    <x v="2"/>
    <s v="SG3"/>
    <m/>
    <x v="5"/>
    <x v="0"/>
    <x v="3"/>
    <x v="4"/>
    <x v="0"/>
    <x v="0"/>
    <x v="0"/>
    <m/>
    <x v="0"/>
    <x v="0"/>
    <n v="9.6712562520000009"/>
    <m/>
    <x v="12"/>
    <x v="1"/>
    <x v="0"/>
    <x v="0"/>
    <x v="1"/>
  </r>
  <r>
    <s v="Singapore"/>
    <x v="1"/>
    <s v="SG3"/>
    <m/>
    <x v="3"/>
    <x v="2"/>
    <x v="4"/>
    <x v="4"/>
    <x v="0"/>
    <x v="0"/>
    <x v="0"/>
    <m/>
    <x v="0"/>
    <x v="0"/>
    <n v="1.7144222130000002"/>
    <m/>
    <x v="12"/>
    <x v="2"/>
    <x v="0"/>
    <x v="3"/>
    <x v="1"/>
  </r>
  <r>
    <s v="Singapore"/>
    <x v="2"/>
    <s v="SG4"/>
    <m/>
    <x v="4"/>
    <x v="1"/>
    <x v="3"/>
    <x v="1"/>
    <x v="0"/>
    <x v="0"/>
    <x v="0"/>
    <m/>
    <x v="0"/>
    <x v="0"/>
    <n v="2.6694460710000003"/>
    <m/>
    <x v="12"/>
    <x v="0"/>
    <x v="0"/>
    <x v="0"/>
    <x v="1"/>
  </r>
  <r>
    <s v="Singapore"/>
    <x v="1"/>
    <s v="SG2"/>
    <m/>
    <x v="0"/>
    <x v="3"/>
    <x v="1"/>
    <x v="5"/>
    <x v="0"/>
    <x v="0"/>
    <x v="0"/>
    <m/>
    <x v="0"/>
    <x v="0"/>
    <n v="11.315183490000001"/>
    <m/>
    <x v="12"/>
    <x v="0"/>
    <x v="0"/>
    <x v="4"/>
    <x v="2"/>
  </r>
  <r>
    <s v="Singapore"/>
    <x v="5"/>
    <s v="SG3"/>
    <m/>
    <x v="4"/>
    <x v="1"/>
    <x v="0"/>
    <x v="2"/>
    <x v="0"/>
    <x v="0"/>
    <x v="0"/>
    <m/>
    <x v="0"/>
    <x v="0"/>
    <n v="0.67427469900000003"/>
    <m/>
    <x v="12"/>
    <x v="0"/>
    <x v="0"/>
    <x v="1"/>
    <x v="1"/>
  </r>
  <r>
    <s v="Singapore"/>
    <x v="5"/>
    <s v="SG4"/>
    <m/>
    <x v="3"/>
    <x v="1"/>
    <x v="0"/>
    <x v="2"/>
    <x v="0"/>
    <x v="0"/>
    <x v="0"/>
    <m/>
    <x v="0"/>
    <x v="0"/>
    <n v="0.67432143600000005"/>
    <m/>
    <x v="12"/>
    <x v="1"/>
    <x v="0"/>
    <x v="3"/>
    <x v="1"/>
  </r>
  <r>
    <s v="Singapore"/>
    <x v="2"/>
    <s v="SG2"/>
    <m/>
    <x v="0"/>
    <x v="2"/>
    <x v="3"/>
    <x v="0"/>
    <x v="0"/>
    <x v="0"/>
    <x v="0"/>
    <m/>
    <x v="0"/>
    <x v="0"/>
    <n v="2.6735277690000001"/>
    <m/>
    <x v="12"/>
    <x v="1"/>
    <x v="0"/>
    <x v="0"/>
    <x v="0"/>
  </r>
  <r>
    <s v="Singapore"/>
    <x v="0"/>
    <s v="SG4"/>
    <m/>
    <x v="1"/>
    <x v="2"/>
    <x v="3"/>
    <x v="4"/>
    <x v="0"/>
    <x v="0"/>
    <x v="0"/>
    <m/>
    <x v="0"/>
    <x v="0"/>
    <n v="1.51163037"/>
    <m/>
    <x v="12"/>
    <x v="1"/>
    <x v="0"/>
    <x v="3"/>
    <x v="2"/>
  </r>
  <r>
    <s v="Singapore"/>
    <x v="1"/>
    <s v="SG3"/>
    <m/>
    <x v="5"/>
    <x v="4"/>
    <x v="1"/>
    <x v="0"/>
    <x v="0"/>
    <x v="0"/>
    <x v="0"/>
    <m/>
    <x v="0"/>
    <x v="0"/>
    <n v="4.3342647479999998"/>
    <m/>
    <x v="12"/>
    <x v="0"/>
    <x v="0"/>
    <x v="1"/>
    <x v="2"/>
  </r>
  <r>
    <s v="Singapore"/>
    <x v="0"/>
    <s v="SG1"/>
    <m/>
    <x v="2"/>
    <x v="3"/>
    <x v="4"/>
    <x v="2"/>
    <x v="0"/>
    <x v="0"/>
    <x v="0"/>
    <m/>
    <x v="0"/>
    <x v="0"/>
    <n v="9.6712562520000009"/>
    <m/>
    <x v="12"/>
    <x v="1"/>
    <x v="0"/>
    <x v="3"/>
    <x v="2"/>
  </r>
  <r>
    <s v="Singapore"/>
    <x v="3"/>
    <s v="SG2"/>
    <m/>
    <x v="0"/>
    <x v="2"/>
    <x v="4"/>
    <x v="2"/>
    <x v="0"/>
    <x v="0"/>
    <x v="0"/>
    <m/>
    <x v="0"/>
    <x v="0"/>
    <n v="0.67432143600000005"/>
    <m/>
    <x v="12"/>
    <x v="1"/>
    <x v="0"/>
    <x v="3"/>
    <x v="2"/>
  </r>
  <r>
    <s v="Singapore"/>
    <x v="3"/>
    <s v="SG4"/>
    <m/>
    <x v="3"/>
    <x v="0"/>
    <x v="4"/>
    <x v="5"/>
    <x v="0"/>
    <x v="0"/>
    <x v="0"/>
    <m/>
    <x v="0"/>
    <x v="0"/>
    <n v="5.4067231080000004"/>
    <m/>
    <x v="12"/>
    <x v="1"/>
    <x v="0"/>
    <x v="2"/>
    <x v="2"/>
  </r>
  <r>
    <s v="Singapore"/>
    <x v="4"/>
    <s v="SG1"/>
    <m/>
    <x v="1"/>
    <x v="1"/>
    <x v="2"/>
    <x v="5"/>
    <x v="0"/>
    <x v="0"/>
    <x v="0"/>
    <m/>
    <x v="0"/>
    <x v="0"/>
    <n v="0.11430312300000001"/>
    <m/>
    <x v="12"/>
    <x v="3"/>
    <x v="0"/>
    <x v="5"/>
    <x v="2"/>
  </r>
  <r>
    <s v="Singapore"/>
    <x v="1"/>
    <s v="SG2"/>
    <m/>
    <x v="1"/>
    <x v="2"/>
    <x v="4"/>
    <x v="4"/>
    <x v="0"/>
    <x v="0"/>
    <x v="0"/>
    <m/>
    <x v="0"/>
    <x v="0"/>
    <n v="4.4093087909999999"/>
    <m/>
    <x v="12"/>
    <x v="2"/>
    <x v="0"/>
    <x v="1"/>
    <x v="2"/>
  </r>
  <r>
    <s v="Singapore"/>
    <x v="0"/>
    <s v="SG1"/>
    <m/>
    <x v="5"/>
    <x v="2"/>
    <x v="4"/>
    <x v="0"/>
    <x v="0"/>
    <x v="0"/>
    <x v="0"/>
    <m/>
    <x v="0"/>
    <x v="0"/>
    <n v="9.6712562520000009"/>
    <m/>
    <x v="12"/>
    <x v="1"/>
    <x v="0"/>
    <x v="0"/>
    <x v="1"/>
  </r>
  <r>
    <s v="Singapore"/>
    <x v="3"/>
    <s v="SG1"/>
    <m/>
    <x v="2"/>
    <x v="2"/>
    <x v="3"/>
    <x v="4"/>
    <x v="0"/>
    <x v="0"/>
    <x v="0"/>
    <m/>
    <x v="0"/>
    <x v="0"/>
    <n v="0.66735762300000001"/>
    <m/>
    <x v="12"/>
    <x v="3"/>
    <x v="0"/>
    <x v="4"/>
    <x v="1"/>
  </r>
  <r>
    <s v="Singapore"/>
    <x v="2"/>
    <s v="SG3"/>
    <m/>
    <x v="0"/>
    <x v="1"/>
    <x v="3"/>
    <x v="4"/>
    <x v="0"/>
    <x v="0"/>
    <x v="0"/>
    <m/>
    <x v="0"/>
    <x v="0"/>
    <n v="3.4289223209999999"/>
    <m/>
    <x v="12"/>
    <x v="0"/>
    <x v="0"/>
    <x v="0"/>
    <x v="0"/>
  </r>
  <r>
    <s v="Singapore"/>
    <x v="1"/>
    <s v="SG3"/>
    <m/>
    <x v="5"/>
    <x v="4"/>
    <x v="4"/>
    <x v="4"/>
    <x v="0"/>
    <x v="0"/>
    <x v="0"/>
    <m/>
    <x v="0"/>
    <x v="0"/>
    <n v="5.7818965860000002"/>
    <m/>
    <x v="12"/>
    <x v="1"/>
    <x v="0"/>
    <x v="2"/>
    <x v="1"/>
  </r>
  <r>
    <s v="Singapore"/>
    <x v="2"/>
    <s v="SG1"/>
    <m/>
    <x v="0"/>
    <x v="2"/>
    <x v="0"/>
    <x v="5"/>
    <x v="0"/>
    <x v="0"/>
    <x v="0"/>
    <m/>
    <x v="0"/>
    <x v="0"/>
    <n v="18.643389300000003"/>
    <m/>
    <x v="12"/>
    <x v="1"/>
    <x v="0"/>
    <x v="5"/>
    <x v="0"/>
  </r>
  <r>
    <s v="Singapore"/>
    <x v="5"/>
    <s v="SG2"/>
    <m/>
    <x v="5"/>
    <x v="2"/>
    <x v="3"/>
    <x v="0"/>
    <x v="0"/>
    <x v="0"/>
    <x v="0"/>
    <m/>
    <x v="0"/>
    <x v="0"/>
    <n v="2.772547893"/>
    <m/>
    <x v="12"/>
    <x v="2"/>
    <x v="0"/>
    <x v="4"/>
    <x v="2"/>
  </r>
  <r>
    <s v="Singapore"/>
    <x v="1"/>
    <s v="SG1"/>
    <m/>
    <x v="0"/>
    <x v="0"/>
    <x v="2"/>
    <x v="0"/>
    <x v="0"/>
    <x v="0"/>
    <x v="0"/>
    <m/>
    <x v="0"/>
    <x v="0"/>
    <n v="2.772547893"/>
    <m/>
    <x v="12"/>
    <x v="1"/>
    <x v="0"/>
    <x v="0"/>
    <x v="0"/>
  </r>
  <r>
    <s v="Singapore"/>
    <x v="4"/>
    <s v="SG3"/>
    <m/>
    <x v="4"/>
    <x v="2"/>
    <x v="1"/>
    <x v="2"/>
    <x v="0"/>
    <x v="0"/>
    <x v="0"/>
    <m/>
    <x v="0"/>
    <x v="0"/>
    <n v="1.1113591230000002"/>
    <m/>
    <x v="12"/>
    <x v="1"/>
    <x v="0"/>
    <x v="3"/>
    <x v="0"/>
  </r>
  <r>
    <s v="Singapore"/>
    <x v="0"/>
    <s v="SG2"/>
    <m/>
    <x v="3"/>
    <x v="0"/>
    <x v="4"/>
    <x v="2"/>
    <x v="0"/>
    <x v="0"/>
    <x v="0"/>
    <m/>
    <x v="0"/>
    <x v="0"/>
    <n v="4.0310039340000001"/>
    <m/>
    <x v="12"/>
    <x v="0"/>
    <x v="0"/>
    <x v="2"/>
    <x v="2"/>
  </r>
  <r>
    <s v="Singapore"/>
    <x v="4"/>
    <s v="SG3"/>
    <m/>
    <x v="5"/>
    <x v="4"/>
    <x v="3"/>
    <x v="4"/>
    <x v="0"/>
    <x v="0"/>
    <x v="0"/>
    <m/>
    <x v="0"/>
    <x v="0"/>
    <n v="5.8825680840000008"/>
    <m/>
    <x v="12"/>
    <x v="3"/>
    <x v="0"/>
    <x v="2"/>
    <x v="2"/>
  </r>
  <r>
    <s v="Singapore"/>
    <x v="1"/>
    <s v="SG2"/>
    <m/>
    <x v="2"/>
    <x v="2"/>
    <x v="2"/>
    <x v="0"/>
    <x v="0"/>
    <x v="0"/>
    <x v="0"/>
    <m/>
    <x v="0"/>
    <x v="0"/>
    <n v="1.51163037"/>
    <m/>
    <x v="12"/>
    <x v="3"/>
    <x v="0"/>
    <x v="5"/>
    <x v="2"/>
  </r>
  <r>
    <s v="Singapore"/>
    <x v="3"/>
    <s v="SG4"/>
    <m/>
    <x v="1"/>
    <x v="4"/>
    <x v="4"/>
    <x v="3"/>
    <x v="0"/>
    <x v="0"/>
    <x v="0"/>
    <m/>
    <x v="0"/>
    <x v="0"/>
    <n v="7.5581206920000001"/>
    <m/>
    <x v="12"/>
    <x v="0"/>
    <x v="0"/>
    <x v="0"/>
    <x v="2"/>
  </r>
  <r>
    <s v="Singapore"/>
    <x v="1"/>
    <s v="SG2"/>
    <m/>
    <x v="1"/>
    <x v="4"/>
    <x v="2"/>
    <x v="3"/>
    <x v="0"/>
    <x v="0"/>
    <x v="0"/>
    <m/>
    <x v="0"/>
    <x v="0"/>
    <n v="7.543460853"/>
    <m/>
    <x v="12"/>
    <x v="2"/>
    <x v="0"/>
    <x v="0"/>
    <x v="1"/>
  </r>
  <r>
    <s v="Singapore"/>
    <x v="3"/>
    <s v="SG3"/>
    <m/>
    <x v="2"/>
    <x v="2"/>
    <x v="3"/>
    <x v="1"/>
    <x v="0"/>
    <x v="0"/>
    <x v="0"/>
    <m/>
    <x v="0"/>
    <x v="0"/>
    <n v="27.527438682000003"/>
    <m/>
    <x v="12"/>
    <x v="1"/>
    <x v="0"/>
    <x v="0"/>
    <x v="2"/>
  </r>
  <r>
    <s v="Singapore"/>
    <x v="3"/>
    <s v="SG3"/>
    <m/>
    <x v="4"/>
    <x v="2"/>
    <x v="3"/>
    <x v="0"/>
    <x v="0"/>
    <x v="0"/>
    <x v="0"/>
    <m/>
    <x v="0"/>
    <x v="0"/>
    <n v="17.733061593000002"/>
    <m/>
    <x v="12"/>
    <x v="3"/>
    <x v="0"/>
    <x v="2"/>
    <x v="2"/>
  </r>
  <r>
    <s v="Singapore"/>
    <x v="4"/>
    <s v="SG4"/>
    <m/>
    <x v="5"/>
    <x v="4"/>
    <x v="1"/>
    <x v="4"/>
    <x v="0"/>
    <x v="0"/>
    <x v="0"/>
    <m/>
    <x v="0"/>
    <x v="0"/>
    <n v="0.11430312300000001"/>
    <m/>
    <x v="12"/>
    <x v="3"/>
    <x v="0"/>
    <x v="3"/>
    <x v="1"/>
  </r>
  <r>
    <s v="Singapore"/>
    <x v="4"/>
    <s v="SG3"/>
    <m/>
    <x v="2"/>
    <x v="3"/>
    <x v="4"/>
    <x v="1"/>
    <x v="0"/>
    <x v="0"/>
    <x v="0"/>
    <m/>
    <x v="0"/>
    <x v="0"/>
    <n v="7.543460853"/>
    <m/>
    <x v="12"/>
    <x v="3"/>
    <x v="0"/>
    <x v="1"/>
    <x v="1"/>
  </r>
  <r>
    <s v="Singapore"/>
    <x v="0"/>
    <s v="SG4"/>
    <m/>
    <x v="0"/>
    <x v="1"/>
    <x v="3"/>
    <x v="1"/>
    <x v="0"/>
    <x v="0"/>
    <x v="0"/>
    <m/>
    <x v="0"/>
    <x v="0"/>
    <n v="8.0642979810000011"/>
    <m/>
    <x v="12"/>
    <x v="2"/>
    <x v="0"/>
    <x v="1"/>
    <x v="2"/>
  </r>
  <r>
    <s v="Singapore"/>
    <x v="1"/>
    <s v="SG3"/>
    <m/>
    <x v="5"/>
    <x v="4"/>
    <x v="1"/>
    <x v="4"/>
    <x v="0"/>
    <x v="0"/>
    <x v="0"/>
    <m/>
    <x v="0"/>
    <x v="0"/>
    <n v="3.3368192730000001"/>
    <m/>
    <x v="12"/>
    <x v="1"/>
    <x v="0"/>
    <x v="3"/>
    <x v="0"/>
  </r>
  <r>
    <s v="Singapore"/>
    <x v="1"/>
    <s v="SG1"/>
    <m/>
    <x v="0"/>
    <x v="1"/>
    <x v="3"/>
    <x v="1"/>
    <x v="0"/>
    <x v="0"/>
    <x v="0"/>
    <m/>
    <x v="0"/>
    <x v="0"/>
    <n v="5.5450957860000001"/>
    <m/>
    <x v="12"/>
    <x v="2"/>
    <x v="0"/>
    <x v="5"/>
    <x v="1"/>
  </r>
  <r>
    <s v="Singapore"/>
    <x v="3"/>
    <s v="SG1"/>
    <m/>
    <x v="1"/>
    <x v="4"/>
    <x v="3"/>
    <x v="4"/>
    <x v="0"/>
    <x v="0"/>
    <x v="0"/>
    <m/>
    <x v="0"/>
    <x v="0"/>
    <n v="2.7623903850000002"/>
    <m/>
    <x v="12"/>
    <x v="0"/>
    <x v="0"/>
    <x v="4"/>
    <x v="1"/>
  </r>
  <r>
    <s v="Singapore"/>
    <x v="3"/>
    <s v="SG4"/>
    <m/>
    <x v="3"/>
    <x v="0"/>
    <x v="1"/>
    <x v="2"/>
    <x v="0"/>
    <x v="0"/>
    <x v="0"/>
    <m/>
    <x v="0"/>
    <x v="0"/>
    <n v="3.2320193399999999"/>
    <m/>
    <x v="13"/>
    <x v="2"/>
    <x v="0"/>
    <x v="1"/>
    <x v="0"/>
  </r>
  <r>
    <s v="Singapore"/>
    <x v="4"/>
    <s v="SG2"/>
    <m/>
    <x v="2"/>
    <x v="3"/>
    <x v="2"/>
    <x v="1"/>
    <x v="0"/>
    <x v="0"/>
    <x v="0"/>
    <m/>
    <x v="0"/>
    <x v="0"/>
    <n v="3.023915058"/>
    <m/>
    <x v="13"/>
    <x v="1"/>
    <x v="0"/>
    <x v="0"/>
    <x v="0"/>
  </r>
  <r>
    <s v="Singapore"/>
    <x v="5"/>
    <s v="SG3"/>
    <m/>
    <x v="3"/>
    <x v="0"/>
    <x v="3"/>
    <x v="4"/>
    <x v="0"/>
    <x v="0"/>
    <x v="0"/>
    <m/>
    <x v="0"/>
    <x v="0"/>
    <n v="11.635456572000001"/>
    <m/>
    <x v="13"/>
    <x v="1"/>
    <x v="0"/>
    <x v="4"/>
    <x v="0"/>
  </r>
  <r>
    <s v="Singapore"/>
    <x v="2"/>
    <s v="SG2"/>
    <m/>
    <x v="0"/>
    <x v="4"/>
    <x v="4"/>
    <x v="1"/>
    <x v="0"/>
    <x v="0"/>
    <x v="0"/>
    <m/>
    <x v="0"/>
    <x v="0"/>
    <n v="23.943848049"/>
    <m/>
    <x v="13"/>
    <x v="0"/>
    <x v="0"/>
    <x v="2"/>
    <x v="1"/>
  </r>
  <r>
    <s v="Singapore"/>
    <x v="3"/>
    <s v="SG4"/>
    <m/>
    <x v="3"/>
    <x v="3"/>
    <x v="3"/>
    <x v="3"/>
    <x v="0"/>
    <x v="0"/>
    <x v="0"/>
    <m/>
    <x v="0"/>
    <x v="0"/>
    <n v="-0.1885059"/>
    <m/>
    <x v="13"/>
    <x v="1"/>
    <x v="0"/>
    <x v="4"/>
    <x v="0"/>
  </r>
  <r>
    <s v="Singapore"/>
    <x v="4"/>
    <s v="SG2"/>
    <m/>
    <x v="2"/>
    <x v="0"/>
    <x v="0"/>
    <x v="0"/>
    <x v="0"/>
    <x v="0"/>
    <x v="0"/>
    <m/>
    <x v="0"/>
    <x v="0"/>
    <n v="5.6906192250000007"/>
    <m/>
    <x v="13"/>
    <x v="0"/>
    <x v="0"/>
    <x v="3"/>
    <x v="0"/>
  </r>
  <r>
    <s v="Singapore"/>
    <x v="5"/>
    <s v="SG3"/>
    <m/>
    <x v="2"/>
    <x v="2"/>
    <x v="0"/>
    <x v="5"/>
    <x v="0"/>
    <x v="0"/>
    <x v="0"/>
    <m/>
    <x v="0"/>
    <x v="0"/>
    <n v="0.44789625000000005"/>
    <m/>
    <x v="13"/>
    <x v="0"/>
    <x v="0"/>
    <x v="3"/>
    <x v="2"/>
  </r>
  <r>
    <s v="Singapore"/>
    <x v="2"/>
    <s v="SG3"/>
    <m/>
    <x v="0"/>
    <x v="0"/>
    <x v="1"/>
    <x v="4"/>
    <x v="0"/>
    <x v="0"/>
    <x v="0"/>
    <m/>
    <x v="0"/>
    <x v="0"/>
    <n v="2.1409129170000001"/>
    <m/>
    <x v="13"/>
    <x v="1"/>
    <x v="0"/>
    <x v="1"/>
    <x v="2"/>
  </r>
  <r>
    <s v="Singapore"/>
    <x v="2"/>
    <s v="SG2"/>
    <m/>
    <x v="0"/>
    <x v="2"/>
    <x v="3"/>
    <x v="5"/>
    <x v="0"/>
    <x v="0"/>
    <x v="0"/>
    <m/>
    <x v="0"/>
    <x v="0"/>
    <n v="4.7887664940000008"/>
    <m/>
    <x v="13"/>
    <x v="0"/>
    <x v="0"/>
    <x v="4"/>
    <x v="2"/>
  </r>
  <r>
    <s v="Singapore"/>
    <x v="1"/>
    <s v="SG4"/>
    <m/>
    <x v="0"/>
    <x v="4"/>
    <x v="3"/>
    <x v="4"/>
    <x v="0"/>
    <x v="0"/>
    <x v="0"/>
    <m/>
    <x v="0"/>
    <x v="0"/>
    <n v="0.33681798000000002"/>
    <m/>
    <x v="13"/>
    <x v="3"/>
    <x v="0"/>
    <x v="4"/>
    <x v="1"/>
  </r>
  <r>
    <s v="Singapore"/>
    <x v="4"/>
    <s v="SG4"/>
    <m/>
    <x v="3"/>
    <x v="1"/>
    <x v="2"/>
    <x v="3"/>
    <x v="0"/>
    <x v="0"/>
    <x v="0"/>
    <m/>
    <x v="0"/>
    <x v="0"/>
    <n v="4.7887664940000008"/>
    <m/>
    <x v="13"/>
    <x v="2"/>
    <x v="0"/>
    <x v="5"/>
    <x v="2"/>
  </r>
  <r>
    <s v="Singapore"/>
    <x v="0"/>
    <s v="SG2"/>
    <m/>
    <x v="5"/>
    <x v="0"/>
    <x v="4"/>
    <x v="5"/>
    <x v="0"/>
    <x v="0"/>
    <x v="0"/>
    <m/>
    <x v="0"/>
    <x v="0"/>
    <n v="3.0734874360000002"/>
    <m/>
    <x v="13"/>
    <x v="0"/>
    <x v="0"/>
    <x v="5"/>
    <x v="1"/>
  </r>
  <r>
    <s v="Singapore"/>
    <x v="3"/>
    <s v="SG3"/>
    <m/>
    <x v="3"/>
    <x v="1"/>
    <x v="1"/>
    <x v="5"/>
    <x v="0"/>
    <x v="0"/>
    <x v="0"/>
    <m/>
    <x v="0"/>
    <x v="0"/>
    <n v="3.023915058"/>
    <m/>
    <x v="13"/>
    <x v="0"/>
    <x v="0"/>
    <x v="5"/>
    <x v="0"/>
  </r>
  <r>
    <s v="Singapore"/>
    <x v="5"/>
    <s v="SG3"/>
    <m/>
    <x v="2"/>
    <x v="3"/>
    <x v="3"/>
    <x v="0"/>
    <x v="0"/>
    <x v="0"/>
    <x v="0"/>
    <m/>
    <x v="0"/>
    <x v="0"/>
    <n v="1.9418911920000002"/>
    <m/>
    <x v="13"/>
    <x v="1"/>
    <x v="0"/>
    <x v="5"/>
    <x v="2"/>
  </r>
  <r>
    <s v="Singapore"/>
    <x v="2"/>
    <s v="SG3"/>
    <m/>
    <x v="3"/>
    <x v="3"/>
    <x v="0"/>
    <x v="0"/>
    <x v="0"/>
    <x v="0"/>
    <x v="0"/>
    <m/>
    <x v="0"/>
    <x v="0"/>
    <n v="11.451219318000001"/>
    <m/>
    <x v="13"/>
    <x v="0"/>
    <x v="0"/>
    <x v="2"/>
    <x v="2"/>
  </r>
  <r>
    <s v="Singapore"/>
    <x v="4"/>
    <s v="SG4"/>
    <m/>
    <x v="1"/>
    <x v="3"/>
    <x v="2"/>
    <x v="3"/>
    <x v="0"/>
    <x v="0"/>
    <x v="0"/>
    <m/>
    <x v="0"/>
    <x v="0"/>
    <n v="5.011748721"/>
    <m/>
    <x v="13"/>
    <x v="1"/>
    <x v="0"/>
    <x v="4"/>
    <x v="1"/>
  </r>
  <r>
    <s v="Singapore"/>
    <x v="3"/>
    <s v="SG2"/>
    <m/>
    <x v="4"/>
    <x v="4"/>
    <x v="1"/>
    <x v="3"/>
    <x v="0"/>
    <x v="0"/>
    <x v="0"/>
    <m/>
    <x v="0"/>
    <x v="0"/>
    <n v="9.5966640000000006E-2"/>
    <m/>
    <x v="13"/>
    <x v="3"/>
    <x v="0"/>
    <x v="2"/>
    <x v="0"/>
  </r>
  <r>
    <s v="Singapore"/>
    <x v="3"/>
    <s v="SG2"/>
    <m/>
    <x v="3"/>
    <x v="0"/>
    <x v="1"/>
    <x v="4"/>
    <x v="0"/>
    <x v="0"/>
    <x v="0"/>
    <m/>
    <x v="0"/>
    <x v="0"/>
    <n v="47.753373960000005"/>
    <m/>
    <x v="13"/>
    <x v="3"/>
    <x v="0"/>
    <x v="5"/>
    <x v="2"/>
  </r>
  <r>
    <s v="Singapore"/>
    <x v="3"/>
    <s v="SG3"/>
    <m/>
    <x v="2"/>
    <x v="0"/>
    <x v="4"/>
    <x v="2"/>
    <x v="0"/>
    <x v="0"/>
    <x v="0"/>
    <m/>
    <x v="0"/>
    <x v="0"/>
    <n v="1.9418911920000002"/>
    <m/>
    <x v="13"/>
    <x v="0"/>
    <x v="0"/>
    <x v="2"/>
    <x v="0"/>
  </r>
  <r>
    <s v="Singapore"/>
    <x v="0"/>
    <s v="SG3"/>
    <m/>
    <x v="5"/>
    <x v="2"/>
    <x v="0"/>
    <x v="2"/>
    <x v="0"/>
    <x v="0"/>
    <x v="0"/>
    <m/>
    <x v="0"/>
    <x v="0"/>
    <n v="0.35057423700000001"/>
    <m/>
    <x v="13"/>
    <x v="0"/>
    <x v="0"/>
    <x v="1"/>
    <x v="1"/>
  </r>
  <r>
    <s v="Singapore"/>
    <x v="1"/>
    <s v="SG1"/>
    <m/>
    <x v="0"/>
    <x v="0"/>
    <x v="1"/>
    <x v="1"/>
    <x v="0"/>
    <x v="0"/>
    <x v="0"/>
    <m/>
    <x v="0"/>
    <x v="0"/>
    <n v="27.744220467000002"/>
    <m/>
    <x v="13"/>
    <x v="0"/>
    <x v="0"/>
    <x v="4"/>
    <x v="2"/>
  </r>
  <r>
    <s v="Singapore"/>
    <x v="1"/>
    <s v="SG4"/>
    <m/>
    <x v="3"/>
    <x v="2"/>
    <x v="0"/>
    <x v="2"/>
    <x v="0"/>
    <x v="0"/>
    <x v="0"/>
    <m/>
    <x v="0"/>
    <x v="0"/>
    <n v="3.1096462950000001"/>
    <m/>
    <x v="13"/>
    <x v="3"/>
    <x v="0"/>
    <x v="5"/>
    <x v="1"/>
  </r>
  <r>
    <s v="Singapore"/>
    <x v="3"/>
    <s v="SG3"/>
    <m/>
    <x v="1"/>
    <x v="3"/>
    <x v="3"/>
    <x v="0"/>
    <x v="0"/>
    <x v="0"/>
    <x v="0"/>
    <m/>
    <x v="0"/>
    <x v="0"/>
    <n v="15.463730979000001"/>
    <m/>
    <x v="13"/>
    <x v="2"/>
    <x v="0"/>
    <x v="1"/>
    <x v="0"/>
  </r>
  <r>
    <s v="Singapore"/>
    <x v="3"/>
    <s v="SG4"/>
    <m/>
    <x v="5"/>
    <x v="1"/>
    <x v="2"/>
    <x v="0"/>
    <x v="0"/>
    <x v="0"/>
    <x v="0"/>
    <m/>
    <x v="0"/>
    <x v="0"/>
    <n v="0.33681798000000002"/>
    <m/>
    <x v="13"/>
    <x v="3"/>
    <x v="0"/>
    <x v="4"/>
    <x v="0"/>
  </r>
  <r>
    <s v="Singapore"/>
    <x v="0"/>
    <s v="SG1"/>
    <m/>
    <x v="2"/>
    <x v="2"/>
    <x v="2"/>
    <x v="2"/>
    <x v="0"/>
    <x v="0"/>
    <x v="0"/>
    <m/>
    <x v="0"/>
    <x v="0"/>
    <n v="10.719458109000001"/>
    <m/>
    <x v="13"/>
    <x v="2"/>
    <x v="0"/>
    <x v="3"/>
    <x v="1"/>
  </r>
  <r>
    <s v="Singapore"/>
    <x v="1"/>
    <s v="SG1"/>
    <m/>
    <x v="3"/>
    <x v="0"/>
    <x v="1"/>
    <x v="4"/>
    <x v="0"/>
    <x v="0"/>
    <x v="0"/>
    <m/>
    <x v="0"/>
    <x v="0"/>
    <n v="1.9418911920000002"/>
    <m/>
    <x v="13"/>
    <x v="0"/>
    <x v="0"/>
    <x v="2"/>
    <x v="2"/>
  </r>
  <r>
    <s v="Singapore"/>
    <x v="3"/>
    <s v="SG3"/>
    <m/>
    <x v="2"/>
    <x v="0"/>
    <x v="1"/>
    <x v="2"/>
    <x v="0"/>
    <x v="0"/>
    <x v="0"/>
    <m/>
    <x v="0"/>
    <x v="0"/>
    <n v="3.5052750000000001E-2"/>
    <m/>
    <x v="13"/>
    <x v="3"/>
    <x v="0"/>
    <x v="5"/>
    <x v="1"/>
  </r>
  <r>
    <s v="Singapore"/>
    <x v="1"/>
    <s v="SG2"/>
    <m/>
    <x v="2"/>
    <x v="0"/>
    <x v="0"/>
    <x v="3"/>
    <x v="0"/>
    <x v="0"/>
    <x v="0"/>
    <m/>
    <x v="0"/>
    <x v="0"/>
    <n v="4.7887664940000008"/>
    <m/>
    <x v="13"/>
    <x v="1"/>
    <x v="0"/>
    <x v="1"/>
    <x v="2"/>
  </r>
  <r>
    <s v="Singapore"/>
    <x v="3"/>
    <s v="SG4"/>
    <m/>
    <x v="0"/>
    <x v="1"/>
    <x v="2"/>
    <x v="5"/>
    <x v="0"/>
    <x v="0"/>
    <x v="0"/>
    <m/>
    <x v="0"/>
    <x v="0"/>
    <n v="19.546020981000002"/>
    <m/>
    <x v="13"/>
    <x v="1"/>
    <x v="0"/>
    <x v="0"/>
    <x v="1"/>
  </r>
  <r>
    <s v="Singapore"/>
    <x v="5"/>
    <s v="SG1"/>
    <m/>
    <x v="1"/>
    <x v="4"/>
    <x v="4"/>
    <x v="5"/>
    <x v="0"/>
    <x v="0"/>
    <x v="0"/>
    <m/>
    <x v="0"/>
    <x v="0"/>
    <n v="12.280224645000001"/>
    <m/>
    <x v="13"/>
    <x v="2"/>
    <x v="0"/>
    <x v="0"/>
    <x v="1"/>
  </r>
  <r>
    <s v="Singapore"/>
    <x v="3"/>
    <s v="SG1"/>
    <m/>
    <x v="3"/>
    <x v="0"/>
    <x v="3"/>
    <x v="4"/>
    <x v="0"/>
    <x v="0"/>
    <x v="0"/>
    <m/>
    <x v="0"/>
    <x v="0"/>
    <n v="285.59767095900003"/>
    <m/>
    <x v="13"/>
    <x v="1"/>
    <x v="0"/>
    <x v="2"/>
    <x v="2"/>
  </r>
  <r>
    <s v="Singapore"/>
    <x v="4"/>
    <s v="SG2"/>
    <m/>
    <x v="1"/>
    <x v="2"/>
    <x v="3"/>
    <x v="1"/>
    <x v="0"/>
    <x v="0"/>
    <x v="0"/>
    <m/>
    <x v="0"/>
    <x v="0"/>
    <n v="26.134426817999998"/>
    <m/>
    <x v="13"/>
    <x v="2"/>
    <x v="0"/>
    <x v="4"/>
    <x v="0"/>
  </r>
  <r>
    <s v="Singapore"/>
    <x v="4"/>
    <s v="SG4"/>
    <m/>
    <x v="4"/>
    <x v="0"/>
    <x v="3"/>
    <x v="4"/>
    <x v="0"/>
    <x v="0"/>
    <x v="0"/>
    <m/>
    <x v="0"/>
    <x v="0"/>
    <n v="0.16856478000000003"/>
    <m/>
    <x v="13"/>
    <x v="0"/>
    <x v="0"/>
    <x v="1"/>
    <x v="0"/>
  </r>
  <r>
    <s v="Singapore"/>
    <x v="3"/>
    <s v="SG2"/>
    <m/>
    <x v="1"/>
    <x v="3"/>
    <x v="1"/>
    <x v="1"/>
    <x v="0"/>
    <x v="0"/>
    <x v="0"/>
    <m/>
    <x v="0"/>
    <x v="0"/>
    <n v="0.44789625000000005"/>
    <m/>
    <x v="13"/>
    <x v="0"/>
    <x v="0"/>
    <x v="2"/>
    <x v="2"/>
  </r>
  <r>
    <s v="Singapore"/>
    <x v="1"/>
    <s v="SG4"/>
    <m/>
    <x v="0"/>
    <x v="3"/>
    <x v="1"/>
    <x v="2"/>
    <x v="0"/>
    <x v="0"/>
    <x v="0"/>
    <m/>
    <x v="0"/>
    <x v="0"/>
    <n v="8.5039373610000002"/>
    <m/>
    <x v="13"/>
    <x v="3"/>
    <x v="0"/>
    <x v="0"/>
    <x v="1"/>
  </r>
  <r>
    <s v="Singapore"/>
    <x v="5"/>
    <s v="SG1"/>
    <m/>
    <x v="2"/>
    <x v="0"/>
    <x v="2"/>
    <x v="5"/>
    <x v="0"/>
    <x v="0"/>
    <x v="0"/>
    <m/>
    <x v="0"/>
    <x v="0"/>
    <n v="1.1179490400000001"/>
    <m/>
    <x v="13"/>
    <x v="0"/>
    <x v="0"/>
    <x v="1"/>
    <x v="2"/>
  </r>
  <r>
    <s v="Singapore"/>
    <x v="0"/>
    <s v="SG3"/>
    <m/>
    <x v="2"/>
    <x v="3"/>
    <x v="4"/>
    <x v="2"/>
    <x v="0"/>
    <x v="0"/>
    <x v="0"/>
    <m/>
    <x v="0"/>
    <x v="0"/>
    <n v="2.5438170150000001"/>
    <m/>
    <x v="13"/>
    <x v="0"/>
    <x v="0"/>
    <x v="4"/>
    <x v="2"/>
  </r>
  <r>
    <s v="Singapore"/>
    <x v="4"/>
    <s v="SG2"/>
    <m/>
    <x v="0"/>
    <x v="3"/>
    <x v="1"/>
    <x v="0"/>
    <x v="0"/>
    <x v="0"/>
    <x v="0"/>
    <m/>
    <x v="0"/>
    <x v="0"/>
    <n v="0.73319447700000007"/>
    <m/>
    <x v="13"/>
    <x v="3"/>
    <x v="0"/>
    <x v="4"/>
    <x v="1"/>
  </r>
  <r>
    <s v="Singapore"/>
    <x v="1"/>
    <s v="SG4"/>
    <m/>
    <x v="2"/>
    <x v="3"/>
    <x v="4"/>
    <x v="4"/>
    <x v="0"/>
    <x v="0"/>
    <x v="0"/>
    <m/>
    <x v="0"/>
    <x v="0"/>
    <n v="1.9418911920000002"/>
    <m/>
    <x v="13"/>
    <x v="2"/>
    <x v="0"/>
    <x v="5"/>
    <x v="1"/>
  </r>
  <r>
    <s v="Singapore"/>
    <x v="3"/>
    <s v="SG1"/>
    <m/>
    <x v="4"/>
    <x v="0"/>
    <x v="3"/>
    <x v="5"/>
    <x v="0"/>
    <x v="0"/>
    <x v="0"/>
    <m/>
    <x v="0"/>
    <x v="0"/>
    <n v="10.393701219"/>
    <m/>
    <x v="13"/>
    <x v="1"/>
    <x v="0"/>
    <x v="1"/>
    <x v="0"/>
  </r>
  <r>
    <s v="Singapore"/>
    <x v="5"/>
    <s v="SG4"/>
    <m/>
    <x v="1"/>
    <x v="0"/>
    <x v="1"/>
    <x v="3"/>
    <x v="0"/>
    <x v="0"/>
    <x v="0"/>
    <m/>
    <x v="0"/>
    <x v="0"/>
    <n v="4.5941068889999999"/>
    <m/>
    <x v="13"/>
    <x v="3"/>
    <x v="0"/>
    <x v="5"/>
    <x v="0"/>
  </r>
  <r>
    <s v="Singapore"/>
    <x v="1"/>
    <s v="SG1"/>
    <m/>
    <x v="1"/>
    <x v="3"/>
    <x v="2"/>
    <x v="0"/>
    <x v="0"/>
    <x v="0"/>
    <x v="0"/>
    <m/>
    <x v="0"/>
    <x v="0"/>
    <n v="0.94720320000000002"/>
    <m/>
    <x v="13"/>
    <x v="0"/>
    <x v="0"/>
    <x v="5"/>
    <x v="2"/>
  </r>
  <r>
    <s v="Singapore"/>
    <x v="4"/>
    <s v="SG2"/>
    <m/>
    <x v="5"/>
    <x v="0"/>
    <x v="4"/>
    <x v="5"/>
    <x v="0"/>
    <x v="0"/>
    <x v="0"/>
    <m/>
    <x v="0"/>
    <x v="0"/>
    <n v="4.5941068889999999"/>
    <m/>
    <x v="13"/>
    <x v="0"/>
    <x v="0"/>
    <x v="3"/>
    <x v="2"/>
  </r>
  <r>
    <s v="Singapore"/>
    <x v="0"/>
    <s v="SG2"/>
    <m/>
    <x v="3"/>
    <x v="2"/>
    <x v="2"/>
    <x v="0"/>
    <x v="0"/>
    <x v="0"/>
    <x v="0"/>
    <m/>
    <x v="0"/>
    <x v="0"/>
    <n v="4.5941068889999999"/>
    <m/>
    <x v="13"/>
    <x v="3"/>
    <x v="0"/>
    <x v="0"/>
    <x v="0"/>
  </r>
  <r>
    <s v="Singapore"/>
    <x v="3"/>
    <s v="SG2"/>
    <m/>
    <x v="2"/>
    <x v="3"/>
    <x v="1"/>
    <x v="1"/>
    <x v="0"/>
    <x v="0"/>
    <x v="0"/>
    <m/>
    <x v="0"/>
    <x v="0"/>
    <n v="-0.1885059"/>
    <m/>
    <x v="13"/>
    <x v="3"/>
    <x v="0"/>
    <x v="3"/>
    <x v="0"/>
  </r>
  <r>
    <s v="Singapore"/>
    <x v="0"/>
    <s v="SG1"/>
    <m/>
    <x v="3"/>
    <x v="4"/>
    <x v="4"/>
    <x v="5"/>
    <x v="0"/>
    <x v="0"/>
    <x v="0"/>
    <m/>
    <x v="0"/>
    <x v="0"/>
    <n v="23.943848049"/>
    <m/>
    <x v="13"/>
    <x v="0"/>
    <x v="0"/>
    <x v="3"/>
    <x v="1"/>
  </r>
  <r>
    <s v="Singapore"/>
    <x v="3"/>
    <s v="SG1"/>
    <m/>
    <x v="5"/>
    <x v="1"/>
    <x v="4"/>
    <x v="5"/>
    <x v="0"/>
    <x v="0"/>
    <x v="0"/>
    <m/>
    <x v="0"/>
    <x v="0"/>
    <n v="0.59323274100000012"/>
    <m/>
    <x v="13"/>
    <x v="3"/>
    <x v="0"/>
    <x v="3"/>
    <x v="2"/>
  </r>
  <r>
    <s v="Singapore"/>
    <x v="0"/>
    <s v="SG1"/>
    <m/>
    <x v="1"/>
    <x v="1"/>
    <x v="2"/>
    <x v="2"/>
    <x v="0"/>
    <x v="0"/>
    <x v="0"/>
    <m/>
    <x v="0"/>
    <x v="0"/>
    <n v="81.413376939000017"/>
    <m/>
    <x v="13"/>
    <x v="2"/>
    <x v="0"/>
    <x v="1"/>
    <x v="1"/>
  </r>
  <r>
    <s v="Singapore"/>
    <x v="1"/>
    <s v="SG1"/>
    <m/>
    <x v="4"/>
    <x v="0"/>
    <x v="1"/>
    <x v="3"/>
    <x v="0"/>
    <x v="0"/>
    <x v="0"/>
    <m/>
    <x v="0"/>
    <x v="0"/>
    <n v="3.059840232"/>
    <m/>
    <x v="13"/>
    <x v="0"/>
    <x v="0"/>
    <x v="0"/>
    <x v="2"/>
  </r>
  <r>
    <s v="Singapore"/>
    <x v="5"/>
    <s v="SG3"/>
    <m/>
    <x v="0"/>
    <x v="0"/>
    <x v="2"/>
    <x v="0"/>
    <x v="0"/>
    <x v="0"/>
    <x v="0"/>
    <m/>
    <x v="0"/>
    <x v="0"/>
    <n v="34.741575054000002"/>
    <m/>
    <x v="13"/>
    <x v="2"/>
    <x v="0"/>
    <x v="0"/>
    <x v="0"/>
  </r>
  <r>
    <s v="Singapore"/>
    <x v="5"/>
    <s v="SG3"/>
    <m/>
    <x v="2"/>
    <x v="1"/>
    <x v="2"/>
    <x v="1"/>
    <x v="0"/>
    <x v="0"/>
    <x v="0"/>
    <m/>
    <x v="0"/>
    <x v="0"/>
    <n v="4.5941068889999999"/>
    <m/>
    <x v="13"/>
    <x v="2"/>
    <x v="0"/>
    <x v="4"/>
    <x v="2"/>
  </r>
  <r>
    <s v="Singapore"/>
    <x v="3"/>
    <s v="SG4"/>
    <m/>
    <x v="2"/>
    <x v="0"/>
    <x v="0"/>
    <x v="4"/>
    <x v="0"/>
    <x v="0"/>
    <x v="0"/>
    <m/>
    <x v="0"/>
    <x v="0"/>
    <n v="-0.1885059"/>
    <m/>
    <x v="13"/>
    <x v="1"/>
    <x v="0"/>
    <x v="0"/>
    <x v="1"/>
  </r>
  <r>
    <s v="Singapore"/>
    <x v="3"/>
    <s v="SG1"/>
    <m/>
    <x v="1"/>
    <x v="0"/>
    <x v="2"/>
    <x v="0"/>
    <x v="0"/>
    <x v="0"/>
    <x v="0"/>
    <m/>
    <x v="0"/>
    <x v="0"/>
    <n v="3.5052750000000001E-2"/>
    <m/>
    <x v="13"/>
    <x v="2"/>
    <x v="0"/>
    <x v="2"/>
    <x v="2"/>
  </r>
  <r>
    <s v="Singapore"/>
    <x v="4"/>
    <s v="SG3"/>
    <m/>
    <x v="1"/>
    <x v="2"/>
    <x v="1"/>
    <x v="5"/>
    <x v="0"/>
    <x v="0"/>
    <x v="0"/>
    <m/>
    <x v="0"/>
    <x v="0"/>
    <n v="0.10154392200000002"/>
    <m/>
    <x v="13"/>
    <x v="1"/>
    <x v="0"/>
    <x v="0"/>
    <x v="1"/>
  </r>
  <r>
    <s v="Singapore"/>
    <x v="2"/>
    <s v="SG3"/>
    <m/>
    <x v="1"/>
    <x v="0"/>
    <x v="3"/>
    <x v="1"/>
    <x v="0"/>
    <x v="0"/>
    <x v="0"/>
    <m/>
    <x v="0"/>
    <x v="0"/>
    <n v="62.834671647"/>
    <m/>
    <x v="13"/>
    <x v="1"/>
    <x v="0"/>
    <x v="2"/>
    <x v="2"/>
  </r>
  <r>
    <s v="Singapore"/>
    <x v="0"/>
    <s v="SG2"/>
    <m/>
    <x v="5"/>
    <x v="3"/>
    <x v="3"/>
    <x v="2"/>
    <x v="0"/>
    <x v="0"/>
    <x v="0"/>
    <m/>
    <x v="0"/>
    <x v="0"/>
    <n v="5.1545769930000001"/>
    <m/>
    <x v="13"/>
    <x v="3"/>
    <x v="0"/>
    <x v="0"/>
    <x v="2"/>
  </r>
  <r>
    <s v="Singapore"/>
    <x v="4"/>
    <s v="SG2"/>
    <m/>
    <x v="1"/>
    <x v="1"/>
    <x v="4"/>
    <x v="5"/>
    <x v="0"/>
    <x v="0"/>
    <x v="0"/>
    <m/>
    <x v="0"/>
    <x v="0"/>
    <n v="3.452493348"/>
    <m/>
    <x v="13"/>
    <x v="3"/>
    <x v="0"/>
    <x v="1"/>
    <x v="2"/>
  </r>
  <r>
    <s v="Singapore"/>
    <x v="5"/>
    <s v="SG3"/>
    <m/>
    <x v="1"/>
    <x v="0"/>
    <x v="2"/>
    <x v="2"/>
    <x v="0"/>
    <x v="0"/>
    <x v="0"/>
    <m/>
    <x v="0"/>
    <x v="0"/>
    <n v="3.7940473440000004"/>
    <m/>
    <x v="13"/>
    <x v="0"/>
    <x v="0"/>
    <x v="1"/>
    <x v="0"/>
  </r>
  <r>
    <s v="Singapore"/>
    <x v="2"/>
    <s v="SG4"/>
    <m/>
    <x v="5"/>
    <x v="4"/>
    <x v="3"/>
    <x v="3"/>
    <x v="0"/>
    <x v="0"/>
    <x v="0"/>
    <m/>
    <x v="0"/>
    <x v="0"/>
    <n v="3.3761874060000001"/>
    <m/>
    <x v="13"/>
    <x v="3"/>
    <x v="0"/>
    <x v="1"/>
    <x v="2"/>
  </r>
  <r>
    <s v="Singapore"/>
    <x v="4"/>
    <s v="SG2"/>
    <m/>
    <x v="2"/>
    <x v="4"/>
    <x v="3"/>
    <x v="0"/>
    <x v="0"/>
    <x v="0"/>
    <x v="0"/>
    <m/>
    <x v="0"/>
    <x v="0"/>
    <n v="0.49182903"/>
    <m/>
    <x v="13"/>
    <x v="2"/>
    <x v="0"/>
    <x v="2"/>
    <x v="1"/>
  </r>
  <r>
    <s v="Singapore"/>
    <x v="1"/>
    <s v="SG4"/>
    <m/>
    <x v="0"/>
    <x v="4"/>
    <x v="1"/>
    <x v="0"/>
    <x v="0"/>
    <x v="0"/>
    <x v="0"/>
    <m/>
    <x v="0"/>
    <x v="0"/>
    <n v="22.902438636000003"/>
    <m/>
    <x v="13"/>
    <x v="0"/>
    <x v="0"/>
    <x v="1"/>
    <x v="0"/>
  </r>
  <r>
    <s v="Singapore"/>
    <x v="3"/>
    <s v="SG2"/>
    <m/>
    <x v="1"/>
    <x v="4"/>
    <x v="3"/>
    <x v="1"/>
    <x v="0"/>
    <x v="0"/>
    <x v="0"/>
    <m/>
    <x v="0"/>
    <x v="0"/>
    <n v="40.622491764000003"/>
    <m/>
    <x v="13"/>
    <x v="2"/>
    <x v="0"/>
    <x v="0"/>
    <x v="1"/>
  </r>
  <r>
    <s v="Singapore"/>
    <x v="1"/>
    <s v="SG3"/>
    <m/>
    <x v="2"/>
    <x v="2"/>
    <x v="3"/>
    <x v="4"/>
    <x v="0"/>
    <x v="0"/>
    <x v="0"/>
    <m/>
    <x v="0"/>
    <x v="0"/>
    <n v="2.1509457930000004"/>
    <m/>
    <x v="13"/>
    <x v="3"/>
    <x v="0"/>
    <x v="4"/>
    <x v="0"/>
  </r>
  <r>
    <s v="Singapore"/>
    <x v="3"/>
    <s v="SG2"/>
    <m/>
    <x v="1"/>
    <x v="3"/>
    <x v="4"/>
    <x v="0"/>
    <x v="0"/>
    <x v="0"/>
    <x v="0"/>
    <m/>
    <x v="0"/>
    <x v="0"/>
    <n v="0.33711398100000001"/>
    <m/>
    <x v="13"/>
    <x v="3"/>
    <x v="0"/>
    <x v="0"/>
    <x v="2"/>
  </r>
  <r>
    <s v="Singapore"/>
    <x v="1"/>
    <s v="SG1"/>
    <m/>
    <x v="3"/>
    <x v="2"/>
    <x v="1"/>
    <x v="4"/>
    <x v="0"/>
    <x v="0"/>
    <x v="0"/>
    <m/>
    <x v="0"/>
    <x v="0"/>
    <n v="2.3168621430000003"/>
    <m/>
    <x v="13"/>
    <x v="1"/>
    <x v="0"/>
    <x v="3"/>
    <x v="2"/>
  </r>
  <r>
    <s v="Singapore"/>
    <x v="5"/>
    <s v="SG4"/>
    <m/>
    <x v="4"/>
    <x v="4"/>
    <x v="2"/>
    <x v="0"/>
    <x v="0"/>
    <x v="0"/>
    <x v="0"/>
    <m/>
    <x v="0"/>
    <x v="0"/>
    <n v="20.618307972"/>
    <m/>
    <x v="13"/>
    <x v="1"/>
    <x v="0"/>
    <x v="4"/>
    <x v="0"/>
  </r>
  <r>
    <s v="Singapore"/>
    <x v="1"/>
    <s v="SG1"/>
    <m/>
    <x v="0"/>
    <x v="3"/>
    <x v="2"/>
    <x v="2"/>
    <x v="0"/>
    <x v="0"/>
    <x v="0"/>
    <m/>
    <x v="0"/>
    <x v="0"/>
    <n v="4.6269629999999999E-2"/>
    <m/>
    <x v="13"/>
    <x v="1"/>
    <x v="0"/>
    <x v="2"/>
    <x v="0"/>
  </r>
  <r>
    <s v="Singapore"/>
    <x v="0"/>
    <s v="SG1"/>
    <m/>
    <x v="1"/>
    <x v="3"/>
    <x v="3"/>
    <x v="5"/>
    <x v="0"/>
    <x v="0"/>
    <x v="0"/>
    <m/>
    <x v="0"/>
    <x v="0"/>
    <n v="2.473727094"/>
    <m/>
    <x v="13"/>
    <x v="2"/>
    <x v="0"/>
    <x v="0"/>
    <x v="0"/>
  </r>
  <r>
    <s v="Singapore"/>
    <x v="3"/>
    <s v="SG2"/>
    <m/>
    <x v="4"/>
    <x v="2"/>
    <x v="4"/>
    <x v="1"/>
    <x v="0"/>
    <x v="0"/>
    <x v="0"/>
    <m/>
    <x v="0"/>
    <x v="0"/>
    <n v="8.7242399999999998E-2"/>
    <m/>
    <x v="13"/>
    <x v="0"/>
    <x v="0"/>
    <x v="3"/>
    <x v="1"/>
  </r>
  <r>
    <s v="Singapore"/>
    <x v="1"/>
    <s v="SG1"/>
    <m/>
    <x v="4"/>
    <x v="2"/>
    <x v="3"/>
    <x v="5"/>
    <x v="0"/>
    <x v="0"/>
    <x v="0"/>
    <m/>
    <x v="0"/>
    <x v="0"/>
    <n v="0.98365806"/>
    <m/>
    <x v="13"/>
    <x v="3"/>
    <x v="0"/>
    <x v="1"/>
    <x v="0"/>
  </r>
  <r>
    <s v="Singapore"/>
    <x v="2"/>
    <s v="SG1"/>
    <m/>
    <x v="3"/>
    <x v="1"/>
    <x v="3"/>
    <x v="4"/>
    <x v="0"/>
    <x v="0"/>
    <x v="0"/>
    <m/>
    <x v="0"/>
    <x v="0"/>
    <n v="26.18876637"/>
    <m/>
    <x v="13"/>
    <x v="1"/>
    <x v="0"/>
    <x v="4"/>
    <x v="2"/>
  </r>
  <r>
    <s v="Singapore"/>
    <x v="4"/>
    <s v="SG3"/>
    <m/>
    <x v="2"/>
    <x v="1"/>
    <x v="3"/>
    <x v="4"/>
    <x v="0"/>
    <x v="0"/>
    <x v="0"/>
    <m/>
    <x v="0"/>
    <x v="0"/>
    <n v="1.7448479999999999E-2"/>
    <m/>
    <x v="13"/>
    <x v="2"/>
    <x v="0"/>
    <x v="1"/>
    <x v="0"/>
  </r>
  <r>
    <s v="Singapore"/>
    <x v="0"/>
    <s v="SG1"/>
    <m/>
    <x v="4"/>
    <x v="3"/>
    <x v="3"/>
    <x v="0"/>
    <x v="0"/>
    <x v="0"/>
    <x v="0"/>
    <m/>
    <x v="0"/>
    <x v="0"/>
    <n v="8.659633887"/>
    <m/>
    <x v="13"/>
    <x v="0"/>
    <x v="0"/>
    <x v="4"/>
    <x v="2"/>
  </r>
  <r>
    <s v="Singapore"/>
    <x v="3"/>
    <s v="SG3"/>
    <m/>
    <x v="0"/>
    <x v="1"/>
    <x v="0"/>
    <x v="3"/>
    <x v="0"/>
    <x v="0"/>
    <x v="0"/>
    <m/>
    <x v="0"/>
    <x v="0"/>
    <n v="5.7562223940000008"/>
    <m/>
    <x v="13"/>
    <x v="3"/>
    <x v="0"/>
    <x v="0"/>
    <x v="0"/>
  </r>
  <r>
    <s v="Singapore"/>
    <x v="2"/>
    <s v="SG4"/>
    <m/>
    <x v="4"/>
    <x v="1"/>
    <x v="0"/>
    <x v="1"/>
    <x v="0"/>
    <x v="0"/>
    <x v="0"/>
    <m/>
    <x v="0"/>
    <x v="0"/>
    <n v="0.85684500000000008"/>
    <m/>
    <x v="13"/>
    <x v="1"/>
    <x v="0"/>
    <x v="5"/>
    <x v="2"/>
  </r>
  <r>
    <s v="Singapore"/>
    <x v="1"/>
    <s v="SG3"/>
    <m/>
    <x v="1"/>
    <x v="0"/>
    <x v="0"/>
    <x v="2"/>
    <x v="0"/>
    <x v="0"/>
    <x v="0"/>
    <m/>
    <x v="0"/>
    <x v="0"/>
    <n v="0.12213936000000002"/>
    <m/>
    <x v="13"/>
    <x v="3"/>
    <x v="0"/>
    <x v="0"/>
    <x v="1"/>
  </r>
  <r>
    <s v="Singapore"/>
    <x v="3"/>
    <s v="SG1"/>
    <m/>
    <x v="3"/>
    <x v="0"/>
    <x v="3"/>
    <x v="4"/>
    <x v="0"/>
    <x v="0"/>
    <x v="0"/>
    <m/>
    <x v="0"/>
    <x v="0"/>
    <n v="-0.41751720000000003"/>
    <m/>
    <x v="13"/>
    <x v="0"/>
    <x v="0"/>
    <x v="1"/>
    <x v="1"/>
  </r>
  <r>
    <s v="Singapore"/>
    <x v="4"/>
    <s v="SG4"/>
    <m/>
    <x v="5"/>
    <x v="2"/>
    <x v="4"/>
    <x v="3"/>
    <x v="0"/>
    <x v="0"/>
    <x v="0"/>
    <m/>
    <x v="0"/>
    <x v="0"/>
    <n v="1.9418288760000002"/>
    <m/>
    <x v="13"/>
    <x v="2"/>
    <x v="0"/>
    <x v="5"/>
    <x v="1"/>
  </r>
  <r>
    <s v="Singapore"/>
    <x v="0"/>
    <s v="SG1"/>
    <m/>
    <x v="0"/>
    <x v="2"/>
    <x v="1"/>
    <x v="3"/>
    <x v="0"/>
    <x v="0"/>
    <x v="0"/>
    <m/>
    <x v="0"/>
    <x v="0"/>
    <n v="0.61069680000000004"/>
    <m/>
    <x v="13"/>
    <x v="2"/>
    <x v="0"/>
    <x v="1"/>
    <x v="0"/>
  </r>
  <r>
    <s v="Singapore"/>
    <x v="2"/>
    <s v="SG2"/>
    <m/>
    <x v="0"/>
    <x v="2"/>
    <x v="1"/>
    <x v="1"/>
    <x v="0"/>
    <x v="0"/>
    <x v="0"/>
    <m/>
    <x v="0"/>
    <x v="0"/>
    <n v="3.1424556689999998"/>
    <m/>
    <x v="13"/>
    <x v="1"/>
    <x v="0"/>
    <x v="5"/>
    <x v="0"/>
  </r>
  <r>
    <s v="Singapore"/>
    <x v="1"/>
    <s v="SG3"/>
    <m/>
    <x v="2"/>
    <x v="1"/>
    <x v="1"/>
    <x v="1"/>
    <x v="0"/>
    <x v="0"/>
    <x v="0"/>
    <m/>
    <x v="0"/>
    <x v="0"/>
    <n v="74.47458381300001"/>
    <m/>
    <x v="13"/>
    <x v="1"/>
    <x v="0"/>
    <x v="5"/>
    <x v="2"/>
  </r>
  <r>
    <s v="Singapore"/>
    <x v="2"/>
    <s v="SG1"/>
    <m/>
    <x v="5"/>
    <x v="3"/>
    <x v="4"/>
    <x v="1"/>
    <x v="0"/>
    <x v="0"/>
    <x v="0"/>
    <m/>
    <x v="0"/>
    <x v="0"/>
    <n v="1.9418911920000002"/>
    <m/>
    <x v="13"/>
    <x v="0"/>
    <x v="0"/>
    <x v="4"/>
    <x v="0"/>
  </r>
  <r>
    <s v="Singapore"/>
    <x v="4"/>
    <s v="SG3"/>
    <m/>
    <x v="4"/>
    <x v="4"/>
    <x v="2"/>
    <x v="3"/>
    <x v="0"/>
    <x v="0"/>
    <x v="0"/>
    <m/>
    <x v="0"/>
    <x v="0"/>
    <n v="17.370787527000001"/>
    <m/>
    <x v="13"/>
    <x v="3"/>
    <x v="0"/>
    <x v="0"/>
    <x v="2"/>
  </r>
  <r>
    <s v="Singapore"/>
    <x v="0"/>
    <s v="SG2"/>
    <m/>
    <x v="2"/>
    <x v="0"/>
    <x v="4"/>
    <x v="0"/>
    <x v="0"/>
    <x v="0"/>
    <x v="0"/>
    <m/>
    <x v="0"/>
    <x v="0"/>
    <n v="180.564847488"/>
    <m/>
    <x v="13"/>
    <x v="0"/>
    <x v="0"/>
    <x v="3"/>
    <x v="0"/>
  </r>
  <r>
    <s v="Singapore"/>
    <x v="3"/>
    <s v="SG3"/>
    <m/>
    <x v="1"/>
    <x v="0"/>
    <x v="2"/>
    <x v="4"/>
    <x v="0"/>
    <x v="0"/>
    <x v="0"/>
    <m/>
    <x v="0"/>
    <x v="0"/>
    <n v="3.5052750000000001E-2"/>
    <m/>
    <x v="13"/>
    <x v="1"/>
    <x v="0"/>
    <x v="2"/>
    <x v="1"/>
  </r>
  <r>
    <s v="Singapore"/>
    <x v="3"/>
    <s v="SG4"/>
    <m/>
    <x v="2"/>
    <x v="1"/>
    <x v="0"/>
    <x v="5"/>
    <x v="0"/>
    <x v="0"/>
    <x v="0"/>
    <m/>
    <x v="0"/>
    <x v="0"/>
    <n v="8.3176281000000005E-2"/>
    <m/>
    <x v="13"/>
    <x v="2"/>
    <x v="0"/>
    <x v="1"/>
    <x v="1"/>
  </r>
  <r>
    <s v="Singapore"/>
    <x v="0"/>
    <s v="SG2"/>
    <m/>
    <x v="4"/>
    <x v="2"/>
    <x v="1"/>
    <x v="5"/>
    <x v="0"/>
    <x v="0"/>
    <x v="0"/>
    <m/>
    <x v="0"/>
    <x v="0"/>
    <n v="0.25174106100000004"/>
    <m/>
    <x v="13"/>
    <x v="1"/>
    <x v="0"/>
    <x v="3"/>
    <x v="1"/>
  </r>
  <r>
    <s v="Singapore"/>
    <x v="2"/>
    <s v="SG4"/>
    <m/>
    <x v="0"/>
    <x v="1"/>
    <x v="0"/>
    <x v="1"/>
    <x v="0"/>
    <x v="0"/>
    <x v="0"/>
    <m/>
    <x v="0"/>
    <x v="0"/>
    <n v="7.6983940080000011"/>
    <m/>
    <x v="13"/>
    <x v="0"/>
    <x v="0"/>
    <x v="2"/>
    <x v="0"/>
  </r>
  <r>
    <s v="Singapore"/>
    <x v="1"/>
    <s v="SG3"/>
    <m/>
    <x v="1"/>
    <x v="1"/>
    <x v="0"/>
    <x v="4"/>
    <x v="0"/>
    <x v="0"/>
    <x v="0"/>
    <m/>
    <x v="0"/>
    <x v="0"/>
    <n v="0.91389529800000002"/>
    <m/>
    <x v="13"/>
    <x v="3"/>
    <x v="0"/>
    <x v="3"/>
    <x v="2"/>
  </r>
  <r>
    <s v="Singapore"/>
    <x v="1"/>
    <s v="SG1"/>
    <m/>
    <x v="5"/>
    <x v="0"/>
    <x v="2"/>
    <x v="3"/>
    <x v="0"/>
    <x v="0"/>
    <x v="0"/>
    <m/>
    <x v="0"/>
    <x v="0"/>
    <n v="126.61420964400001"/>
    <m/>
    <x v="13"/>
    <x v="0"/>
    <x v="0"/>
    <x v="2"/>
    <x v="0"/>
  </r>
  <r>
    <s v="Singapore"/>
    <x v="5"/>
    <s v="SG3"/>
    <m/>
    <x v="3"/>
    <x v="1"/>
    <x v="3"/>
    <x v="1"/>
    <x v="0"/>
    <x v="0"/>
    <x v="0"/>
    <m/>
    <x v="0"/>
    <x v="0"/>
    <n v="1.9418911920000002"/>
    <m/>
    <x v="13"/>
    <x v="2"/>
    <x v="0"/>
    <x v="1"/>
    <x v="0"/>
  </r>
  <r>
    <s v="Singapore"/>
    <x v="2"/>
    <s v="SG2"/>
    <m/>
    <x v="3"/>
    <x v="1"/>
    <x v="4"/>
    <x v="4"/>
    <x v="0"/>
    <x v="0"/>
    <x v="0"/>
    <m/>
    <x v="0"/>
    <x v="0"/>
    <n v="4.5941068889999999"/>
    <m/>
    <x v="13"/>
    <x v="1"/>
    <x v="0"/>
    <x v="2"/>
    <x v="0"/>
  </r>
  <r>
    <s v="Singapore"/>
    <x v="0"/>
    <s v="SG2"/>
    <m/>
    <x v="3"/>
    <x v="1"/>
    <x v="1"/>
    <x v="4"/>
    <x v="0"/>
    <x v="0"/>
    <x v="0"/>
    <m/>
    <x v="0"/>
    <x v="0"/>
    <n v="1.599246666"/>
    <m/>
    <x v="13"/>
    <x v="2"/>
    <x v="0"/>
    <x v="2"/>
    <x v="0"/>
  </r>
  <r>
    <s v="Singapore"/>
    <x v="2"/>
    <s v="SG2"/>
    <m/>
    <x v="4"/>
    <x v="1"/>
    <x v="4"/>
    <x v="5"/>
    <x v="0"/>
    <x v="0"/>
    <x v="0"/>
    <m/>
    <x v="0"/>
    <x v="0"/>
    <n v="1.9418911920000002"/>
    <m/>
    <x v="13"/>
    <x v="3"/>
    <x v="0"/>
    <x v="4"/>
    <x v="0"/>
  </r>
  <r>
    <s v="Singapore"/>
    <x v="3"/>
    <s v="SG3"/>
    <m/>
    <x v="5"/>
    <x v="4"/>
    <x v="4"/>
    <x v="2"/>
    <x v="0"/>
    <x v="0"/>
    <x v="0"/>
    <m/>
    <x v="0"/>
    <x v="0"/>
    <n v="142.67720243700001"/>
    <m/>
    <x v="13"/>
    <x v="0"/>
    <x v="0"/>
    <x v="5"/>
    <x v="1"/>
  </r>
  <r>
    <s v="Singapore"/>
    <x v="4"/>
    <s v="SG4"/>
    <m/>
    <x v="3"/>
    <x v="4"/>
    <x v="0"/>
    <x v="1"/>
    <x v="0"/>
    <x v="0"/>
    <x v="0"/>
    <m/>
    <x v="0"/>
    <x v="0"/>
    <n v="0.72105843599999997"/>
    <m/>
    <x v="13"/>
    <x v="2"/>
    <x v="0"/>
    <x v="1"/>
    <x v="1"/>
  </r>
  <r>
    <s v="Singapore"/>
    <x v="0"/>
    <s v="SG4"/>
    <m/>
    <x v="0"/>
    <x v="1"/>
    <x v="4"/>
    <x v="4"/>
    <x v="0"/>
    <x v="0"/>
    <x v="0"/>
    <m/>
    <x v="0"/>
    <x v="0"/>
    <n v="3.023915058"/>
    <m/>
    <x v="13"/>
    <x v="2"/>
    <x v="0"/>
    <x v="0"/>
    <x v="2"/>
  </r>
  <r>
    <s v="Singapore"/>
    <x v="3"/>
    <s v="SG1"/>
    <m/>
    <x v="2"/>
    <x v="0"/>
    <x v="1"/>
    <x v="3"/>
    <x v="0"/>
    <x v="0"/>
    <x v="0"/>
    <m/>
    <x v="0"/>
    <x v="0"/>
    <n v="0.79962333299999999"/>
    <m/>
    <x v="13"/>
    <x v="2"/>
    <x v="0"/>
    <x v="3"/>
    <x v="0"/>
  </r>
  <r>
    <s v="Singapore"/>
    <x v="3"/>
    <s v="SG2"/>
    <m/>
    <x v="3"/>
    <x v="4"/>
    <x v="3"/>
    <x v="4"/>
    <x v="0"/>
    <x v="0"/>
    <x v="0"/>
    <m/>
    <x v="0"/>
    <x v="0"/>
    <n v="64.318960872000005"/>
    <m/>
    <x v="13"/>
    <x v="2"/>
    <x v="0"/>
    <x v="2"/>
    <x v="2"/>
  </r>
  <r>
    <s v="Singapore"/>
    <x v="0"/>
    <s v="SG1"/>
    <m/>
    <x v="4"/>
    <x v="0"/>
    <x v="1"/>
    <x v="4"/>
    <x v="0"/>
    <x v="0"/>
    <x v="0"/>
    <m/>
    <x v="0"/>
    <x v="0"/>
    <n v="110.976897447"/>
    <m/>
    <x v="13"/>
    <x v="2"/>
    <x v="0"/>
    <x v="1"/>
    <x v="1"/>
  </r>
  <r>
    <s v="Singapore"/>
    <x v="5"/>
    <s v="SG4"/>
    <m/>
    <x v="5"/>
    <x v="0"/>
    <x v="3"/>
    <x v="4"/>
    <x v="0"/>
    <x v="0"/>
    <x v="0"/>
    <m/>
    <x v="0"/>
    <x v="0"/>
    <n v="0.71080745400000001"/>
    <m/>
    <x v="13"/>
    <x v="3"/>
    <x v="0"/>
    <x v="5"/>
    <x v="2"/>
  </r>
  <r>
    <s v="Singapore"/>
    <x v="3"/>
    <s v="SG3"/>
    <m/>
    <x v="0"/>
    <x v="3"/>
    <x v="2"/>
    <x v="1"/>
    <x v="0"/>
    <x v="0"/>
    <x v="0"/>
    <m/>
    <x v="0"/>
    <x v="0"/>
    <n v="11.635456572000001"/>
    <m/>
    <x v="13"/>
    <x v="0"/>
    <x v="0"/>
    <x v="0"/>
    <x v="2"/>
  </r>
  <r>
    <s v="Singapore"/>
    <x v="2"/>
    <s v="SG4"/>
    <m/>
    <x v="3"/>
    <x v="2"/>
    <x v="1"/>
    <x v="5"/>
    <x v="0"/>
    <x v="0"/>
    <x v="0"/>
    <m/>
    <x v="0"/>
    <x v="0"/>
    <n v="0.82852237800000017"/>
    <m/>
    <x v="13"/>
    <x v="0"/>
    <x v="0"/>
    <x v="4"/>
    <x v="0"/>
  </r>
  <r>
    <s v="Singapore"/>
    <x v="0"/>
    <s v="SG1"/>
    <m/>
    <x v="0"/>
    <x v="1"/>
    <x v="3"/>
    <x v="0"/>
    <x v="0"/>
    <x v="0"/>
    <x v="0"/>
    <m/>
    <x v="0"/>
    <x v="0"/>
    <n v="1.9418911920000002"/>
    <m/>
    <x v="13"/>
    <x v="3"/>
    <x v="0"/>
    <x v="2"/>
    <x v="0"/>
  </r>
  <r>
    <s v="Singapore"/>
    <x v="0"/>
    <s v="SG2"/>
    <m/>
    <x v="3"/>
    <x v="1"/>
    <x v="3"/>
    <x v="5"/>
    <x v="0"/>
    <x v="0"/>
    <x v="0"/>
    <m/>
    <x v="0"/>
    <x v="0"/>
    <n v="0.73620122399999999"/>
    <m/>
    <x v="13"/>
    <x v="3"/>
    <x v="0"/>
    <x v="2"/>
    <x v="2"/>
  </r>
  <r>
    <s v="Singapore"/>
    <x v="4"/>
    <s v="SG2"/>
    <m/>
    <x v="5"/>
    <x v="0"/>
    <x v="3"/>
    <x v="4"/>
    <x v="0"/>
    <x v="0"/>
    <x v="0"/>
    <m/>
    <x v="0"/>
    <x v="0"/>
    <n v="2.3168465640000004"/>
    <m/>
    <x v="13"/>
    <x v="1"/>
    <x v="0"/>
    <x v="0"/>
    <x v="2"/>
  </r>
  <r>
    <s v="Singapore"/>
    <x v="0"/>
    <s v="SG2"/>
    <m/>
    <x v="5"/>
    <x v="0"/>
    <x v="4"/>
    <x v="1"/>
    <x v="0"/>
    <x v="0"/>
    <x v="0"/>
    <m/>
    <x v="0"/>
    <x v="0"/>
    <n v="7.0261290000000004E-2"/>
    <m/>
    <x v="13"/>
    <x v="2"/>
    <x v="0"/>
    <x v="3"/>
    <x v="2"/>
  </r>
  <r>
    <s v="Singapore"/>
    <x v="5"/>
    <s v="SG2"/>
    <m/>
    <x v="2"/>
    <x v="2"/>
    <x v="2"/>
    <x v="5"/>
    <x v="0"/>
    <x v="0"/>
    <x v="0"/>
    <m/>
    <x v="0"/>
    <x v="0"/>
    <n v="309.62879256600002"/>
    <m/>
    <x v="13"/>
    <x v="1"/>
    <x v="0"/>
    <x v="0"/>
    <x v="2"/>
  </r>
  <r>
    <s v="Singapore"/>
    <x v="1"/>
    <s v="SG3"/>
    <m/>
    <x v="5"/>
    <x v="1"/>
    <x v="1"/>
    <x v="1"/>
    <x v="0"/>
    <x v="0"/>
    <x v="0"/>
    <m/>
    <x v="0"/>
    <x v="0"/>
    <n v="3.4896959999999998E-2"/>
    <m/>
    <x v="13"/>
    <x v="0"/>
    <x v="0"/>
    <x v="2"/>
    <x v="1"/>
  </r>
  <r>
    <s v="Singapore"/>
    <x v="5"/>
    <s v="SG1"/>
    <m/>
    <x v="5"/>
    <x v="0"/>
    <x v="4"/>
    <x v="0"/>
    <x v="0"/>
    <x v="0"/>
    <x v="0"/>
    <m/>
    <x v="0"/>
    <x v="0"/>
    <n v="31.007428964999999"/>
    <m/>
    <x v="13"/>
    <x v="1"/>
    <x v="0"/>
    <x v="0"/>
    <x v="1"/>
  </r>
  <r>
    <s v="Singapore"/>
    <x v="5"/>
    <s v="SG2"/>
    <m/>
    <x v="0"/>
    <x v="2"/>
    <x v="3"/>
    <x v="5"/>
    <x v="0"/>
    <x v="0"/>
    <x v="0"/>
    <m/>
    <x v="0"/>
    <x v="0"/>
    <n v="12.330653868000001"/>
    <m/>
    <x v="13"/>
    <x v="3"/>
    <x v="0"/>
    <x v="5"/>
    <x v="1"/>
  </r>
  <r>
    <s v="Singapore"/>
    <x v="3"/>
    <s v="SG1"/>
    <m/>
    <x v="4"/>
    <x v="2"/>
    <x v="1"/>
    <x v="4"/>
    <x v="0"/>
    <x v="0"/>
    <x v="0"/>
    <m/>
    <x v="0"/>
    <x v="0"/>
    <n v="16.901625941999999"/>
    <m/>
    <x v="13"/>
    <x v="3"/>
    <x v="0"/>
    <x v="2"/>
    <x v="2"/>
  </r>
  <r>
    <s v="Singapore"/>
    <x v="4"/>
    <s v="SG3"/>
    <m/>
    <x v="0"/>
    <x v="2"/>
    <x v="0"/>
    <x v="5"/>
    <x v="0"/>
    <x v="0"/>
    <x v="0"/>
    <m/>
    <x v="0"/>
    <x v="0"/>
    <n v="0.56209032000000003"/>
    <m/>
    <x v="13"/>
    <x v="2"/>
    <x v="0"/>
    <x v="3"/>
    <x v="0"/>
  </r>
  <r>
    <s v="Singapore"/>
    <x v="5"/>
    <s v="SG4"/>
    <m/>
    <x v="2"/>
    <x v="0"/>
    <x v="1"/>
    <x v="1"/>
    <x v="0"/>
    <x v="0"/>
    <x v="0"/>
    <m/>
    <x v="0"/>
    <x v="0"/>
    <n v="2.3168465640000004"/>
    <m/>
    <x v="13"/>
    <x v="2"/>
    <x v="0"/>
    <x v="1"/>
    <x v="1"/>
  </r>
  <r>
    <s v="Singapore"/>
    <x v="3"/>
    <s v="SG1"/>
    <m/>
    <x v="4"/>
    <x v="0"/>
    <x v="2"/>
    <x v="0"/>
    <x v="0"/>
    <x v="0"/>
    <x v="0"/>
    <m/>
    <x v="0"/>
    <x v="0"/>
    <n v="4.093413408"/>
    <m/>
    <x v="13"/>
    <x v="2"/>
    <x v="0"/>
    <x v="0"/>
    <x v="1"/>
  </r>
  <r>
    <s v="Singapore"/>
    <x v="3"/>
    <s v="SG4"/>
    <m/>
    <x v="0"/>
    <x v="2"/>
    <x v="1"/>
    <x v="4"/>
    <x v="0"/>
    <x v="0"/>
    <x v="0"/>
    <m/>
    <x v="0"/>
    <x v="0"/>
    <n v="0.25174106100000004"/>
    <m/>
    <x v="13"/>
    <x v="2"/>
    <x v="0"/>
    <x v="5"/>
    <x v="2"/>
  </r>
  <r>
    <s v="Singapore"/>
    <x v="4"/>
    <s v="SG2"/>
    <m/>
    <x v="2"/>
    <x v="4"/>
    <x v="1"/>
    <x v="5"/>
    <x v="0"/>
    <x v="0"/>
    <x v="0"/>
    <m/>
    <x v="0"/>
    <x v="0"/>
    <n v="-0.1885059"/>
    <m/>
    <x v="13"/>
    <x v="3"/>
    <x v="0"/>
    <x v="0"/>
    <x v="1"/>
  </r>
  <r>
    <s v="Singapore"/>
    <x v="0"/>
    <s v="SG4"/>
    <m/>
    <x v="1"/>
    <x v="1"/>
    <x v="1"/>
    <x v="2"/>
    <x v="0"/>
    <x v="0"/>
    <x v="0"/>
    <m/>
    <x v="0"/>
    <x v="0"/>
    <n v="0.44789625000000005"/>
    <m/>
    <x v="13"/>
    <x v="2"/>
    <x v="0"/>
    <x v="3"/>
    <x v="1"/>
  </r>
  <r>
    <s v="Singapore"/>
    <x v="0"/>
    <s v="SG1"/>
    <m/>
    <x v="2"/>
    <x v="3"/>
    <x v="2"/>
    <x v="3"/>
    <x v="0"/>
    <x v="0"/>
    <x v="0"/>
    <m/>
    <x v="0"/>
    <x v="0"/>
    <n v="2.9128367880000003"/>
    <m/>
    <x v="13"/>
    <x v="3"/>
    <x v="0"/>
    <x v="3"/>
    <x v="1"/>
  </r>
  <r>
    <s v="Singapore"/>
    <x v="4"/>
    <s v="SG2"/>
    <m/>
    <x v="2"/>
    <x v="0"/>
    <x v="4"/>
    <x v="4"/>
    <x v="0"/>
    <x v="0"/>
    <x v="0"/>
    <m/>
    <x v="0"/>
    <x v="0"/>
    <n v="4.5940757310000002"/>
    <m/>
    <x v="13"/>
    <x v="2"/>
    <x v="0"/>
    <x v="1"/>
    <x v="0"/>
  </r>
  <r>
    <s v="Singapore"/>
    <x v="4"/>
    <s v="SG2"/>
    <m/>
    <x v="2"/>
    <x v="3"/>
    <x v="1"/>
    <x v="1"/>
    <x v="0"/>
    <x v="0"/>
    <x v="0"/>
    <m/>
    <x v="0"/>
    <x v="0"/>
    <n v="0.14052258000000001"/>
    <m/>
    <x v="13"/>
    <x v="0"/>
    <x v="0"/>
    <x v="1"/>
    <x v="2"/>
  </r>
  <r>
    <s v="Singapore"/>
    <x v="5"/>
    <s v="SG4"/>
    <m/>
    <x v="5"/>
    <x v="0"/>
    <x v="0"/>
    <x v="2"/>
    <x v="0"/>
    <x v="0"/>
    <x v="0"/>
    <m/>
    <x v="0"/>
    <x v="0"/>
    <n v="11.635456572000001"/>
    <m/>
    <x v="13"/>
    <x v="1"/>
    <x v="0"/>
    <x v="2"/>
    <x v="0"/>
  </r>
  <r>
    <s v="Singapore"/>
    <x v="1"/>
    <s v="SG3"/>
    <m/>
    <x v="2"/>
    <x v="4"/>
    <x v="4"/>
    <x v="1"/>
    <x v="0"/>
    <x v="0"/>
    <x v="0"/>
    <m/>
    <x v="0"/>
    <x v="0"/>
    <n v="4.5941068889999999"/>
    <m/>
    <x v="13"/>
    <x v="3"/>
    <x v="0"/>
    <x v="0"/>
    <x v="0"/>
  </r>
  <r>
    <s v="Singapore"/>
    <x v="2"/>
    <s v="SG3"/>
    <m/>
    <x v="5"/>
    <x v="2"/>
    <x v="2"/>
    <x v="5"/>
    <x v="0"/>
    <x v="0"/>
    <x v="0"/>
    <m/>
    <x v="0"/>
    <x v="0"/>
    <n v="6.0602309999999999"/>
    <m/>
    <x v="13"/>
    <x v="2"/>
    <x v="0"/>
    <x v="3"/>
    <x v="0"/>
  </r>
  <r>
    <s v="Singapore"/>
    <x v="2"/>
    <s v="SG4"/>
    <m/>
    <x v="3"/>
    <x v="0"/>
    <x v="2"/>
    <x v="2"/>
    <x v="0"/>
    <x v="0"/>
    <x v="0"/>
    <m/>
    <x v="0"/>
    <x v="0"/>
    <n v="59.838440472000002"/>
    <m/>
    <x v="13"/>
    <x v="1"/>
    <x v="0"/>
    <x v="0"/>
    <x v="1"/>
  </r>
  <r>
    <s v="Singapore"/>
    <x v="3"/>
    <s v="SG2"/>
    <m/>
    <x v="5"/>
    <x v="3"/>
    <x v="0"/>
    <x v="0"/>
    <x v="0"/>
    <x v="0"/>
    <x v="0"/>
    <m/>
    <x v="0"/>
    <x v="0"/>
    <n v="11.635456572000001"/>
    <m/>
    <x v="13"/>
    <x v="0"/>
    <x v="0"/>
    <x v="0"/>
    <x v="2"/>
  </r>
  <r>
    <s v="Singapore"/>
    <x v="1"/>
    <s v="SG3"/>
    <m/>
    <x v="2"/>
    <x v="2"/>
    <x v="1"/>
    <x v="2"/>
    <x v="0"/>
    <x v="0"/>
    <x v="0"/>
    <m/>
    <x v="0"/>
    <x v="0"/>
    <n v="172.3956561"/>
    <m/>
    <x v="13"/>
    <x v="2"/>
    <x v="0"/>
    <x v="0"/>
    <x v="2"/>
  </r>
  <r>
    <s v="Singapore"/>
    <x v="1"/>
    <s v="SG4"/>
    <m/>
    <x v="4"/>
    <x v="3"/>
    <x v="4"/>
    <x v="5"/>
    <x v="0"/>
    <x v="0"/>
    <x v="0"/>
    <m/>
    <x v="0"/>
    <x v="0"/>
    <n v="4.6269629999999999E-2"/>
    <m/>
    <x v="13"/>
    <x v="2"/>
    <x v="0"/>
    <x v="0"/>
    <x v="1"/>
  </r>
  <r>
    <s v="Singapore"/>
    <x v="5"/>
    <s v="SG3"/>
    <m/>
    <x v="1"/>
    <x v="2"/>
    <x v="4"/>
    <x v="0"/>
    <x v="0"/>
    <x v="0"/>
    <x v="0"/>
    <m/>
    <x v="0"/>
    <x v="0"/>
    <n v="0.10517382900000001"/>
    <m/>
    <x v="13"/>
    <x v="1"/>
    <x v="0"/>
    <x v="4"/>
    <x v="1"/>
  </r>
  <r>
    <s v="Singapore"/>
    <x v="0"/>
    <s v="SG2"/>
    <m/>
    <x v="5"/>
    <x v="1"/>
    <x v="2"/>
    <x v="5"/>
    <x v="0"/>
    <x v="0"/>
    <x v="0"/>
    <m/>
    <x v="0"/>
    <x v="0"/>
    <n v="3.9602129580000001"/>
    <m/>
    <x v="13"/>
    <x v="2"/>
    <x v="0"/>
    <x v="0"/>
    <x v="2"/>
  </r>
  <r>
    <s v="Singapore"/>
    <x v="4"/>
    <s v="SG1"/>
    <m/>
    <x v="4"/>
    <x v="1"/>
    <x v="1"/>
    <x v="5"/>
    <x v="0"/>
    <x v="0"/>
    <x v="0"/>
    <m/>
    <x v="0"/>
    <x v="0"/>
    <n v="138.79352910599999"/>
    <m/>
    <x v="13"/>
    <x v="0"/>
    <x v="0"/>
    <x v="3"/>
    <x v="1"/>
  </r>
  <r>
    <s v="Singapore"/>
    <x v="4"/>
    <s v="SG4"/>
    <m/>
    <x v="3"/>
    <x v="4"/>
    <x v="0"/>
    <x v="1"/>
    <x v="0"/>
    <x v="0"/>
    <x v="0"/>
    <m/>
    <x v="0"/>
    <x v="0"/>
    <n v="-0.1885059"/>
    <m/>
    <x v="13"/>
    <x v="2"/>
    <x v="0"/>
    <x v="2"/>
    <x v="0"/>
  </r>
  <r>
    <s v="Singapore"/>
    <x v="3"/>
    <s v="SG3"/>
    <m/>
    <x v="2"/>
    <x v="3"/>
    <x v="1"/>
    <x v="1"/>
    <x v="0"/>
    <x v="0"/>
    <x v="0"/>
    <m/>
    <x v="0"/>
    <x v="0"/>
    <n v="0.25174106100000004"/>
    <m/>
    <x v="13"/>
    <x v="0"/>
    <x v="0"/>
    <x v="2"/>
    <x v="0"/>
  </r>
  <r>
    <s v="Singapore"/>
    <x v="0"/>
    <s v="SG4"/>
    <m/>
    <x v="5"/>
    <x v="3"/>
    <x v="2"/>
    <x v="2"/>
    <x v="0"/>
    <x v="0"/>
    <x v="0"/>
    <m/>
    <x v="0"/>
    <x v="0"/>
    <n v="16.926038235"/>
    <m/>
    <x v="13"/>
    <x v="3"/>
    <x v="0"/>
    <x v="2"/>
    <x v="0"/>
  </r>
  <r>
    <s v="Singapore"/>
    <x v="4"/>
    <s v="SG3"/>
    <m/>
    <x v="4"/>
    <x v="3"/>
    <x v="1"/>
    <x v="2"/>
    <x v="0"/>
    <x v="0"/>
    <x v="0"/>
    <m/>
    <x v="0"/>
    <x v="0"/>
    <n v="-0.1885059"/>
    <m/>
    <x v="13"/>
    <x v="2"/>
    <x v="0"/>
    <x v="1"/>
    <x v="0"/>
  </r>
  <r>
    <s v="Singapore"/>
    <x v="0"/>
    <s v="SG1"/>
    <m/>
    <x v="2"/>
    <x v="2"/>
    <x v="1"/>
    <x v="4"/>
    <x v="0"/>
    <x v="0"/>
    <x v="0"/>
    <m/>
    <x v="0"/>
    <x v="0"/>
    <n v="4.5941068889999999"/>
    <m/>
    <x v="13"/>
    <x v="1"/>
    <x v="0"/>
    <x v="2"/>
    <x v="1"/>
  </r>
  <r>
    <s v="Singapore"/>
    <x v="3"/>
    <s v="SG3"/>
    <m/>
    <x v="4"/>
    <x v="0"/>
    <x v="3"/>
    <x v="1"/>
    <x v="0"/>
    <x v="0"/>
    <x v="0"/>
    <m/>
    <x v="0"/>
    <x v="0"/>
    <n v="11.635456572000001"/>
    <m/>
    <x v="13"/>
    <x v="3"/>
    <x v="0"/>
    <x v="4"/>
    <x v="2"/>
  </r>
  <r>
    <s v="Singapore"/>
    <x v="4"/>
    <s v="SG1"/>
    <m/>
    <x v="4"/>
    <x v="3"/>
    <x v="0"/>
    <x v="3"/>
    <x v="0"/>
    <x v="0"/>
    <x v="0"/>
    <m/>
    <x v="0"/>
    <x v="0"/>
    <n v="1.4421168719999999"/>
    <m/>
    <x v="13"/>
    <x v="1"/>
    <x v="0"/>
    <x v="4"/>
    <x v="1"/>
  </r>
  <r>
    <s v="Singapore"/>
    <x v="3"/>
    <s v="SG3"/>
    <m/>
    <x v="2"/>
    <x v="1"/>
    <x v="3"/>
    <x v="3"/>
    <x v="0"/>
    <x v="0"/>
    <x v="0"/>
    <m/>
    <x v="0"/>
    <x v="0"/>
    <n v="3.0734874360000002"/>
    <m/>
    <x v="13"/>
    <x v="1"/>
    <x v="0"/>
    <x v="0"/>
    <x v="0"/>
  </r>
  <r>
    <s v="Singapore"/>
    <x v="5"/>
    <s v="SG2"/>
    <m/>
    <x v="1"/>
    <x v="4"/>
    <x v="0"/>
    <x v="2"/>
    <x v="0"/>
    <x v="0"/>
    <x v="0"/>
    <m/>
    <x v="0"/>
    <x v="0"/>
    <n v="3.0793607189999999"/>
    <m/>
    <x v="13"/>
    <x v="1"/>
    <x v="0"/>
    <x v="3"/>
    <x v="1"/>
  </r>
  <r>
    <s v="Singapore"/>
    <x v="3"/>
    <s v="SG4"/>
    <m/>
    <x v="4"/>
    <x v="2"/>
    <x v="2"/>
    <x v="2"/>
    <x v="0"/>
    <x v="0"/>
    <x v="0"/>
    <m/>
    <x v="0"/>
    <x v="0"/>
    <n v="0.25174106100000004"/>
    <m/>
    <x v="13"/>
    <x v="2"/>
    <x v="0"/>
    <x v="5"/>
    <x v="2"/>
  </r>
  <r>
    <s v="Singapore"/>
    <x v="1"/>
    <s v="SG2"/>
    <m/>
    <x v="2"/>
    <x v="0"/>
    <x v="3"/>
    <x v="0"/>
    <x v="0"/>
    <x v="0"/>
    <x v="0"/>
    <m/>
    <x v="0"/>
    <x v="0"/>
    <n v="3.2982924059999998"/>
    <m/>
    <x v="13"/>
    <x v="1"/>
    <x v="0"/>
    <x v="0"/>
    <x v="2"/>
  </r>
  <r>
    <s v="Singapore"/>
    <x v="2"/>
    <s v="SG1"/>
    <m/>
    <x v="3"/>
    <x v="2"/>
    <x v="1"/>
    <x v="1"/>
    <x v="0"/>
    <x v="0"/>
    <x v="0"/>
    <m/>
    <x v="0"/>
    <x v="0"/>
    <n v="5.9281989749999999"/>
    <m/>
    <x v="13"/>
    <x v="2"/>
    <x v="0"/>
    <x v="4"/>
    <x v="1"/>
  </r>
  <r>
    <s v="Singapore"/>
    <x v="2"/>
    <s v="SG2"/>
    <m/>
    <x v="0"/>
    <x v="2"/>
    <x v="1"/>
    <x v="3"/>
    <x v="0"/>
    <x v="0"/>
    <x v="0"/>
    <m/>
    <x v="0"/>
    <x v="0"/>
    <n v="1.2971075400000001"/>
    <m/>
    <x v="13"/>
    <x v="3"/>
    <x v="0"/>
    <x v="3"/>
    <x v="2"/>
  </r>
  <r>
    <s v="Singapore"/>
    <x v="5"/>
    <s v="SG4"/>
    <m/>
    <x v="4"/>
    <x v="0"/>
    <x v="0"/>
    <x v="3"/>
    <x v="0"/>
    <x v="0"/>
    <x v="0"/>
    <m/>
    <x v="0"/>
    <x v="0"/>
    <n v="4.7983320000000003E-2"/>
    <m/>
    <x v="13"/>
    <x v="0"/>
    <x v="0"/>
    <x v="4"/>
    <x v="1"/>
  </r>
  <r>
    <s v="Singapore"/>
    <x v="1"/>
    <s v="SG3"/>
    <m/>
    <x v="0"/>
    <x v="4"/>
    <x v="3"/>
    <x v="5"/>
    <x v="0"/>
    <x v="0"/>
    <x v="0"/>
    <m/>
    <x v="0"/>
    <x v="0"/>
    <n v="3.3852076470000001"/>
    <m/>
    <x v="13"/>
    <x v="2"/>
    <x v="0"/>
    <x v="1"/>
    <x v="0"/>
  </r>
  <r>
    <s v="Singapore"/>
    <x v="2"/>
    <s v="SG2"/>
    <m/>
    <x v="0"/>
    <x v="0"/>
    <x v="0"/>
    <x v="4"/>
    <x v="0"/>
    <x v="0"/>
    <x v="0"/>
    <m/>
    <x v="0"/>
    <x v="0"/>
    <n v="0.23712795900000003"/>
    <m/>
    <x v="13"/>
    <x v="3"/>
    <x v="0"/>
    <x v="1"/>
    <x v="0"/>
  </r>
  <r>
    <s v="Singapore"/>
    <x v="4"/>
    <s v="SG1"/>
    <m/>
    <x v="5"/>
    <x v="2"/>
    <x v="4"/>
    <x v="5"/>
    <x v="0"/>
    <x v="0"/>
    <x v="0"/>
    <m/>
    <x v="0"/>
    <x v="0"/>
    <n v="4.7983320000000003E-2"/>
    <m/>
    <x v="13"/>
    <x v="0"/>
    <x v="0"/>
    <x v="1"/>
    <x v="1"/>
  </r>
  <r>
    <s v="Singapore"/>
    <x v="2"/>
    <s v="SG4"/>
    <m/>
    <x v="1"/>
    <x v="0"/>
    <x v="0"/>
    <x v="2"/>
    <x v="0"/>
    <x v="0"/>
    <x v="0"/>
    <m/>
    <x v="0"/>
    <x v="0"/>
    <n v="138.874275063"/>
    <m/>
    <x v="13"/>
    <x v="1"/>
    <x v="0"/>
    <x v="0"/>
    <x v="0"/>
  </r>
  <r>
    <s v="Singapore"/>
    <x v="2"/>
    <s v="SG2"/>
    <m/>
    <x v="2"/>
    <x v="3"/>
    <x v="1"/>
    <x v="1"/>
    <x v="0"/>
    <x v="0"/>
    <x v="0"/>
    <m/>
    <x v="0"/>
    <x v="0"/>
    <n v="5.1957834480000002"/>
    <m/>
    <x v="13"/>
    <x v="1"/>
    <x v="0"/>
    <x v="1"/>
    <x v="2"/>
  </r>
  <r>
    <s v="Singapore"/>
    <x v="5"/>
    <s v="SG1"/>
    <m/>
    <x v="1"/>
    <x v="0"/>
    <x v="2"/>
    <x v="5"/>
    <x v="0"/>
    <x v="0"/>
    <x v="0"/>
    <m/>
    <x v="0"/>
    <x v="0"/>
    <n v="-0.20564280000000001"/>
    <m/>
    <x v="13"/>
    <x v="0"/>
    <x v="0"/>
    <x v="2"/>
    <x v="2"/>
  </r>
  <r>
    <s v="Singapore"/>
    <x v="2"/>
    <s v="SG4"/>
    <m/>
    <x v="1"/>
    <x v="3"/>
    <x v="1"/>
    <x v="1"/>
    <x v="0"/>
    <x v="0"/>
    <x v="0"/>
    <m/>
    <x v="0"/>
    <x v="0"/>
    <n v="1.01543922"/>
    <m/>
    <x v="13"/>
    <x v="3"/>
    <x v="0"/>
    <x v="1"/>
    <x v="1"/>
  </r>
  <r>
    <s v="Singapore"/>
    <x v="1"/>
    <s v="SG2"/>
    <m/>
    <x v="2"/>
    <x v="2"/>
    <x v="2"/>
    <x v="5"/>
    <x v="0"/>
    <x v="0"/>
    <x v="0"/>
    <m/>
    <x v="0"/>
    <x v="0"/>
    <n v="37.750331745000004"/>
    <m/>
    <x v="13"/>
    <x v="1"/>
    <x v="0"/>
    <x v="1"/>
    <x v="0"/>
  </r>
  <r>
    <s v="Singapore"/>
    <x v="1"/>
    <s v="SG1"/>
    <m/>
    <x v="5"/>
    <x v="3"/>
    <x v="1"/>
    <x v="1"/>
    <x v="0"/>
    <x v="0"/>
    <x v="0"/>
    <m/>
    <x v="0"/>
    <x v="0"/>
    <n v="0.28045315800000004"/>
    <m/>
    <x v="13"/>
    <x v="2"/>
    <x v="0"/>
    <x v="1"/>
    <x v="1"/>
  </r>
  <r>
    <s v="Singapore"/>
    <x v="2"/>
    <s v="SG1"/>
    <m/>
    <x v="5"/>
    <x v="1"/>
    <x v="0"/>
    <x v="2"/>
    <x v="0"/>
    <x v="0"/>
    <x v="0"/>
    <m/>
    <x v="0"/>
    <x v="0"/>
    <n v="2.3168465640000004"/>
    <m/>
    <x v="13"/>
    <x v="0"/>
    <x v="0"/>
    <x v="0"/>
    <x v="2"/>
  </r>
  <r>
    <s v="Singapore"/>
    <x v="4"/>
    <s v="SG1"/>
    <m/>
    <x v="0"/>
    <x v="1"/>
    <x v="0"/>
    <x v="2"/>
    <x v="0"/>
    <x v="0"/>
    <x v="0"/>
    <m/>
    <x v="0"/>
    <x v="0"/>
    <n v="-0.1885059"/>
    <m/>
    <x v="13"/>
    <x v="0"/>
    <x v="0"/>
    <x v="2"/>
    <x v="1"/>
  </r>
  <r>
    <s v="Singapore"/>
    <x v="0"/>
    <s v="SG1"/>
    <m/>
    <x v="3"/>
    <x v="1"/>
    <x v="1"/>
    <x v="4"/>
    <x v="0"/>
    <x v="0"/>
    <x v="0"/>
    <m/>
    <x v="0"/>
    <x v="0"/>
    <n v="62.253980001000009"/>
    <m/>
    <x v="13"/>
    <x v="2"/>
    <x v="0"/>
    <x v="1"/>
    <x v="1"/>
  </r>
  <r>
    <s v="Singapore"/>
    <x v="1"/>
    <s v="SG3"/>
    <m/>
    <x v="4"/>
    <x v="4"/>
    <x v="2"/>
    <x v="3"/>
    <x v="0"/>
    <x v="0"/>
    <x v="0"/>
    <m/>
    <x v="0"/>
    <x v="0"/>
    <n v="4.1128559999999998"/>
    <m/>
    <x v="13"/>
    <x v="3"/>
    <x v="0"/>
    <x v="4"/>
    <x v="0"/>
  </r>
  <r>
    <s v="Singapore"/>
    <x v="5"/>
    <s v="SG1"/>
    <m/>
    <x v="5"/>
    <x v="1"/>
    <x v="2"/>
    <x v="1"/>
    <x v="0"/>
    <x v="0"/>
    <x v="0"/>
    <m/>
    <x v="0"/>
    <x v="0"/>
    <n v="17.370787527000001"/>
    <m/>
    <x v="13"/>
    <x v="0"/>
    <x v="0"/>
    <x v="5"/>
    <x v="1"/>
  </r>
  <r>
    <s v="Singapore"/>
    <x v="1"/>
    <s v="SG1"/>
    <m/>
    <x v="4"/>
    <x v="1"/>
    <x v="3"/>
    <x v="5"/>
    <x v="0"/>
    <x v="0"/>
    <x v="0"/>
    <m/>
    <x v="0"/>
    <x v="0"/>
    <n v="0.10517382900000001"/>
    <m/>
    <x v="13"/>
    <x v="1"/>
    <x v="0"/>
    <x v="1"/>
    <x v="1"/>
  </r>
  <r>
    <s v="Singapore"/>
    <x v="3"/>
    <s v="SG4"/>
    <m/>
    <x v="2"/>
    <x v="2"/>
    <x v="4"/>
    <x v="0"/>
    <x v="0"/>
    <x v="0"/>
    <x v="0"/>
    <m/>
    <x v="0"/>
    <x v="0"/>
    <n v="188.03764199700001"/>
    <m/>
    <x v="13"/>
    <x v="2"/>
    <x v="0"/>
    <x v="0"/>
    <x v="1"/>
  </r>
  <r>
    <s v="Singapore"/>
    <x v="2"/>
    <s v="SG4"/>
    <m/>
    <x v="4"/>
    <x v="3"/>
    <x v="1"/>
    <x v="2"/>
    <x v="0"/>
    <x v="0"/>
    <x v="0"/>
    <m/>
    <x v="0"/>
    <x v="0"/>
    <n v="0.52586914500000004"/>
    <m/>
    <x v="13"/>
    <x v="1"/>
    <x v="0"/>
    <x v="5"/>
    <x v="2"/>
  </r>
  <r>
    <s v="Singapore"/>
    <x v="3"/>
    <s v="SG1"/>
    <m/>
    <x v="0"/>
    <x v="3"/>
    <x v="0"/>
    <x v="5"/>
    <x v="0"/>
    <x v="0"/>
    <x v="0"/>
    <m/>
    <x v="0"/>
    <x v="0"/>
    <n v="1.4754870900000001"/>
    <m/>
    <x v="13"/>
    <x v="2"/>
    <x v="0"/>
    <x v="2"/>
    <x v="0"/>
  </r>
  <r>
    <s v="Singapore"/>
    <x v="5"/>
    <s v="SG1"/>
    <m/>
    <x v="1"/>
    <x v="0"/>
    <x v="2"/>
    <x v="2"/>
    <x v="0"/>
    <x v="0"/>
    <x v="0"/>
    <m/>
    <x v="0"/>
    <x v="0"/>
    <n v="7.422536655"/>
    <m/>
    <x v="13"/>
    <x v="0"/>
    <x v="0"/>
    <x v="5"/>
    <x v="1"/>
  </r>
  <r>
    <s v="Singapore"/>
    <x v="3"/>
    <s v="SG3"/>
    <m/>
    <x v="5"/>
    <x v="0"/>
    <x v="4"/>
    <x v="2"/>
    <x v="0"/>
    <x v="0"/>
    <x v="0"/>
    <m/>
    <x v="0"/>
    <x v="0"/>
    <n v="0.90915928200000007"/>
    <m/>
    <x v="13"/>
    <x v="3"/>
    <x v="0"/>
    <x v="3"/>
    <x v="0"/>
  </r>
  <r>
    <s v="Singapore"/>
    <x v="4"/>
    <s v="SG4"/>
    <m/>
    <x v="2"/>
    <x v="3"/>
    <x v="0"/>
    <x v="5"/>
    <x v="0"/>
    <x v="0"/>
    <x v="0"/>
    <m/>
    <x v="0"/>
    <x v="0"/>
    <n v="2.9327155920000001"/>
    <m/>
    <x v="13"/>
    <x v="3"/>
    <x v="0"/>
    <x v="1"/>
    <x v="1"/>
  </r>
  <r>
    <s v="Singapore"/>
    <x v="3"/>
    <s v="SG4"/>
    <m/>
    <x v="2"/>
    <x v="3"/>
    <x v="1"/>
    <x v="2"/>
    <x v="0"/>
    <x v="0"/>
    <x v="0"/>
    <m/>
    <x v="0"/>
    <x v="0"/>
    <n v="1.9418911920000002"/>
    <m/>
    <x v="13"/>
    <x v="0"/>
    <x v="0"/>
    <x v="5"/>
    <x v="1"/>
  </r>
  <r>
    <s v="Singapore"/>
    <x v="2"/>
    <s v="SG3"/>
    <m/>
    <x v="2"/>
    <x v="3"/>
    <x v="4"/>
    <x v="5"/>
    <x v="0"/>
    <x v="0"/>
    <x v="0"/>
    <m/>
    <x v="0"/>
    <x v="0"/>
    <n v="8.7636392910000005"/>
    <m/>
    <x v="13"/>
    <x v="3"/>
    <x v="0"/>
    <x v="2"/>
    <x v="1"/>
  </r>
  <r>
    <s v="Singapore"/>
    <x v="2"/>
    <s v="SG1"/>
    <m/>
    <x v="5"/>
    <x v="0"/>
    <x v="3"/>
    <x v="0"/>
    <x v="0"/>
    <x v="0"/>
    <x v="0"/>
    <m/>
    <x v="0"/>
    <x v="0"/>
    <n v="0.47640582000000004"/>
    <m/>
    <x v="13"/>
    <x v="1"/>
    <x v="0"/>
    <x v="0"/>
    <x v="1"/>
  </r>
  <r>
    <s v="Singapore"/>
    <x v="2"/>
    <s v="SG2"/>
    <m/>
    <x v="0"/>
    <x v="0"/>
    <x v="0"/>
    <x v="1"/>
    <x v="0"/>
    <x v="0"/>
    <x v="0"/>
    <m/>
    <x v="0"/>
    <x v="0"/>
    <n v="12.384354681000001"/>
    <m/>
    <x v="13"/>
    <x v="1"/>
    <x v="0"/>
    <x v="1"/>
    <x v="2"/>
  </r>
  <r>
    <s v="Singapore"/>
    <x v="4"/>
    <s v="SG2"/>
    <m/>
    <x v="0"/>
    <x v="0"/>
    <x v="2"/>
    <x v="1"/>
    <x v="0"/>
    <x v="0"/>
    <x v="0"/>
    <m/>
    <x v="0"/>
    <x v="0"/>
    <n v="12.865730202"/>
    <m/>
    <x v="13"/>
    <x v="2"/>
    <x v="0"/>
    <x v="0"/>
    <x v="1"/>
  </r>
  <r>
    <s v="Singapore"/>
    <x v="0"/>
    <s v="SG3"/>
    <m/>
    <x v="3"/>
    <x v="2"/>
    <x v="3"/>
    <x v="1"/>
    <x v="0"/>
    <x v="0"/>
    <x v="0"/>
    <m/>
    <x v="0"/>
    <x v="0"/>
    <n v="52.112331423000008"/>
    <m/>
    <x v="13"/>
    <x v="1"/>
    <x v="0"/>
    <x v="1"/>
    <x v="1"/>
  </r>
  <r>
    <s v="Singapore"/>
    <x v="0"/>
    <s v="SG1"/>
    <m/>
    <x v="2"/>
    <x v="3"/>
    <x v="3"/>
    <x v="1"/>
    <x v="0"/>
    <x v="0"/>
    <x v="0"/>
    <m/>
    <x v="0"/>
    <x v="0"/>
    <n v="43.098914024999999"/>
    <m/>
    <x v="13"/>
    <x v="2"/>
    <x v="0"/>
    <x v="0"/>
    <x v="1"/>
  </r>
  <r>
    <s v="Singapore"/>
    <x v="0"/>
    <s v="SG4"/>
    <m/>
    <x v="3"/>
    <x v="4"/>
    <x v="0"/>
    <x v="5"/>
    <x v="0"/>
    <x v="0"/>
    <x v="0"/>
    <m/>
    <x v="0"/>
    <x v="0"/>
    <n v="1.9418911920000002"/>
    <m/>
    <x v="13"/>
    <x v="0"/>
    <x v="0"/>
    <x v="0"/>
    <x v="1"/>
  </r>
  <r>
    <s v="Singapore"/>
    <x v="0"/>
    <s v="SG2"/>
    <m/>
    <x v="2"/>
    <x v="3"/>
    <x v="4"/>
    <x v="4"/>
    <x v="0"/>
    <x v="0"/>
    <x v="0"/>
    <m/>
    <x v="0"/>
    <x v="0"/>
    <n v="2.1509302140000002"/>
    <m/>
    <x v="13"/>
    <x v="2"/>
    <x v="0"/>
    <x v="3"/>
    <x v="2"/>
  </r>
  <r>
    <s v="Singapore"/>
    <x v="1"/>
    <s v="SG3"/>
    <m/>
    <x v="3"/>
    <x v="1"/>
    <x v="4"/>
    <x v="5"/>
    <x v="0"/>
    <x v="0"/>
    <x v="0"/>
    <m/>
    <x v="0"/>
    <x v="0"/>
    <n v="52.913403602999999"/>
    <m/>
    <x v="13"/>
    <x v="1"/>
    <x v="0"/>
    <x v="5"/>
    <x v="2"/>
  </r>
  <r>
    <s v="Singapore"/>
    <x v="5"/>
    <s v="SG1"/>
    <m/>
    <x v="3"/>
    <x v="3"/>
    <x v="1"/>
    <x v="0"/>
    <x v="0"/>
    <x v="0"/>
    <x v="0"/>
    <m/>
    <x v="0"/>
    <x v="0"/>
    <n v="0.44789625000000005"/>
    <m/>
    <x v="13"/>
    <x v="3"/>
    <x v="0"/>
    <x v="3"/>
    <x v="1"/>
  </r>
  <r>
    <s v="Singapore"/>
    <x v="3"/>
    <s v="SG2"/>
    <m/>
    <x v="4"/>
    <x v="2"/>
    <x v="1"/>
    <x v="0"/>
    <x v="0"/>
    <x v="0"/>
    <x v="0"/>
    <m/>
    <x v="0"/>
    <x v="0"/>
    <n v="-0.1885059"/>
    <m/>
    <x v="13"/>
    <x v="1"/>
    <x v="0"/>
    <x v="3"/>
    <x v="0"/>
  </r>
  <r>
    <s v="Singapore"/>
    <x v="4"/>
    <s v="SG3"/>
    <m/>
    <x v="1"/>
    <x v="1"/>
    <x v="0"/>
    <x v="4"/>
    <x v="0"/>
    <x v="0"/>
    <x v="0"/>
    <m/>
    <x v="0"/>
    <x v="0"/>
    <n v="68.503963221000006"/>
    <m/>
    <x v="13"/>
    <x v="0"/>
    <x v="0"/>
    <x v="0"/>
    <x v="2"/>
  </r>
  <r>
    <s v="Singapore"/>
    <x v="0"/>
    <s v="SG4"/>
    <m/>
    <x v="2"/>
    <x v="3"/>
    <x v="1"/>
    <x v="1"/>
    <x v="0"/>
    <x v="0"/>
    <x v="0"/>
    <m/>
    <x v="0"/>
    <x v="0"/>
    <n v="1.4227677540000001"/>
    <m/>
    <x v="13"/>
    <x v="2"/>
    <x v="0"/>
    <x v="1"/>
    <x v="0"/>
  </r>
  <r>
    <s v="Singapore"/>
    <x v="2"/>
    <s v="SG4"/>
    <m/>
    <x v="3"/>
    <x v="2"/>
    <x v="1"/>
    <x v="5"/>
    <x v="0"/>
    <x v="0"/>
    <x v="0"/>
    <m/>
    <x v="0"/>
    <x v="0"/>
    <n v="7.0261290000000004E-2"/>
    <m/>
    <x v="13"/>
    <x v="2"/>
    <x v="0"/>
    <x v="4"/>
    <x v="1"/>
  </r>
  <r>
    <s v="Singapore"/>
    <x v="3"/>
    <s v="SG3"/>
    <m/>
    <x v="5"/>
    <x v="0"/>
    <x v="0"/>
    <x v="1"/>
    <x v="0"/>
    <x v="0"/>
    <x v="0"/>
    <m/>
    <x v="0"/>
    <x v="0"/>
    <n v="9.5966640000000006E-2"/>
    <m/>
    <x v="13"/>
    <x v="3"/>
    <x v="0"/>
    <x v="2"/>
    <x v="2"/>
  </r>
  <r>
    <s v="Singapore"/>
    <x v="2"/>
    <s v="SG3"/>
    <m/>
    <x v="3"/>
    <x v="4"/>
    <x v="0"/>
    <x v="5"/>
    <x v="0"/>
    <x v="0"/>
    <x v="0"/>
    <m/>
    <x v="0"/>
    <x v="0"/>
    <n v="185.10963126300001"/>
    <m/>
    <x v="13"/>
    <x v="3"/>
    <x v="0"/>
    <x v="5"/>
    <x v="1"/>
  </r>
  <r>
    <s v="Singapore"/>
    <x v="4"/>
    <s v="SG2"/>
    <m/>
    <x v="5"/>
    <x v="2"/>
    <x v="3"/>
    <x v="5"/>
    <x v="0"/>
    <x v="0"/>
    <x v="0"/>
    <m/>
    <x v="0"/>
    <x v="0"/>
    <n v="2.7044520840000001"/>
    <m/>
    <x v="14"/>
    <x v="2"/>
    <x v="0"/>
    <x v="0"/>
    <x v="2"/>
  </r>
  <r>
    <s v="Singapore"/>
    <x v="2"/>
    <s v="SG2"/>
    <m/>
    <x v="4"/>
    <x v="1"/>
    <x v="2"/>
    <x v="5"/>
    <x v="0"/>
    <x v="0"/>
    <x v="0"/>
    <m/>
    <x v="0"/>
    <x v="0"/>
    <n v="6.2316000000000003E-3"/>
    <m/>
    <x v="14"/>
    <x v="0"/>
    <x v="0"/>
    <x v="0"/>
    <x v="1"/>
  </r>
  <r>
    <s v="Singapore"/>
    <x v="5"/>
    <s v="SG4"/>
    <m/>
    <x v="4"/>
    <x v="3"/>
    <x v="4"/>
    <x v="1"/>
    <x v="0"/>
    <x v="0"/>
    <x v="0"/>
    <m/>
    <x v="0"/>
    <x v="0"/>
    <n v="4.6913354280000004"/>
    <m/>
    <x v="14"/>
    <x v="1"/>
    <x v="0"/>
    <x v="0"/>
    <x v="0"/>
  </r>
  <r>
    <s v="Singapore"/>
    <x v="0"/>
    <s v="SG4"/>
    <m/>
    <x v="4"/>
    <x v="4"/>
    <x v="4"/>
    <x v="1"/>
    <x v="0"/>
    <x v="0"/>
    <x v="0"/>
    <m/>
    <x v="0"/>
    <x v="0"/>
    <n v="3.7389600000000002E-2"/>
    <m/>
    <x v="14"/>
    <x v="1"/>
    <x v="0"/>
    <x v="2"/>
    <x v="1"/>
  </r>
  <r>
    <s v="Singapore"/>
    <x v="2"/>
    <s v="SG2"/>
    <m/>
    <x v="5"/>
    <x v="2"/>
    <x v="0"/>
    <x v="4"/>
    <x v="0"/>
    <x v="0"/>
    <x v="0"/>
    <m/>
    <x v="0"/>
    <x v="0"/>
    <n v="2.308527378"/>
    <m/>
    <x v="14"/>
    <x v="2"/>
    <x v="0"/>
    <x v="0"/>
    <x v="2"/>
  </r>
  <r>
    <s v="Singapore"/>
    <x v="3"/>
    <s v="SG1"/>
    <m/>
    <x v="0"/>
    <x v="4"/>
    <x v="0"/>
    <x v="2"/>
    <x v="0"/>
    <x v="0"/>
    <x v="0"/>
    <m/>
    <x v="0"/>
    <x v="0"/>
    <n v="4.6913354280000004"/>
    <m/>
    <x v="14"/>
    <x v="2"/>
    <x v="0"/>
    <x v="3"/>
    <x v="0"/>
  </r>
  <r>
    <s v="Singapore"/>
    <x v="1"/>
    <s v="SG3"/>
    <m/>
    <x v="5"/>
    <x v="2"/>
    <x v="1"/>
    <x v="4"/>
    <x v="0"/>
    <x v="0"/>
    <x v="0"/>
    <m/>
    <x v="0"/>
    <x v="0"/>
    <n v="8.439533775000001"/>
    <m/>
    <x v="14"/>
    <x v="1"/>
    <x v="0"/>
    <x v="3"/>
    <x v="1"/>
  </r>
  <r>
    <s v="Singapore"/>
    <x v="4"/>
    <s v="SG2"/>
    <m/>
    <x v="4"/>
    <x v="2"/>
    <x v="0"/>
    <x v="5"/>
    <x v="0"/>
    <x v="0"/>
    <x v="0"/>
    <m/>
    <x v="0"/>
    <x v="0"/>
    <n v="5.04058545"/>
    <m/>
    <x v="14"/>
    <x v="2"/>
    <x v="0"/>
    <x v="5"/>
    <x v="2"/>
  </r>
  <r>
    <s v="Singapore"/>
    <x v="5"/>
    <s v="SG4"/>
    <m/>
    <x v="3"/>
    <x v="2"/>
    <x v="4"/>
    <x v="0"/>
    <x v="0"/>
    <x v="0"/>
    <x v="0"/>
    <m/>
    <x v="0"/>
    <x v="0"/>
    <n v="12.463028631000002"/>
    <m/>
    <x v="14"/>
    <x v="3"/>
    <x v="0"/>
    <x v="0"/>
    <x v="2"/>
  </r>
  <r>
    <s v="Singapore"/>
    <x v="1"/>
    <s v="SG4"/>
    <m/>
    <x v="1"/>
    <x v="4"/>
    <x v="1"/>
    <x v="1"/>
    <x v="0"/>
    <x v="0"/>
    <x v="0"/>
    <m/>
    <x v="0"/>
    <x v="0"/>
    <n v="4.6913354280000004"/>
    <m/>
    <x v="14"/>
    <x v="3"/>
    <x v="0"/>
    <x v="2"/>
    <x v="1"/>
  </r>
  <r>
    <s v="Singapore"/>
    <x v="3"/>
    <s v="SG4"/>
    <m/>
    <x v="0"/>
    <x v="4"/>
    <x v="2"/>
    <x v="4"/>
    <x v="0"/>
    <x v="0"/>
    <x v="0"/>
    <m/>
    <x v="0"/>
    <x v="0"/>
    <n v="0.84396116700000012"/>
    <m/>
    <x v="14"/>
    <x v="1"/>
    <x v="0"/>
    <x v="0"/>
    <x v="0"/>
  </r>
  <r>
    <s v="Singapore"/>
    <x v="2"/>
    <s v="SG3"/>
    <m/>
    <x v="1"/>
    <x v="1"/>
    <x v="1"/>
    <x v="1"/>
    <x v="0"/>
    <x v="0"/>
    <x v="0"/>
    <m/>
    <x v="0"/>
    <x v="0"/>
    <n v="3.5768449260000001"/>
    <m/>
    <x v="14"/>
    <x v="3"/>
    <x v="0"/>
    <x v="2"/>
    <x v="0"/>
  </r>
  <r>
    <s v="Singapore"/>
    <x v="5"/>
    <s v="SG4"/>
    <m/>
    <x v="3"/>
    <x v="4"/>
    <x v="1"/>
    <x v="2"/>
    <x v="0"/>
    <x v="0"/>
    <x v="0"/>
    <m/>
    <x v="0"/>
    <x v="0"/>
    <n v="0.82919227500000003"/>
    <m/>
    <x v="14"/>
    <x v="0"/>
    <x v="0"/>
    <x v="2"/>
    <x v="0"/>
  </r>
  <r>
    <s v="Singapore"/>
    <x v="5"/>
    <s v="SG3"/>
    <m/>
    <x v="1"/>
    <x v="4"/>
    <x v="1"/>
    <x v="3"/>
    <x v="0"/>
    <x v="0"/>
    <x v="0"/>
    <m/>
    <x v="0"/>
    <x v="0"/>
    <n v="4.6913354280000004"/>
    <m/>
    <x v="14"/>
    <x v="0"/>
    <x v="0"/>
    <x v="1"/>
    <x v="0"/>
  </r>
  <r>
    <s v="Singapore"/>
    <x v="4"/>
    <s v="SG1"/>
    <m/>
    <x v="0"/>
    <x v="4"/>
    <x v="0"/>
    <x v="3"/>
    <x v="0"/>
    <x v="0"/>
    <x v="0"/>
    <m/>
    <x v="0"/>
    <x v="0"/>
    <n v="3.42738E-2"/>
    <m/>
    <x v="14"/>
    <x v="1"/>
    <x v="0"/>
    <x v="2"/>
    <x v="0"/>
  </r>
  <r>
    <s v="Singapore"/>
    <x v="1"/>
    <s v="SG4"/>
    <m/>
    <x v="2"/>
    <x v="1"/>
    <x v="3"/>
    <x v="1"/>
    <x v="0"/>
    <x v="0"/>
    <x v="0"/>
    <m/>
    <x v="0"/>
    <x v="0"/>
    <n v="3.42738E-2"/>
    <m/>
    <x v="14"/>
    <x v="1"/>
    <x v="0"/>
    <x v="0"/>
    <x v="1"/>
  </r>
  <r>
    <s v="Singapore"/>
    <x v="2"/>
    <s v="SG4"/>
    <m/>
    <x v="5"/>
    <x v="0"/>
    <x v="4"/>
    <x v="5"/>
    <x v="0"/>
    <x v="0"/>
    <x v="0"/>
    <m/>
    <x v="0"/>
    <x v="0"/>
    <n v="3.42738E-2"/>
    <m/>
    <x v="14"/>
    <x v="1"/>
    <x v="0"/>
    <x v="4"/>
    <x v="0"/>
  </r>
  <r>
    <s v="Singapore"/>
    <x v="5"/>
    <s v="SG3"/>
    <m/>
    <x v="2"/>
    <x v="2"/>
    <x v="1"/>
    <x v="0"/>
    <x v="0"/>
    <x v="0"/>
    <x v="0"/>
    <m/>
    <x v="0"/>
    <x v="0"/>
    <n v="6.2316000000000003E-3"/>
    <m/>
    <x v="14"/>
    <x v="1"/>
    <x v="0"/>
    <x v="2"/>
    <x v="0"/>
  </r>
  <r>
    <s v="Singapore"/>
    <x v="2"/>
    <s v="SG1"/>
    <m/>
    <x v="4"/>
    <x v="0"/>
    <x v="2"/>
    <x v="5"/>
    <x v="0"/>
    <x v="0"/>
    <x v="0"/>
    <m/>
    <x v="0"/>
    <x v="0"/>
    <n v="12.588688845"/>
    <m/>
    <x v="14"/>
    <x v="0"/>
    <x v="0"/>
    <x v="0"/>
    <x v="1"/>
  </r>
  <r>
    <s v="Singapore"/>
    <x v="0"/>
    <s v="SG3"/>
    <m/>
    <x v="1"/>
    <x v="4"/>
    <x v="3"/>
    <x v="2"/>
    <x v="0"/>
    <x v="0"/>
    <x v="0"/>
    <m/>
    <x v="0"/>
    <x v="0"/>
    <n v="1.3522260420000001"/>
    <m/>
    <x v="14"/>
    <x v="3"/>
    <x v="0"/>
    <x v="0"/>
    <x v="0"/>
  </r>
  <r>
    <s v="Singapore"/>
    <x v="5"/>
    <s v="SG4"/>
    <m/>
    <x v="5"/>
    <x v="2"/>
    <x v="3"/>
    <x v="3"/>
    <x v="0"/>
    <x v="0"/>
    <x v="0"/>
    <m/>
    <x v="0"/>
    <x v="0"/>
    <n v="3.42738E-2"/>
    <m/>
    <x v="14"/>
    <x v="0"/>
    <x v="0"/>
    <x v="3"/>
    <x v="2"/>
  </r>
  <r>
    <s v="Singapore"/>
    <x v="3"/>
    <s v="SG2"/>
    <m/>
    <x v="1"/>
    <x v="2"/>
    <x v="4"/>
    <x v="2"/>
    <x v="0"/>
    <x v="0"/>
    <x v="0"/>
    <m/>
    <x v="0"/>
    <x v="0"/>
    <n v="0.84396116700000012"/>
    <m/>
    <x v="14"/>
    <x v="1"/>
    <x v="0"/>
    <x v="3"/>
    <x v="1"/>
  </r>
  <r>
    <s v="Singapore"/>
    <x v="1"/>
    <s v="SG2"/>
    <m/>
    <x v="4"/>
    <x v="3"/>
    <x v="4"/>
    <x v="0"/>
    <x v="0"/>
    <x v="0"/>
    <x v="0"/>
    <m/>
    <x v="0"/>
    <x v="0"/>
    <n v="1.7837954999999999E-2"/>
    <m/>
    <x v="14"/>
    <x v="0"/>
    <x v="0"/>
    <x v="0"/>
    <x v="1"/>
  </r>
  <r>
    <s v="Singapore"/>
    <x v="3"/>
    <s v="SG2"/>
    <m/>
    <x v="3"/>
    <x v="3"/>
    <x v="1"/>
    <x v="3"/>
    <x v="0"/>
    <x v="0"/>
    <x v="0"/>
    <m/>
    <x v="0"/>
    <x v="0"/>
    <n v="1.6801951500000001"/>
    <m/>
    <x v="14"/>
    <x v="0"/>
    <x v="0"/>
    <x v="0"/>
    <x v="2"/>
  </r>
  <r>
    <s v="Singapore"/>
    <x v="2"/>
    <s v="SG3"/>
    <m/>
    <x v="0"/>
    <x v="4"/>
    <x v="0"/>
    <x v="4"/>
    <x v="0"/>
    <x v="0"/>
    <x v="0"/>
    <m/>
    <x v="0"/>
    <x v="0"/>
    <n v="0.60644373299999998"/>
    <m/>
    <x v="14"/>
    <x v="2"/>
    <x v="0"/>
    <x v="5"/>
    <x v="1"/>
  </r>
  <r>
    <s v="Singapore"/>
    <x v="3"/>
    <s v="SG3"/>
    <m/>
    <x v="4"/>
    <x v="1"/>
    <x v="1"/>
    <x v="5"/>
    <x v="0"/>
    <x v="0"/>
    <x v="0"/>
    <m/>
    <x v="0"/>
    <x v="0"/>
    <n v="4.2022483020000001"/>
    <m/>
    <x v="14"/>
    <x v="3"/>
    <x v="0"/>
    <x v="3"/>
    <x v="0"/>
  </r>
  <r>
    <s v="Singapore"/>
    <x v="1"/>
    <s v="SG1"/>
    <m/>
    <x v="3"/>
    <x v="2"/>
    <x v="4"/>
    <x v="1"/>
    <x v="0"/>
    <x v="0"/>
    <x v="0"/>
    <m/>
    <x v="0"/>
    <x v="0"/>
    <n v="7.1536898520000003"/>
    <m/>
    <x v="14"/>
    <x v="3"/>
    <x v="0"/>
    <x v="1"/>
    <x v="0"/>
  </r>
  <r>
    <s v="Singapore"/>
    <x v="2"/>
    <s v="SG1"/>
    <m/>
    <x v="0"/>
    <x v="2"/>
    <x v="3"/>
    <x v="0"/>
    <x v="0"/>
    <x v="0"/>
    <x v="0"/>
    <m/>
    <x v="0"/>
    <x v="0"/>
    <n v="16.671306005999998"/>
    <m/>
    <x v="14"/>
    <x v="0"/>
    <x v="0"/>
    <x v="3"/>
    <x v="0"/>
  </r>
  <r>
    <s v="Singapore"/>
    <x v="2"/>
    <s v="SG2"/>
    <m/>
    <x v="5"/>
    <x v="0"/>
    <x v="1"/>
    <x v="2"/>
    <x v="0"/>
    <x v="0"/>
    <x v="0"/>
    <m/>
    <x v="0"/>
    <x v="0"/>
    <n v="6.7207806000000003"/>
    <m/>
    <x v="14"/>
    <x v="1"/>
    <x v="0"/>
    <x v="5"/>
    <x v="0"/>
  </r>
  <r>
    <s v="Singapore"/>
    <x v="0"/>
    <s v="SG1"/>
    <m/>
    <x v="0"/>
    <x v="3"/>
    <x v="4"/>
    <x v="3"/>
    <x v="0"/>
    <x v="0"/>
    <x v="0"/>
    <m/>
    <x v="0"/>
    <x v="0"/>
    <n v="12.170096694"/>
    <m/>
    <x v="14"/>
    <x v="1"/>
    <x v="0"/>
    <x v="0"/>
    <x v="2"/>
  </r>
  <r>
    <s v="Singapore"/>
    <x v="0"/>
    <s v="SG3"/>
    <m/>
    <x v="5"/>
    <x v="1"/>
    <x v="1"/>
    <x v="0"/>
    <x v="0"/>
    <x v="0"/>
    <x v="0"/>
    <m/>
    <x v="0"/>
    <x v="0"/>
    <n v="1.1130416550000002"/>
    <m/>
    <x v="14"/>
    <x v="0"/>
    <x v="0"/>
    <x v="4"/>
    <x v="0"/>
  </r>
  <r>
    <s v="Singapore"/>
    <x v="4"/>
    <s v="SG1"/>
    <m/>
    <x v="5"/>
    <x v="1"/>
    <x v="2"/>
    <x v="0"/>
    <x v="0"/>
    <x v="0"/>
    <x v="0"/>
    <m/>
    <x v="0"/>
    <x v="0"/>
    <n v="2.8760859270000005"/>
    <m/>
    <x v="14"/>
    <x v="3"/>
    <x v="0"/>
    <x v="5"/>
    <x v="1"/>
  </r>
  <r>
    <s v="Singapore"/>
    <x v="1"/>
    <s v="SG4"/>
    <m/>
    <x v="1"/>
    <x v="0"/>
    <x v="1"/>
    <x v="0"/>
    <x v="0"/>
    <x v="0"/>
    <x v="0"/>
    <m/>
    <x v="0"/>
    <x v="0"/>
    <n v="2.7044520840000001"/>
    <m/>
    <x v="14"/>
    <x v="0"/>
    <x v="0"/>
    <x v="1"/>
    <x v="2"/>
  </r>
  <r>
    <s v="Singapore"/>
    <x v="3"/>
    <s v="SG3"/>
    <m/>
    <x v="5"/>
    <x v="4"/>
    <x v="1"/>
    <x v="3"/>
    <x v="0"/>
    <x v="0"/>
    <x v="0"/>
    <m/>
    <x v="0"/>
    <x v="0"/>
    <n v="0.31158000000000002"/>
    <m/>
    <x v="14"/>
    <x v="1"/>
    <x v="0"/>
    <x v="1"/>
    <x v="2"/>
  </r>
  <r>
    <s v="Singapore"/>
    <x v="2"/>
    <s v="SG1"/>
    <m/>
    <x v="5"/>
    <x v="0"/>
    <x v="2"/>
    <x v="4"/>
    <x v="0"/>
    <x v="0"/>
    <x v="0"/>
    <m/>
    <x v="0"/>
    <x v="0"/>
    <n v="6.2316000000000003E-3"/>
    <m/>
    <x v="14"/>
    <x v="3"/>
    <x v="0"/>
    <x v="2"/>
    <x v="2"/>
  </r>
  <r>
    <s v="Singapore"/>
    <x v="0"/>
    <s v="SG4"/>
    <m/>
    <x v="1"/>
    <x v="0"/>
    <x v="1"/>
    <x v="2"/>
    <x v="0"/>
    <x v="0"/>
    <x v="0"/>
    <m/>
    <x v="0"/>
    <x v="0"/>
    <n v="11.245794624000002"/>
    <m/>
    <x v="14"/>
    <x v="2"/>
    <x v="0"/>
    <x v="5"/>
    <x v="2"/>
  </r>
  <r>
    <s v="Singapore"/>
    <x v="2"/>
    <s v="SG2"/>
    <m/>
    <x v="0"/>
    <x v="3"/>
    <x v="2"/>
    <x v="0"/>
    <x v="0"/>
    <x v="0"/>
    <x v="0"/>
    <m/>
    <x v="0"/>
    <x v="0"/>
    <n v="20.611905003"/>
    <m/>
    <x v="14"/>
    <x v="0"/>
    <x v="0"/>
    <x v="0"/>
    <x v="0"/>
  </r>
  <r>
    <s v="Singapore"/>
    <x v="0"/>
    <s v="SG3"/>
    <m/>
    <x v="4"/>
    <x v="4"/>
    <x v="1"/>
    <x v="1"/>
    <x v="0"/>
    <x v="0"/>
    <x v="0"/>
    <m/>
    <x v="0"/>
    <x v="0"/>
    <n v="24.110278506"/>
    <m/>
    <x v="14"/>
    <x v="3"/>
    <x v="0"/>
    <x v="2"/>
    <x v="1"/>
  </r>
  <r>
    <s v="Singapore"/>
    <x v="1"/>
    <s v="SG2"/>
    <m/>
    <x v="5"/>
    <x v="3"/>
    <x v="2"/>
    <x v="4"/>
    <x v="0"/>
    <x v="0"/>
    <x v="0"/>
    <m/>
    <x v="0"/>
    <x v="0"/>
    <n v="4.6913510069999997"/>
    <m/>
    <x v="14"/>
    <x v="1"/>
    <x v="0"/>
    <x v="2"/>
    <x v="0"/>
  </r>
  <r>
    <s v="Singapore"/>
    <x v="0"/>
    <s v="SG4"/>
    <m/>
    <x v="2"/>
    <x v="2"/>
    <x v="2"/>
    <x v="3"/>
    <x v="0"/>
    <x v="0"/>
    <x v="0"/>
    <m/>
    <x v="0"/>
    <x v="0"/>
    <n v="66.784571307000007"/>
    <m/>
    <x v="14"/>
    <x v="1"/>
    <x v="0"/>
    <x v="4"/>
    <x v="1"/>
  </r>
  <r>
    <s v="Singapore"/>
    <x v="1"/>
    <s v="SG3"/>
    <m/>
    <x v="4"/>
    <x v="1"/>
    <x v="4"/>
    <x v="2"/>
    <x v="0"/>
    <x v="0"/>
    <x v="0"/>
    <m/>
    <x v="0"/>
    <x v="0"/>
    <n v="4.6913354280000004"/>
    <m/>
    <x v="14"/>
    <x v="3"/>
    <x v="0"/>
    <x v="1"/>
    <x v="2"/>
  </r>
  <r>
    <s v="Singapore"/>
    <x v="5"/>
    <s v="SG1"/>
    <m/>
    <x v="5"/>
    <x v="3"/>
    <x v="1"/>
    <x v="2"/>
    <x v="0"/>
    <x v="0"/>
    <x v="0"/>
    <m/>
    <x v="0"/>
    <x v="0"/>
    <n v="0.8439144300000001"/>
    <m/>
    <x v="14"/>
    <x v="0"/>
    <x v="0"/>
    <x v="4"/>
    <x v="1"/>
  </r>
  <r>
    <s v="Singapore"/>
    <x v="4"/>
    <s v="SG1"/>
    <m/>
    <x v="4"/>
    <x v="3"/>
    <x v="1"/>
    <x v="1"/>
    <x v="0"/>
    <x v="0"/>
    <x v="0"/>
    <m/>
    <x v="0"/>
    <x v="0"/>
    <n v="1.7651941740000001"/>
    <m/>
    <x v="14"/>
    <x v="3"/>
    <x v="0"/>
    <x v="0"/>
    <x v="0"/>
  </r>
  <r>
    <s v="Singapore"/>
    <x v="5"/>
    <s v="SG1"/>
    <m/>
    <x v="1"/>
    <x v="1"/>
    <x v="1"/>
    <x v="5"/>
    <x v="0"/>
    <x v="0"/>
    <x v="0"/>
    <m/>
    <x v="0"/>
    <x v="0"/>
    <n v="5.3420391"/>
    <m/>
    <x v="14"/>
    <x v="3"/>
    <x v="0"/>
    <x v="5"/>
    <x v="1"/>
  </r>
  <r>
    <s v="Singapore"/>
    <x v="0"/>
    <s v="SG4"/>
    <m/>
    <x v="1"/>
    <x v="2"/>
    <x v="3"/>
    <x v="5"/>
    <x v="0"/>
    <x v="0"/>
    <x v="0"/>
    <m/>
    <x v="0"/>
    <x v="0"/>
    <n v="2.5093874250000003"/>
    <m/>
    <x v="14"/>
    <x v="3"/>
    <x v="0"/>
    <x v="3"/>
    <x v="0"/>
  </r>
  <r>
    <s v="Singapore"/>
    <x v="3"/>
    <s v="SG1"/>
    <m/>
    <x v="0"/>
    <x v="3"/>
    <x v="2"/>
    <x v="4"/>
    <x v="0"/>
    <x v="0"/>
    <x v="0"/>
    <m/>
    <x v="0"/>
    <x v="0"/>
    <n v="0.16052601600000002"/>
    <m/>
    <x v="14"/>
    <x v="0"/>
    <x v="0"/>
    <x v="0"/>
    <x v="0"/>
  </r>
  <r>
    <s v="Singapore"/>
    <x v="3"/>
    <s v="SG1"/>
    <m/>
    <x v="0"/>
    <x v="1"/>
    <x v="4"/>
    <x v="5"/>
    <x v="0"/>
    <x v="0"/>
    <x v="0"/>
    <m/>
    <x v="0"/>
    <x v="0"/>
    <n v="4.6913354280000004"/>
    <m/>
    <x v="14"/>
    <x v="0"/>
    <x v="0"/>
    <x v="4"/>
    <x v="0"/>
  </r>
  <r>
    <s v="Singapore"/>
    <x v="5"/>
    <s v="SG4"/>
    <m/>
    <x v="5"/>
    <x v="3"/>
    <x v="1"/>
    <x v="1"/>
    <x v="0"/>
    <x v="0"/>
    <x v="0"/>
    <m/>
    <x v="0"/>
    <x v="0"/>
    <n v="3.42738E-2"/>
    <m/>
    <x v="14"/>
    <x v="3"/>
    <x v="0"/>
    <x v="1"/>
    <x v="1"/>
  </r>
  <r>
    <s v="Singapore"/>
    <x v="2"/>
    <s v="SG1"/>
    <m/>
    <x v="3"/>
    <x v="2"/>
    <x v="3"/>
    <x v="5"/>
    <x v="0"/>
    <x v="0"/>
    <x v="0"/>
    <m/>
    <x v="0"/>
    <x v="0"/>
    <n v="4.6913354280000004"/>
    <m/>
    <x v="14"/>
    <x v="1"/>
    <x v="0"/>
    <x v="3"/>
    <x v="1"/>
  </r>
  <r>
    <s v="Singapore"/>
    <x v="1"/>
    <s v="SG3"/>
    <m/>
    <x v="2"/>
    <x v="4"/>
    <x v="0"/>
    <x v="3"/>
    <x v="0"/>
    <x v="0"/>
    <x v="0"/>
    <m/>
    <x v="0"/>
    <x v="0"/>
    <n v="1.4087154960000001"/>
    <m/>
    <x v="14"/>
    <x v="3"/>
    <x v="0"/>
    <x v="2"/>
    <x v="1"/>
  </r>
  <r>
    <s v="Singapore"/>
    <x v="2"/>
    <s v="SG2"/>
    <m/>
    <x v="5"/>
    <x v="0"/>
    <x v="1"/>
    <x v="4"/>
    <x v="0"/>
    <x v="0"/>
    <x v="0"/>
    <m/>
    <x v="0"/>
    <x v="0"/>
    <n v="0.12486568500000002"/>
    <m/>
    <x v="14"/>
    <x v="0"/>
    <x v="0"/>
    <x v="3"/>
    <x v="1"/>
  </r>
  <r>
    <s v="Singapore"/>
    <x v="2"/>
    <s v="SG3"/>
    <m/>
    <x v="4"/>
    <x v="0"/>
    <x v="0"/>
    <x v="0"/>
    <x v="0"/>
    <x v="0"/>
    <x v="0"/>
    <m/>
    <x v="0"/>
    <x v="0"/>
    <n v="69.143792751000007"/>
    <m/>
    <x v="14"/>
    <x v="3"/>
    <x v="0"/>
    <x v="4"/>
    <x v="0"/>
  </r>
  <r>
    <s v="Singapore"/>
    <x v="5"/>
    <s v="SG1"/>
    <m/>
    <x v="1"/>
    <x v="3"/>
    <x v="4"/>
    <x v="1"/>
    <x v="0"/>
    <x v="0"/>
    <x v="0"/>
    <m/>
    <x v="0"/>
    <x v="0"/>
    <n v="4.6913354280000004"/>
    <m/>
    <x v="14"/>
    <x v="2"/>
    <x v="0"/>
    <x v="1"/>
    <x v="0"/>
  </r>
  <r>
    <s v="Singapore"/>
    <x v="3"/>
    <s v="SG4"/>
    <m/>
    <x v="5"/>
    <x v="3"/>
    <x v="1"/>
    <x v="4"/>
    <x v="0"/>
    <x v="0"/>
    <x v="0"/>
    <m/>
    <x v="0"/>
    <x v="0"/>
    <n v="17.723028717000002"/>
    <m/>
    <x v="14"/>
    <x v="1"/>
    <x v="0"/>
    <x v="4"/>
    <x v="2"/>
  </r>
  <r>
    <s v="Singapore"/>
    <x v="4"/>
    <s v="SG1"/>
    <m/>
    <x v="1"/>
    <x v="4"/>
    <x v="0"/>
    <x v="0"/>
    <x v="0"/>
    <x v="0"/>
    <x v="0"/>
    <m/>
    <x v="0"/>
    <x v="0"/>
    <n v="16.671337164000001"/>
    <m/>
    <x v="14"/>
    <x v="1"/>
    <x v="0"/>
    <x v="0"/>
    <x v="1"/>
  </r>
  <r>
    <s v="Singapore"/>
    <x v="3"/>
    <s v="SG3"/>
    <m/>
    <x v="5"/>
    <x v="2"/>
    <x v="0"/>
    <x v="5"/>
    <x v="0"/>
    <x v="0"/>
    <x v="0"/>
    <m/>
    <x v="0"/>
    <x v="0"/>
    <n v="16.671337164000001"/>
    <m/>
    <x v="14"/>
    <x v="1"/>
    <x v="0"/>
    <x v="1"/>
    <x v="0"/>
  </r>
  <r>
    <s v="Singapore"/>
    <x v="5"/>
    <s v="SG3"/>
    <m/>
    <x v="0"/>
    <x v="1"/>
    <x v="0"/>
    <x v="1"/>
    <x v="0"/>
    <x v="0"/>
    <x v="0"/>
    <m/>
    <x v="0"/>
    <x v="0"/>
    <n v="5.3420391"/>
    <m/>
    <x v="14"/>
    <x v="2"/>
    <x v="0"/>
    <x v="3"/>
    <x v="1"/>
  </r>
  <r>
    <s v="Singapore"/>
    <x v="4"/>
    <s v="SG4"/>
    <m/>
    <x v="4"/>
    <x v="3"/>
    <x v="1"/>
    <x v="3"/>
    <x v="0"/>
    <x v="0"/>
    <x v="0"/>
    <m/>
    <x v="0"/>
    <x v="0"/>
    <n v="9.3474000000000002E-2"/>
    <m/>
    <x v="14"/>
    <x v="2"/>
    <x v="0"/>
    <x v="0"/>
    <x v="1"/>
  </r>
  <r>
    <s v="Singapore"/>
    <x v="5"/>
    <s v="SG2"/>
    <m/>
    <x v="2"/>
    <x v="4"/>
    <x v="1"/>
    <x v="5"/>
    <x v="0"/>
    <x v="0"/>
    <x v="0"/>
    <m/>
    <x v="0"/>
    <x v="0"/>
    <n v="1.9897031430000003"/>
    <m/>
    <x v="14"/>
    <x v="3"/>
    <x v="0"/>
    <x v="3"/>
    <x v="2"/>
  </r>
  <r>
    <s v="Singapore"/>
    <x v="2"/>
    <s v="SG2"/>
    <m/>
    <x v="1"/>
    <x v="4"/>
    <x v="0"/>
    <x v="1"/>
    <x v="0"/>
    <x v="0"/>
    <x v="0"/>
    <m/>
    <x v="0"/>
    <x v="0"/>
    <n v="7.0370031419999997"/>
    <m/>
    <x v="14"/>
    <x v="2"/>
    <x v="0"/>
    <x v="0"/>
    <x v="2"/>
  </r>
  <r>
    <s v="Singapore"/>
    <x v="4"/>
    <s v="SG4"/>
    <m/>
    <x v="4"/>
    <x v="3"/>
    <x v="3"/>
    <x v="2"/>
    <x v="0"/>
    <x v="0"/>
    <x v="0"/>
    <m/>
    <x v="0"/>
    <x v="0"/>
    <n v="3.42738E-2"/>
    <m/>
    <x v="14"/>
    <x v="0"/>
    <x v="0"/>
    <x v="0"/>
    <x v="0"/>
  </r>
  <r>
    <s v="Singapore"/>
    <x v="4"/>
    <s v="SG1"/>
    <m/>
    <x v="1"/>
    <x v="4"/>
    <x v="4"/>
    <x v="5"/>
    <x v="0"/>
    <x v="0"/>
    <x v="0"/>
    <m/>
    <x v="0"/>
    <x v="0"/>
    <n v="3.42738E-2"/>
    <m/>
    <x v="14"/>
    <x v="1"/>
    <x v="0"/>
    <x v="5"/>
    <x v="2"/>
  </r>
  <r>
    <s v="Singapore"/>
    <x v="4"/>
    <s v="SG2"/>
    <m/>
    <x v="2"/>
    <x v="0"/>
    <x v="0"/>
    <x v="2"/>
    <x v="0"/>
    <x v="0"/>
    <x v="0"/>
    <m/>
    <x v="0"/>
    <x v="0"/>
    <n v="1.1130416550000002"/>
    <m/>
    <x v="14"/>
    <x v="1"/>
    <x v="0"/>
    <x v="1"/>
    <x v="2"/>
  </r>
  <r>
    <s v="Singapore"/>
    <x v="3"/>
    <s v="SG4"/>
    <m/>
    <x v="3"/>
    <x v="2"/>
    <x v="3"/>
    <x v="2"/>
    <x v="0"/>
    <x v="0"/>
    <x v="0"/>
    <m/>
    <x v="0"/>
    <x v="0"/>
    <n v="2.5318679220000004"/>
    <m/>
    <x v="14"/>
    <x v="0"/>
    <x v="0"/>
    <x v="3"/>
    <x v="2"/>
  </r>
  <r>
    <s v="Singapore"/>
    <x v="1"/>
    <s v="SG1"/>
    <m/>
    <x v="4"/>
    <x v="2"/>
    <x v="1"/>
    <x v="1"/>
    <x v="0"/>
    <x v="0"/>
    <x v="0"/>
    <m/>
    <x v="0"/>
    <x v="0"/>
    <n v="0.69561792899999997"/>
    <m/>
    <x v="14"/>
    <x v="2"/>
    <x v="0"/>
    <x v="1"/>
    <x v="2"/>
  </r>
  <r>
    <s v="Singapore"/>
    <x v="4"/>
    <s v="SG3"/>
    <m/>
    <x v="2"/>
    <x v="2"/>
    <x v="4"/>
    <x v="0"/>
    <x v="0"/>
    <x v="0"/>
    <x v="0"/>
    <m/>
    <x v="0"/>
    <x v="0"/>
    <n v="5.3420391"/>
    <m/>
    <x v="14"/>
    <x v="2"/>
    <x v="0"/>
    <x v="4"/>
    <x v="0"/>
  </r>
  <r>
    <s v="Singapore"/>
    <x v="1"/>
    <s v="SG1"/>
    <m/>
    <x v="2"/>
    <x v="0"/>
    <x v="2"/>
    <x v="1"/>
    <x v="0"/>
    <x v="0"/>
    <x v="0"/>
    <m/>
    <x v="0"/>
    <x v="0"/>
    <n v="3.42738E-2"/>
    <m/>
    <x v="14"/>
    <x v="2"/>
    <x v="0"/>
    <x v="5"/>
    <x v="2"/>
  </r>
  <r>
    <s v="Singapore"/>
    <x v="0"/>
    <s v="SG4"/>
    <m/>
    <x v="4"/>
    <x v="0"/>
    <x v="4"/>
    <x v="4"/>
    <x v="0"/>
    <x v="0"/>
    <x v="0"/>
    <m/>
    <x v="0"/>
    <x v="0"/>
    <n v="2.817415413"/>
    <m/>
    <x v="14"/>
    <x v="0"/>
    <x v="0"/>
    <x v="1"/>
    <x v="2"/>
  </r>
  <r>
    <s v="Singapore"/>
    <x v="1"/>
    <s v="SG3"/>
    <m/>
    <x v="3"/>
    <x v="2"/>
    <x v="0"/>
    <x v="1"/>
    <x v="0"/>
    <x v="0"/>
    <x v="0"/>
    <m/>
    <x v="0"/>
    <x v="0"/>
    <n v="6.2316000000000003E-3"/>
    <m/>
    <x v="14"/>
    <x v="1"/>
    <x v="0"/>
    <x v="0"/>
    <x v="1"/>
  </r>
  <r>
    <s v="Singapore"/>
    <x v="2"/>
    <s v="SG3"/>
    <m/>
    <x v="5"/>
    <x v="3"/>
    <x v="3"/>
    <x v="1"/>
    <x v="0"/>
    <x v="0"/>
    <x v="0"/>
    <m/>
    <x v="0"/>
    <x v="0"/>
    <n v="1.0037549699999999"/>
    <m/>
    <x v="14"/>
    <x v="1"/>
    <x v="0"/>
    <x v="2"/>
    <x v="2"/>
  </r>
  <r>
    <s v="Singapore"/>
    <x v="5"/>
    <s v="SG3"/>
    <m/>
    <x v="3"/>
    <x v="2"/>
    <x v="1"/>
    <x v="5"/>
    <x v="0"/>
    <x v="0"/>
    <x v="0"/>
    <m/>
    <x v="0"/>
    <x v="0"/>
    <n v="5.3420391"/>
    <m/>
    <x v="14"/>
    <x v="3"/>
    <x v="0"/>
    <x v="2"/>
    <x v="1"/>
  </r>
  <r>
    <s v="Singapore"/>
    <x v="3"/>
    <s v="SG3"/>
    <m/>
    <x v="0"/>
    <x v="0"/>
    <x v="1"/>
    <x v="0"/>
    <x v="0"/>
    <x v="0"/>
    <x v="0"/>
    <m/>
    <x v="0"/>
    <x v="0"/>
    <n v="0.49743747000000005"/>
    <m/>
    <x v="14"/>
    <x v="0"/>
    <x v="0"/>
    <x v="5"/>
    <x v="2"/>
  </r>
  <r>
    <s v="Singapore"/>
    <x v="2"/>
    <s v="SG4"/>
    <m/>
    <x v="3"/>
    <x v="3"/>
    <x v="0"/>
    <x v="5"/>
    <x v="0"/>
    <x v="0"/>
    <x v="0"/>
    <m/>
    <x v="0"/>
    <x v="0"/>
    <n v="0.186948"/>
    <m/>
    <x v="14"/>
    <x v="1"/>
    <x v="0"/>
    <x v="1"/>
    <x v="2"/>
  </r>
  <r>
    <s v="Singapore"/>
    <x v="5"/>
    <s v="SG3"/>
    <m/>
    <x v="2"/>
    <x v="1"/>
    <x v="1"/>
    <x v="1"/>
    <x v="0"/>
    <x v="0"/>
    <x v="0"/>
    <m/>
    <x v="0"/>
    <x v="0"/>
    <n v="3.8347864290000007"/>
    <m/>
    <x v="14"/>
    <x v="1"/>
    <x v="0"/>
    <x v="3"/>
    <x v="2"/>
  </r>
  <r>
    <s v="Singapore"/>
    <x v="4"/>
    <s v="SG1"/>
    <m/>
    <x v="5"/>
    <x v="0"/>
    <x v="1"/>
    <x v="3"/>
    <x v="0"/>
    <x v="0"/>
    <x v="0"/>
    <m/>
    <x v="0"/>
    <x v="0"/>
    <n v="31.226282757000003"/>
    <m/>
    <x v="14"/>
    <x v="0"/>
    <x v="0"/>
    <x v="2"/>
    <x v="0"/>
  </r>
  <r>
    <s v="Singapore"/>
    <x v="5"/>
    <s v="SG4"/>
    <m/>
    <x v="2"/>
    <x v="0"/>
    <x v="4"/>
    <x v="1"/>
    <x v="0"/>
    <x v="0"/>
    <x v="0"/>
    <m/>
    <x v="0"/>
    <x v="0"/>
    <n v="1.154263689"/>
    <m/>
    <x v="14"/>
    <x v="0"/>
    <x v="0"/>
    <x v="0"/>
    <x v="2"/>
  </r>
  <r>
    <s v="Singapore"/>
    <x v="4"/>
    <s v="SG1"/>
    <m/>
    <x v="2"/>
    <x v="4"/>
    <x v="1"/>
    <x v="2"/>
    <x v="0"/>
    <x v="0"/>
    <x v="0"/>
    <m/>
    <x v="0"/>
    <x v="0"/>
    <n v="1.154263689"/>
    <m/>
    <x v="14"/>
    <x v="0"/>
    <x v="0"/>
    <x v="0"/>
    <x v="2"/>
  </r>
  <r>
    <s v="Singapore"/>
    <x v="3"/>
    <s v="SG4"/>
    <m/>
    <x v="5"/>
    <x v="3"/>
    <x v="0"/>
    <x v="3"/>
    <x v="0"/>
    <x v="0"/>
    <x v="0"/>
    <m/>
    <x v="0"/>
    <x v="0"/>
    <n v="0.17836397100000001"/>
    <m/>
    <x v="14"/>
    <x v="2"/>
    <x v="0"/>
    <x v="0"/>
    <x v="0"/>
  </r>
  <r>
    <s v="Singapore"/>
    <x v="1"/>
    <s v="SG3"/>
    <m/>
    <x v="1"/>
    <x v="4"/>
    <x v="0"/>
    <x v="0"/>
    <x v="0"/>
    <x v="0"/>
    <x v="0"/>
    <m/>
    <x v="0"/>
    <x v="0"/>
    <n v="6.7516270200000008"/>
    <m/>
    <x v="14"/>
    <x v="3"/>
    <x v="0"/>
    <x v="2"/>
    <x v="0"/>
  </r>
  <r>
    <s v="Singapore"/>
    <x v="4"/>
    <s v="SG1"/>
    <m/>
    <x v="0"/>
    <x v="0"/>
    <x v="1"/>
    <x v="2"/>
    <x v="0"/>
    <x v="0"/>
    <x v="0"/>
    <m/>
    <x v="0"/>
    <x v="0"/>
    <n v="16.671337164000001"/>
    <m/>
    <x v="14"/>
    <x v="3"/>
    <x v="0"/>
    <x v="4"/>
    <x v="1"/>
  </r>
  <r>
    <s v="Singapore"/>
    <x v="1"/>
    <s v="SG3"/>
    <m/>
    <x v="2"/>
    <x v="4"/>
    <x v="3"/>
    <x v="4"/>
    <x v="0"/>
    <x v="0"/>
    <x v="0"/>
    <m/>
    <x v="0"/>
    <x v="0"/>
    <n v="2.5318679220000004"/>
    <m/>
    <x v="14"/>
    <x v="0"/>
    <x v="0"/>
    <x v="3"/>
    <x v="1"/>
  </r>
  <r>
    <s v="Singapore"/>
    <x v="5"/>
    <s v="SG1"/>
    <m/>
    <x v="3"/>
    <x v="3"/>
    <x v="3"/>
    <x v="0"/>
    <x v="0"/>
    <x v="0"/>
    <x v="0"/>
    <m/>
    <x v="0"/>
    <x v="0"/>
    <n v="12.659308452000001"/>
    <m/>
    <x v="14"/>
    <x v="1"/>
    <x v="0"/>
    <x v="4"/>
    <x v="2"/>
  </r>
  <r>
    <s v="Singapore"/>
    <x v="2"/>
    <s v="SG4"/>
    <m/>
    <x v="3"/>
    <x v="1"/>
    <x v="1"/>
    <x v="4"/>
    <x v="0"/>
    <x v="0"/>
    <x v="0"/>
    <m/>
    <x v="0"/>
    <x v="0"/>
    <n v="4.6913354280000004"/>
    <m/>
    <x v="14"/>
    <x v="1"/>
    <x v="0"/>
    <x v="0"/>
    <x v="0"/>
  </r>
  <r>
    <s v="Singapore"/>
    <x v="2"/>
    <s v="SG2"/>
    <m/>
    <x v="4"/>
    <x v="3"/>
    <x v="1"/>
    <x v="3"/>
    <x v="0"/>
    <x v="0"/>
    <x v="0"/>
    <m/>
    <x v="0"/>
    <x v="0"/>
    <n v="11.460239559000001"/>
    <m/>
    <x v="14"/>
    <x v="3"/>
    <x v="0"/>
    <x v="4"/>
    <x v="0"/>
  </r>
  <r>
    <s v="Singapore"/>
    <x v="0"/>
    <s v="SG2"/>
    <m/>
    <x v="3"/>
    <x v="2"/>
    <x v="0"/>
    <x v="3"/>
    <x v="0"/>
    <x v="0"/>
    <x v="0"/>
    <m/>
    <x v="0"/>
    <x v="0"/>
    <n v="4.0368304799999999"/>
    <m/>
    <x v="14"/>
    <x v="1"/>
    <x v="0"/>
    <x v="3"/>
    <x v="2"/>
  </r>
  <r>
    <s v="Singapore"/>
    <x v="4"/>
    <s v="SG3"/>
    <m/>
    <x v="0"/>
    <x v="1"/>
    <x v="0"/>
    <x v="4"/>
    <x v="0"/>
    <x v="0"/>
    <x v="0"/>
    <m/>
    <x v="0"/>
    <x v="0"/>
    <n v="6.2316000000000003E-3"/>
    <m/>
    <x v="14"/>
    <x v="2"/>
    <x v="0"/>
    <x v="3"/>
    <x v="0"/>
  </r>
  <r>
    <s v="Singapore"/>
    <x v="4"/>
    <s v="SG3"/>
    <m/>
    <x v="4"/>
    <x v="0"/>
    <x v="3"/>
    <x v="1"/>
    <x v="0"/>
    <x v="0"/>
    <x v="0"/>
    <m/>
    <x v="0"/>
    <x v="0"/>
    <n v="4.6913354280000004"/>
    <m/>
    <x v="14"/>
    <x v="3"/>
    <x v="0"/>
    <x v="2"/>
    <x v="2"/>
  </r>
  <r>
    <s v="Singapore"/>
    <x v="1"/>
    <s v="SG2"/>
    <m/>
    <x v="2"/>
    <x v="4"/>
    <x v="4"/>
    <x v="1"/>
    <x v="0"/>
    <x v="0"/>
    <x v="0"/>
    <m/>
    <x v="0"/>
    <x v="0"/>
    <n v="4.2022327229999998"/>
    <m/>
    <x v="14"/>
    <x v="3"/>
    <x v="0"/>
    <x v="0"/>
    <x v="2"/>
  </r>
  <r>
    <s v="Singapore"/>
    <x v="5"/>
    <s v="SG4"/>
    <m/>
    <x v="2"/>
    <x v="0"/>
    <x v="4"/>
    <x v="1"/>
    <x v="0"/>
    <x v="0"/>
    <x v="0"/>
    <m/>
    <x v="0"/>
    <x v="0"/>
    <n v="2.487156192"/>
    <m/>
    <x v="14"/>
    <x v="0"/>
    <x v="0"/>
    <x v="2"/>
    <x v="2"/>
  </r>
  <r>
    <s v="Singapore"/>
    <x v="3"/>
    <s v="SG2"/>
    <m/>
    <x v="2"/>
    <x v="2"/>
    <x v="1"/>
    <x v="3"/>
    <x v="0"/>
    <x v="0"/>
    <x v="0"/>
    <m/>
    <x v="0"/>
    <x v="0"/>
    <n v="2.308527378"/>
    <m/>
    <x v="14"/>
    <x v="3"/>
    <x v="0"/>
    <x v="1"/>
    <x v="0"/>
  </r>
  <r>
    <s v="Singapore"/>
    <x v="1"/>
    <s v="SG1"/>
    <m/>
    <x v="0"/>
    <x v="0"/>
    <x v="1"/>
    <x v="4"/>
    <x v="0"/>
    <x v="0"/>
    <x v="0"/>
    <m/>
    <x v="0"/>
    <x v="0"/>
    <n v="6.7611302100000001"/>
    <m/>
    <x v="14"/>
    <x v="3"/>
    <x v="0"/>
    <x v="5"/>
    <x v="0"/>
  </r>
  <r>
    <s v="Singapore"/>
    <x v="5"/>
    <s v="SG2"/>
    <m/>
    <x v="5"/>
    <x v="2"/>
    <x v="3"/>
    <x v="1"/>
    <x v="0"/>
    <x v="0"/>
    <x v="0"/>
    <m/>
    <x v="0"/>
    <x v="0"/>
    <n v="4.2530670000000001E-3"/>
    <m/>
    <x v="15"/>
    <x v="2"/>
    <x v="0"/>
    <x v="0"/>
    <x v="2"/>
  </r>
  <r>
    <s v="Singapore"/>
    <x v="0"/>
    <s v="SG1"/>
    <m/>
    <x v="5"/>
    <x v="3"/>
    <x v="1"/>
    <x v="1"/>
    <x v="0"/>
    <x v="0"/>
    <x v="0"/>
    <m/>
    <x v="0"/>
    <x v="0"/>
    <n v="0.35842605300000002"/>
    <m/>
    <x v="15"/>
    <x v="2"/>
    <x v="0"/>
    <x v="2"/>
    <x v="1"/>
  </r>
  <r>
    <s v="Singapore"/>
    <x v="2"/>
    <s v="SG1"/>
    <m/>
    <x v="0"/>
    <x v="0"/>
    <x v="2"/>
    <x v="2"/>
    <x v="0"/>
    <x v="0"/>
    <x v="0"/>
    <m/>
    <x v="0"/>
    <x v="0"/>
    <n v="0.131112864"/>
    <m/>
    <x v="15"/>
    <x v="1"/>
    <x v="0"/>
    <x v="2"/>
    <x v="2"/>
  </r>
  <r>
    <s v="Singapore"/>
    <x v="0"/>
    <s v="SG4"/>
    <m/>
    <x v="0"/>
    <x v="1"/>
    <x v="2"/>
    <x v="0"/>
    <x v="0"/>
    <x v="0"/>
    <x v="0"/>
    <m/>
    <x v="0"/>
    <x v="0"/>
    <n v="4.3917201000000003E-2"/>
    <m/>
    <x v="15"/>
    <x v="3"/>
    <x v="0"/>
    <x v="4"/>
    <x v="0"/>
  </r>
  <r>
    <s v="Singapore"/>
    <x v="3"/>
    <s v="SG2"/>
    <m/>
    <x v="3"/>
    <x v="0"/>
    <x v="0"/>
    <x v="3"/>
    <x v="0"/>
    <x v="0"/>
    <x v="0"/>
    <m/>
    <x v="0"/>
    <x v="0"/>
    <n v="8.7242400000000012E-4"/>
    <m/>
    <x v="15"/>
    <x v="1"/>
    <x v="0"/>
    <x v="0"/>
    <x v="1"/>
  </r>
  <r>
    <s v="Singapore"/>
    <x v="1"/>
    <s v="SG1"/>
    <m/>
    <x v="1"/>
    <x v="4"/>
    <x v="1"/>
    <x v="5"/>
    <x v="0"/>
    <x v="0"/>
    <x v="0"/>
    <m/>
    <x v="0"/>
    <x v="0"/>
    <n v="7.1678979000000004E-2"/>
    <m/>
    <x v="15"/>
    <x v="0"/>
    <x v="0"/>
    <x v="0"/>
    <x v="1"/>
  </r>
  <r>
    <s v="Singapore"/>
    <x v="3"/>
    <s v="SG3"/>
    <m/>
    <x v="2"/>
    <x v="1"/>
    <x v="1"/>
    <x v="1"/>
    <x v="0"/>
    <x v="0"/>
    <x v="0"/>
    <m/>
    <x v="0"/>
    <x v="0"/>
    <n v="7.1694558000000005E-2"/>
    <m/>
    <x v="15"/>
    <x v="1"/>
    <x v="0"/>
    <x v="4"/>
    <x v="1"/>
  </r>
  <r>
    <s v="Singapore"/>
    <x v="2"/>
    <s v="SG3"/>
    <m/>
    <x v="3"/>
    <x v="0"/>
    <x v="4"/>
    <x v="2"/>
    <x v="0"/>
    <x v="0"/>
    <x v="0"/>
    <m/>
    <x v="0"/>
    <x v="0"/>
    <n v="4.17345831"/>
    <m/>
    <x v="15"/>
    <x v="2"/>
    <x v="0"/>
    <x v="2"/>
    <x v="1"/>
  </r>
  <r>
    <s v="Singapore"/>
    <x v="1"/>
    <s v="SG2"/>
    <m/>
    <x v="3"/>
    <x v="4"/>
    <x v="2"/>
    <x v="4"/>
    <x v="0"/>
    <x v="0"/>
    <x v="0"/>
    <m/>
    <x v="0"/>
    <x v="0"/>
    <n v="0.33094469700000001"/>
    <m/>
    <x v="15"/>
    <x v="0"/>
    <x v="0"/>
    <x v="0"/>
    <x v="1"/>
  </r>
  <r>
    <s v="Singapore"/>
    <x v="3"/>
    <s v="SG3"/>
    <m/>
    <x v="4"/>
    <x v="0"/>
    <x v="0"/>
    <x v="5"/>
    <x v="0"/>
    <x v="0"/>
    <x v="0"/>
    <m/>
    <x v="0"/>
    <x v="0"/>
    <n v="4.17345831"/>
    <m/>
    <x v="15"/>
    <x v="1"/>
    <x v="0"/>
    <x v="0"/>
    <x v="0"/>
  </r>
  <r>
    <s v="Singapore"/>
    <x v="3"/>
    <s v="SG2"/>
    <m/>
    <x v="5"/>
    <x v="0"/>
    <x v="3"/>
    <x v="3"/>
    <x v="0"/>
    <x v="0"/>
    <x v="0"/>
    <m/>
    <x v="0"/>
    <x v="0"/>
    <n v="11.692397817"/>
    <m/>
    <x v="15"/>
    <x v="0"/>
    <x v="0"/>
    <x v="4"/>
    <x v="2"/>
  </r>
  <r>
    <s v="Singapore"/>
    <x v="2"/>
    <s v="SG1"/>
    <m/>
    <x v="4"/>
    <x v="1"/>
    <x v="0"/>
    <x v="2"/>
    <x v="0"/>
    <x v="0"/>
    <x v="0"/>
    <m/>
    <x v="0"/>
    <x v="0"/>
    <n v="2.0038644539999999"/>
    <m/>
    <x v="15"/>
    <x v="3"/>
    <x v="0"/>
    <x v="1"/>
    <x v="2"/>
  </r>
  <r>
    <s v="Singapore"/>
    <x v="4"/>
    <s v="SG1"/>
    <m/>
    <x v="1"/>
    <x v="1"/>
    <x v="1"/>
    <x v="0"/>
    <x v="0"/>
    <x v="0"/>
    <x v="0"/>
    <m/>
    <x v="0"/>
    <x v="0"/>
    <n v="5.7570013440000007"/>
    <m/>
    <x v="15"/>
    <x v="0"/>
    <x v="0"/>
    <x v="0"/>
    <x v="0"/>
  </r>
  <r>
    <s v="Singapore"/>
    <x v="0"/>
    <s v="SG4"/>
    <m/>
    <x v="5"/>
    <x v="2"/>
    <x v="0"/>
    <x v="4"/>
    <x v="0"/>
    <x v="0"/>
    <x v="0"/>
    <m/>
    <x v="0"/>
    <x v="0"/>
    <n v="60.386649903000006"/>
    <m/>
    <x v="15"/>
    <x v="1"/>
    <x v="0"/>
    <x v="2"/>
    <x v="1"/>
  </r>
  <r>
    <s v="Singapore"/>
    <x v="3"/>
    <s v="SG2"/>
    <m/>
    <x v="3"/>
    <x v="2"/>
    <x v="2"/>
    <x v="2"/>
    <x v="0"/>
    <x v="0"/>
    <x v="0"/>
    <m/>
    <x v="0"/>
    <x v="0"/>
    <n v="4.17345831"/>
    <m/>
    <x v="15"/>
    <x v="2"/>
    <x v="0"/>
    <x v="3"/>
    <x v="0"/>
  </r>
  <r>
    <s v="Singapore"/>
    <x v="3"/>
    <s v="SG3"/>
    <m/>
    <x v="0"/>
    <x v="2"/>
    <x v="0"/>
    <x v="4"/>
    <x v="0"/>
    <x v="0"/>
    <x v="0"/>
    <m/>
    <x v="0"/>
    <x v="0"/>
    <n v="1.1692351080000001"/>
    <m/>
    <x v="15"/>
    <x v="2"/>
    <x v="0"/>
    <x v="3"/>
    <x v="2"/>
  </r>
  <r>
    <s v="Singapore"/>
    <x v="1"/>
    <s v="SG2"/>
    <m/>
    <x v="5"/>
    <x v="3"/>
    <x v="2"/>
    <x v="5"/>
    <x v="0"/>
    <x v="0"/>
    <x v="0"/>
    <m/>
    <x v="0"/>
    <x v="0"/>
    <n v="7.1678979000000004E-2"/>
    <m/>
    <x v="15"/>
    <x v="1"/>
    <x v="0"/>
    <x v="0"/>
    <x v="2"/>
  </r>
  <r>
    <s v="Singapore"/>
    <x v="5"/>
    <s v="SG4"/>
    <m/>
    <x v="1"/>
    <x v="3"/>
    <x v="4"/>
    <x v="1"/>
    <x v="0"/>
    <x v="0"/>
    <x v="0"/>
    <m/>
    <x v="0"/>
    <x v="0"/>
    <n v="0.15083587800000001"/>
    <m/>
    <x v="15"/>
    <x v="3"/>
    <x v="0"/>
    <x v="2"/>
    <x v="0"/>
  </r>
  <r>
    <s v="Singapore"/>
    <x v="1"/>
    <s v="SG1"/>
    <m/>
    <x v="5"/>
    <x v="3"/>
    <x v="1"/>
    <x v="4"/>
    <x v="0"/>
    <x v="0"/>
    <x v="0"/>
    <m/>
    <x v="0"/>
    <x v="0"/>
    <n v="0.88695920700000008"/>
    <m/>
    <x v="15"/>
    <x v="2"/>
    <x v="0"/>
    <x v="2"/>
    <x v="1"/>
  </r>
  <r>
    <s v="Singapore"/>
    <x v="5"/>
    <s v="SG4"/>
    <m/>
    <x v="5"/>
    <x v="4"/>
    <x v="1"/>
    <x v="0"/>
    <x v="0"/>
    <x v="0"/>
    <x v="0"/>
    <m/>
    <x v="0"/>
    <x v="0"/>
    <n v="0.104550669"/>
    <m/>
    <x v="15"/>
    <x v="2"/>
    <x v="0"/>
    <x v="5"/>
    <x v="2"/>
  </r>
  <r>
    <s v="Singapore"/>
    <x v="3"/>
    <s v="SG2"/>
    <m/>
    <x v="0"/>
    <x v="3"/>
    <x v="3"/>
    <x v="2"/>
    <x v="0"/>
    <x v="0"/>
    <x v="0"/>
    <m/>
    <x v="0"/>
    <x v="0"/>
    <n v="2.4206650199999999"/>
    <m/>
    <x v="15"/>
    <x v="2"/>
    <x v="0"/>
    <x v="1"/>
    <x v="2"/>
  </r>
  <r>
    <s v="Singapore"/>
    <x v="1"/>
    <s v="SG2"/>
    <m/>
    <x v="0"/>
    <x v="3"/>
    <x v="4"/>
    <x v="1"/>
    <x v="0"/>
    <x v="0"/>
    <x v="0"/>
    <m/>
    <x v="0"/>
    <x v="0"/>
    <n v="0.70716196800000009"/>
    <m/>
    <x v="15"/>
    <x v="2"/>
    <x v="0"/>
    <x v="4"/>
    <x v="1"/>
  </r>
  <r>
    <s v="Singapore"/>
    <x v="1"/>
    <s v="SG4"/>
    <m/>
    <x v="5"/>
    <x v="4"/>
    <x v="4"/>
    <x v="4"/>
    <x v="0"/>
    <x v="0"/>
    <x v="0"/>
    <m/>
    <x v="0"/>
    <x v="0"/>
    <n v="0.94703183099999999"/>
    <m/>
    <x v="15"/>
    <x v="3"/>
    <x v="0"/>
    <x v="0"/>
    <x v="0"/>
  </r>
  <r>
    <s v="Singapore"/>
    <x v="4"/>
    <s v="SG2"/>
    <m/>
    <x v="4"/>
    <x v="0"/>
    <x v="2"/>
    <x v="1"/>
    <x v="0"/>
    <x v="0"/>
    <x v="0"/>
    <m/>
    <x v="0"/>
    <x v="0"/>
    <n v="4.17345831"/>
    <m/>
    <x v="15"/>
    <x v="1"/>
    <x v="0"/>
    <x v="3"/>
    <x v="0"/>
  </r>
  <r>
    <s v="Singapore"/>
    <x v="0"/>
    <s v="SG1"/>
    <m/>
    <x v="3"/>
    <x v="0"/>
    <x v="3"/>
    <x v="3"/>
    <x v="0"/>
    <x v="0"/>
    <x v="0"/>
    <m/>
    <x v="0"/>
    <x v="0"/>
    <n v="0.86430734099999995"/>
    <m/>
    <x v="15"/>
    <x v="0"/>
    <x v="0"/>
    <x v="4"/>
    <x v="0"/>
  </r>
  <r>
    <s v="Singapore"/>
    <x v="2"/>
    <s v="SG1"/>
    <m/>
    <x v="3"/>
    <x v="3"/>
    <x v="0"/>
    <x v="3"/>
    <x v="0"/>
    <x v="0"/>
    <x v="0"/>
    <m/>
    <x v="0"/>
    <x v="0"/>
    <n v="0.30336986700000002"/>
    <m/>
    <x v="15"/>
    <x v="0"/>
    <x v="0"/>
    <x v="4"/>
    <x v="2"/>
  </r>
  <r>
    <s v="Singapore"/>
    <x v="4"/>
    <s v="SG4"/>
    <m/>
    <x v="1"/>
    <x v="2"/>
    <x v="3"/>
    <x v="3"/>
    <x v="0"/>
    <x v="0"/>
    <x v="0"/>
    <m/>
    <x v="0"/>
    <x v="0"/>
    <n v="0.30336986700000002"/>
    <m/>
    <x v="15"/>
    <x v="3"/>
    <x v="0"/>
    <x v="2"/>
    <x v="0"/>
  </r>
  <r>
    <s v="Singapore"/>
    <x v="0"/>
    <s v="SG2"/>
    <m/>
    <x v="0"/>
    <x v="4"/>
    <x v="2"/>
    <x v="1"/>
    <x v="0"/>
    <x v="0"/>
    <x v="0"/>
    <m/>
    <x v="0"/>
    <x v="0"/>
    <n v="0.30336986700000002"/>
    <m/>
    <x v="15"/>
    <x v="0"/>
    <x v="0"/>
    <x v="1"/>
    <x v="1"/>
  </r>
  <r>
    <s v="Singapore"/>
    <x v="2"/>
    <s v="SG1"/>
    <m/>
    <x v="4"/>
    <x v="1"/>
    <x v="4"/>
    <x v="5"/>
    <x v="0"/>
    <x v="0"/>
    <x v="0"/>
    <m/>
    <x v="0"/>
    <x v="0"/>
    <n v="0.131112864"/>
    <m/>
    <x v="15"/>
    <x v="0"/>
    <x v="0"/>
    <x v="3"/>
    <x v="0"/>
  </r>
  <r>
    <s v="Singapore"/>
    <x v="2"/>
    <s v="SG1"/>
    <m/>
    <x v="2"/>
    <x v="0"/>
    <x v="4"/>
    <x v="5"/>
    <x v="0"/>
    <x v="0"/>
    <x v="0"/>
    <m/>
    <x v="0"/>
    <x v="0"/>
    <n v="8.7242400000000012E-4"/>
    <m/>
    <x v="15"/>
    <x v="1"/>
    <x v="0"/>
    <x v="5"/>
    <x v="0"/>
  </r>
  <r>
    <s v="Singapore"/>
    <x v="3"/>
    <s v="SG2"/>
    <m/>
    <x v="0"/>
    <x v="0"/>
    <x v="3"/>
    <x v="1"/>
    <x v="0"/>
    <x v="0"/>
    <x v="0"/>
    <m/>
    <x v="0"/>
    <x v="0"/>
    <n v="0.35842605300000002"/>
    <m/>
    <x v="15"/>
    <x v="0"/>
    <x v="0"/>
    <x v="2"/>
    <x v="0"/>
  </r>
  <r>
    <s v="Singapore"/>
    <x v="1"/>
    <s v="SG1"/>
    <m/>
    <x v="4"/>
    <x v="0"/>
    <x v="3"/>
    <x v="3"/>
    <x v="0"/>
    <x v="0"/>
    <x v="0"/>
    <m/>
    <x v="0"/>
    <x v="0"/>
    <n v="8.5194384660000004"/>
    <m/>
    <x v="15"/>
    <x v="0"/>
    <x v="0"/>
    <x v="4"/>
    <x v="0"/>
  </r>
  <r>
    <s v="Singapore"/>
    <x v="2"/>
    <s v="SG3"/>
    <m/>
    <x v="2"/>
    <x v="0"/>
    <x v="1"/>
    <x v="0"/>
    <x v="0"/>
    <x v="0"/>
    <x v="0"/>
    <m/>
    <x v="0"/>
    <x v="0"/>
    <n v="5.8802156549999998"/>
    <m/>
    <x v="15"/>
    <x v="0"/>
    <x v="0"/>
    <x v="3"/>
    <x v="1"/>
  </r>
  <r>
    <s v="Singapore"/>
    <x v="2"/>
    <s v="SG2"/>
    <m/>
    <x v="2"/>
    <x v="2"/>
    <x v="3"/>
    <x v="0"/>
    <x v="0"/>
    <x v="0"/>
    <x v="0"/>
    <m/>
    <x v="0"/>
    <x v="0"/>
    <n v="0.30336986700000002"/>
    <m/>
    <x v="15"/>
    <x v="3"/>
    <x v="0"/>
    <x v="0"/>
    <x v="0"/>
  </r>
  <r>
    <s v="Singapore"/>
    <x v="3"/>
    <s v="SG3"/>
    <m/>
    <x v="0"/>
    <x v="2"/>
    <x v="3"/>
    <x v="1"/>
    <x v="0"/>
    <x v="0"/>
    <x v="0"/>
    <m/>
    <x v="0"/>
    <x v="0"/>
    <n v="0.131112864"/>
    <m/>
    <x v="15"/>
    <x v="3"/>
    <x v="0"/>
    <x v="5"/>
    <x v="0"/>
  </r>
  <r>
    <s v="Singapore"/>
    <x v="1"/>
    <s v="SG2"/>
    <m/>
    <x v="0"/>
    <x v="2"/>
    <x v="0"/>
    <x v="5"/>
    <x v="0"/>
    <x v="0"/>
    <x v="0"/>
    <m/>
    <x v="0"/>
    <x v="0"/>
    <n v="1.1692351080000001"/>
    <m/>
    <x v="15"/>
    <x v="1"/>
    <x v="0"/>
    <x v="2"/>
    <x v="0"/>
  </r>
  <r>
    <s v="Singapore"/>
    <x v="5"/>
    <s v="SG3"/>
    <m/>
    <x v="3"/>
    <x v="4"/>
    <x v="4"/>
    <x v="2"/>
    <x v="0"/>
    <x v="0"/>
    <x v="0"/>
    <m/>
    <x v="0"/>
    <x v="0"/>
    <n v="9.4221791999999999E-2"/>
    <m/>
    <x v="15"/>
    <x v="0"/>
    <x v="0"/>
    <x v="0"/>
    <x v="2"/>
  </r>
  <r>
    <s v="Singapore"/>
    <x v="4"/>
    <s v="SG1"/>
    <m/>
    <x v="1"/>
    <x v="3"/>
    <x v="3"/>
    <x v="5"/>
    <x v="0"/>
    <x v="0"/>
    <x v="0"/>
    <m/>
    <x v="0"/>
    <x v="0"/>
    <n v="5.2251187049999999"/>
    <m/>
    <x v="15"/>
    <x v="3"/>
    <x v="0"/>
    <x v="1"/>
    <x v="2"/>
  </r>
  <r>
    <s v="Singapore"/>
    <x v="1"/>
    <s v="SG1"/>
    <m/>
    <x v="1"/>
    <x v="1"/>
    <x v="1"/>
    <x v="0"/>
    <x v="0"/>
    <x v="0"/>
    <x v="0"/>
    <m/>
    <x v="0"/>
    <x v="0"/>
    <n v="1.919005641"/>
    <m/>
    <x v="15"/>
    <x v="1"/>
    <x v="0"/>
    <x v="3"/>
    <x v="0"/>
  </r>
  <r>
    <s v="Singapore"/>
    <x v="0"/>
    <s v="SG4"/>
    <m/>
    <x v="4"/>
    <x v="1"/>
    <x v="3"/>
    <x v="2"/>
    <x v="0"/>
    <x v="0"/>
    <x v="0"/>
    <m/>
    <x v="0"/>
    <x v="0"/>
    <n v="3.2033695590000004"/>
    <m/>
    <x v="15"/>
    <x v="2"/>
    <x v="0"/>
    <x v="0"/>
    <x v="0"/>
  </r>
  <r>
    <s v="Singapore"/>
    <x v="1"/>
    <s v="SG1"/>
    <m/>
    <x v="5"/>
    <x v="3"/>
    <x v="4"/>
    <x v="4"/>
    <x v="0"/>
    <x v="0"/>
    <x v="0"/>
    <m/>
    <x v="0"/>
    <x v="0"/>
    <n v="0.139650156"/>
    <m/>
    <x v="15"/>
    <x v="0"/>
    <x v="0"/>
    <x v="4"/>
    <x v="1"/>
  </r>
  <r>
    <s v="Singapore"/>
    <x v="2"/>
    <s v="SG1"/>
    <m/>
    <x v="3"/>
    <x v="1"/>
    <x v="0"/>
    <x v="4"/>
    <x v="0"/>
    <x v="0"/>
    <x v="0"/>
    <m/>
    <x v="0"/>
    <x v="0"/>
    <n v="6.3436130100000003"/>
    <m/>
    <x v="15"/>
    <x v="2"/>
    <x v="0"/>
    <x v="2"/>
    <x v="2"/>
  </r>
  <r>
    <s v="Singapore"/>
    <x v="3"/>
    <s v="SG4"/>
    <m/>
    <x v="4"/>
    <x v="2"/>
    <x v="0"/>
    <x v="5"/>
    <x v="0"/>
    <x v="0"/>
    <x v="0"/>
    <m/>
    <x v="0"/>
    <x v="0"/>
    <n v="4.8413300399999999"/>
    <m/>
    <x v="15"/>
    <x v="0"/>
    <x v="0"/>
    <x v="3"/>
    <x v="1"/>
  </r>
  <r>
    <s v="Singapore"/>
    <x v="1"/>
    <s v="SG1"/>
    <m/>
    <x v="1"/>
    <x v="2"/>
    <x v="2"/>
    <x v="0"/>
    <x v="0"/>
    <x v="0"/>
    <x v="0"/>
    <m/>
    <x v="0"/>
    <x v="0"/>
    <n v="3.8396159190000003"/>
    <m/>
    <x v="15"/>
    <x v="2"/>
    <x v="0"/>
    <x v="2"/>
    <x v="0"/>
  </r>
  <r>
    <s v="Singapore"/>
    <x v="0"/>
    <s v="SG3"/>
    <m/>
    <x v="5"/>
    <x v="1"/>
    <x v="0"/>
    <x v="5"/>
    <x v="0"/>
    <x v="0"/>
    <x v="0"/>
    <m/>
    <x v="0"/>
    <x v="0"/>
    <n v="0.28909950299999998"/>
    <m/>
    <x v="15"/>
    <x v="0"/>
    <x v="0"/>
    <x v="4"/>
    <x v="1"/>
  </r>
  <r>
    <s v="Singapore"/>
    <x v="2"/>
    <s v="SG1"/>
    <m/>
    <x v="1"/>
    <x v="4"/>
    <x v="2"/>
    <x v="5"/>
    <x v="0"/>
    <x v="0"/>
    <x v="0"/>
    <m/>
    <x v="0"/>
    <x v="0"/>
    <n v="7.6760069849999999"/>
    <m/>
    <x v="15"/>
    <x v="0"/>
    <x v="0"/>
    <x v="2"/>
    <x v="0"/>
  </r>
  <r>
    <s v="Singapore"/>
    <x v="5"/>
    <s v="SG1"/>
    <m/>
    <x v="2"/>
    <x v="0"/>
    <x v="1"/>
    <x v="2"/>
    <x v="0"/>
    <x v="0"/>
    <x v="0"/>
    <m/>
    <x v="0"/>
    <x v="0"/>
    <n v="0.94464824400000003"/>
    <m/>
    <x v="15"/>
    <x v="2"/>
    <x v="0"/>
    <x v="0"/>
    <x v="2"/>
  </r>
  <r>
    <s v="Singapore"/>
    <x v="1"/>
    <s v="SG4"/>
    <m/>
    <x v="4"/>
    <x v="4"/>
    <x v="4"/>
    <x v="1"/>
    <x v="0"/>
    <x v="0"/>
    <x v="0"/>
    <m/>
    <x v="0"/>
    <x v="0"/>
    <n v="13.935384342000001"/>
    <m/>
    <x v="15"/>
    <x v="1"/>
    <x v="0"/>
    <x v="2"/>
    <x v="2"/>
  </r>
  <r>
    <s v="Singapore"/>
    <x v="3"/>
    <s v="SG1"/>
    <m/>
    <x v="0"/>
    <x v="2"/>
    <x v="1"/>
    <x v="2"/>
    <x v="0"/>
    <x v="0"/>
    <x v="0"/>
    <m/>
    <x v="0"/>
    <x v="0"/>
    <n v="1.8791389800000002"/>
    <m/>
    <x v="15"/>
    <x v="1"/>
    <x v="0"/>
    <x v="2"/>
    <x v="2"/>
  </r>
  <r>
    <s v="Singapore"/>
    <x v="4"/>
    <s v="SG4"/>
    <m/>
    <x v="1"/>
    <x v="2"/>
    <x v="3"/>
    <x v="0"/>
    <x v="0"/>
    <x v="0"/>
    <x v="0"/>
    <m/>
    <x v="0"/>
    <x v="0"/>
    <n v="0.40422831300000006"/>
    <m/>
    <x v="15"/>
    <x v="0"/>
    <x v="0"/>
    <x v="0"/>
    <x v="1"/>
  </r>
  <r>
    <s v="Singapore"/>
    <x v="5"/>
    <s v="SG3"/>
    <m/>
    <x v="4"/>
    <x v="4"/>
    <x v="4"/>
    <x v="0"/>
    <x v="0"/>
    <x v="0"/>
    <x v="0"/>
    <m/>
    <x v="0"/>
    <x v="0"/>
    <n v="8.7242400000000012E-4"/>
    <m/>
    <x v="15"/>
    <x v="2"/>
    <x v="0"/>
    <x v="0"/>
    <x v="0"/>
  </r>
  <r>
    <s v="Singapore"/>
    <x v="0"/>
    <s v="SG3"/>
    <m/>
    <x v="5"/>
    <x v="2"/>
    <x v="0"/>
    <x v="0"/>
    <x v="0"/>
    <x v="0"/>
    <x v="0"/>
    <m/>
    <x v="0"/>
    <x v="0"/>
    <n v="6.6818331000000009E-2"/>
    <m/>
    <x v="15"/>
    <x v="2"/>
    <x v="0"/>
    <x v="2"/>
    <x v="1"/>
  </r>
  <r>
    <s v="Singapore"/>
    <x v="3"/>
    <s v="SG2"/>
    <m/>
    <x v="1"/>
    <x v="2"/>
    <x v="0"/>
    <x v="0"/>
    <x v="0"/>
    <x v="0"/>
    <x v="0"/>
    <m/>
    <x v="0"/>
    <x v="0"/>
    <n v="16.976373983999999"/>
    <m/>
    <x v="15"/>
    <x v="1"/>
    <x v="0"/>
    <x v="3"/>
    <x v="0"/>
  </r>
  <r>
    <s v="Singapore"/>
    <x v="1"/>
    <s v="SG2"/>
    <m/>
    <x v="2"/>
    <x v="3"/>
    <x v="4"/>
    <x v="5"/>
    <x v="0"/>
    <x v="0"/>
    <x v="0"/>
    <m/>
    <x v="0"/>
    <x v="0"/>
    <n v="17.493440994"/>
    <m/>
    <x v="15"/>
    <x v="3"/>
    <x v="0"/>
    <x v="4"/>
    <x v="2"/>
  </r>
  <r>
    <s v="Singapore"/>
    <x v="1"/>
    <s v="SG1"/>
    <m/>
    <x v="2"/>
    <x v="0"/>
    <x v="1"/>
    <x v="0"/>
    <x v="0"/>
    <x v="0"/>
    <x v="0"/>
    <m/>
    <x v="0"/>
    <x v="0"/>
    <n v="12.942706041000003"/>
    <m/>
    <x v="15"/>
    <x v="0"/>
    <x v="0"/>
    <x v="4"/>
    <x v="0"/>
  </r>
  <r>
    <s v="Singapore"/>
    <x v="4"/>
    <s v="SG3"/>
    <m/>
    <x v="5"/>
    <x v="2"/>
    <x v="3"/>
    <x v="3"/>
    <x v="0"/>
    <x v="0"/>
    <x v="0"/>
    <m/>
    <x v="0"/>
    <x v="0"/>
    <n v="4.1735206260000002"/>
    <m/>
    <x v="15"/>
    <x v="2"/>
    <x v="0"/>
    <x v="5"/>
    <x v="2"/>
  </r>
  <r>
    <s v="Singapore"/>
    <x v="2"/>
    <s v="SG1"/>
    <m/>
    <x v="3"/>
    <x v="4"/>
    <x v="3"/>
    <x v="3"/>
    <x v="0"/>
    <x v="0"/>
    <x v="0"/>
    <m/>
    <x v="0"/>
    <x v="0"/>
    <n v="115.993631448"/>
    <m/>
    <x v="15"/>
    <x v="3"/>
    <x v="0"/>
    <x v="4"/>
    <x v="0"/>
  </r>
  <r>
    <s v="Singapore"/>
    <x v="2"/>
    <s v="SG2"/>
    <m/>
    <x v="0"/>
    <x v="2"/>
    <x v="1"/>
    <x v="3"/>
    <x v="0"/>
    <x v="0"/>
    <x v="0"/>
    <m/>
    <x v="0"/>
    <x v="0"/>
    <n v="0.25602528600000002"/>
    <m/>
    <x v="15"/>
    <x v="2"/>
    <x v="0"/>
    <x v="0"/>
    <x v="1"/>
  </r>
  <r>
    <s v="Singapore"/>
    <x v="5"/>
    <s v="SG2"/>
    <m/>
    <x v="4"/>
    <x v="4"/>
    <x v="1"/>
    <x v="4"/>
    <x v="0"/>
    <x v="0"/>
    <x v="0"/>
    <m/>
    <x v="0"/>
    <x v="0"/>
    <n v="4.17345831"/>
    <m/>
    <x v="15"/>
    <x v="2"/>
    <x v="0"/>
    <x v="4"/>
    <x v="1"/>
  </r>
  <r>
    <s v="Singapore"/>
    <x v="1"/>
    <s v="SG1"/>
    <m/>
    <x v="2"/>
    <x v="4"/>
    <x v="4"/>
    <x v="2"/>
    <x v="0"/>
    <x v="0"/>
    <x v="0"/>
    <m/>
    <x v="0"/>
    <x v="0"/>
    <n v="1.535528556"/>
    <m/>
    <x v="15"/>
    <x v="0"/>
    <x v="0"/>
    <x v="5"/>
    <x v="2"/>
  </r>
  <r>
    <s v="Singapore"/>
    <x v="4"/>
    <s v="SG3"/>
    <m/>
    <x v="1"/>
    <x v="1"/>
    <x v="3"/>
    <x v="1"/>
    <x v="0"/>
    <x v="0"/>
    <x v="0"/>
    <m/>
    <x v="0"/>
    <x v="0"/>
    <n v="13.041585954"/>
    <m/>
    <x v="15"/>
    <x v="2"/>
    <x v="0"/>
    <x v="2"/>
    <x v="1"/>
  </r>
  <r>
    <s v="Singapore"/>
    <x v="3"/>
    <s v="SG1"/>
    <m/>
    <x v="2"/>
    <x v="1"/>
    <x v="1"/>
    <x v="3"/>
    <x v="0"/>
    <x v="0"/>
    <x v="0"/>
    <m/>
    <x v="0"/>
    <x v="0"/>
    <n v="1.1692351080000001"/>
    <m/>
    <x v="15"/>
    <x v="0"/>
    <x v="0"/>
    <x v="2"/>
    <x v="2"/>
  </r>
  <r>
    <s v="Singapore"/>
    <x v="2"/>
    <s v="SG1"/>
    <m/>
    <x v="1"/>
    <x v="3"/>
    <x v="4"/>
    <x v="0"/>
    <x v="0"/>
    <x v="0"/>
    <x v="0"/>
    <m/>
    <x v="0"/>
    <x v="0"/>
    <n v="1.194613299"/>
    <m/>
    <x v="15"/>
    <x v="2"/>
    <x v="0"/>
    <x v="4"/>
    <x v="2"/>
  </r>
  <r>
    <s v="Singapore"/>
    <x v="2"/>
    <s v="SG4"/>
    <m/>
    <x v="3"/>
    <x v="4"/>
    <x v="3"/>
    <x v="1"/>
    <x v="0"/>
    <x v="0"/>
    <x v="0"/>
    <m/>
    <x v="0"/>
    <x v="0"/>
    <n v="3.6152783190000002"/>
    <m/>
    <x v="15"/>
    <x v="2"/>
    <x v="0"/>
    <x v="2"/>
    <x v="1"/>
  </r>
  <r>
    <s v="Singapore"/>
    <x v="3"/>
    <s v="SG3"/>
    <m/>
    <x v="3"/>
    <x v="4"/>
    <x v="4"/>
    <x v="3"/>
    <x v="0"/>
    <x v="0"/>
    <x v="0"/>
    <m/>
    <x v="0"/>
    <x v="0"/>
    <n v="2.8660374720000004"/>
    <m/>
    <x v="15"/>
    <x v="3"/>
    <x v="0"/>
    <x v="5"/>
    <x v="1"/>
  </r>
  <r>
    <s v="Singapore"/>
    <x v="4"/>
    <s v="SG1"/>
    <m/>
    <x v="1"/>
    <x v="0"/>
    <x v="4"/>
    <x v="1"/>
    <x v="0"/>
    <x v="0"/>
    <x v="0"/>
    <m/>
    <x v="0"/>
    <x v="0"/>
    <n v="0.847949391"/>
    <m/>
    <x v="15"/>
    <x v="0"/>
    <x v="0"/>
    <x v="5"/>
    <x v="0"/>
  </r>
  <r>
    <s v="Singapore"/>
    <x v="2"/>
    <s v="SG1"/>
    <m/>
    <x v="4"/>
    <x v="4"/>
    <x v="2"/>
    <x v="0"/>
    <x v="0"/>
    <x v="0"/>
    <x v="0"/>
    <m/>
    <x v="0"/>
    <x v="0"/>
    <n v="10.528817886000001"/>
    <m/>
    <x v="15"/>
    <x v="2"/>
    <x v="0"/>
    <x v="4"/>
    <x v="2"/>
  </r>
  <r>
    <s v="Singapore"/>
    <x v="4"/>
    <s v="SG3"/>
    <m/>
    <x v="5"/>
    <x v="2"/>
    <x v="3"/>
    <x v="0"/>
    <x v="0"/>
    <x v="0"/>
    <x v="0"/>
    <m/>
    <x v="0"/>
    <x v="0"/>
    <n v="4.17345831"/>
    <m/>
    <x v="15"/>
    <x v="1"/>
    <x v="0"/>
    <x v="0"/>
    <x v="2"/>
  </r>
  <r>
    <s v="Singapore"/>
    <x v="0"/>
    <s v="SG1"/>
    <m/>
    <x v="1"/>
    <x v="4"/>
    <x v="0"/>
    <x v="4"/>
    <x v="0"/>
    <x v="0"/>
    <x v="0"/>
    <m/>
    <x v="0"/>
    <x v="0"/>
    <n v="0.30336986700000002"/>
    <m/>
    <x v="15"/>
    <x v="2"/>
    <x v="0"/>
    <x v="5"/>
    <x v="1"/>
  </r>
  <r>
    <s v="Singapore"/>
    <x v="2"/>
    <s v="SG4"/>
    <m/>
    <x v="2"/>
    <x v="1"/>
    <x v="4"/>
    <x v="5"/>
    <x v="0"/>
    <x v="0"/>
    <x v="0"/>
    <m/>
    <x v="0"/>
    <x v="0"/>
    <n v="4.17345831"/>
    <m/>
    <x v="15"/>
    <x v="1"/>
    <x v="0"/>
    <x v="0"/>
    <x v="0"/>
  </r>
  <r>
    <s v="Singapore"/>
    <x v="0"/>
    <s v="SG4"/>
    <m/>
    <x v="5"/>
    <x v="1"/>
    <x v="4"/>
    <x v="4"/>
    <x v="0"/>
    <x v="0"/>
    <x v="0"/>
    <m/>
    <x v="0"/>
    <x v="0"/>
    <n v="11.864561346"/>
    <m/>
    <x v="15"/>
    <x v="1"/>
    <x v="0"/>
    <x v="4"/>
    <x v="2"/>
  </r>
  <r>
    <s v="Singapore"/>
    <x v="2"/>
    <s v="SG2"/>
    <m/>
    <x v="0"/>
    <x v="1"/>
    <x v="0"/>
    <x v="3"/>
    <x v="0"/>
    <x v="0"/>
    <x v="0"/>
    <m/>
    <x v="0"/>
    <x v="0"/>
    <n v="2.1265490790000001"/>
    <m/>
    <x v="15"/>
    <x v="2"/>
    <x v="0"/>
    <x v="2"/>
    <x v="2"/>
  </r>
  <r>
    <s v="Singapore"/>
    <x v="0"/>
    <s v="SG2"/>
    <m/>
    <x v="5"/>
    <x v="1"/>
    <x v="0"/>
    <x v="1"/>
    <x v="0"/>
    <x v="0"/>
    <x v="0"/>
    <m/>
    <x v="0"/>
    <x v="0"/>
    <n v="0.22112832600000001"/>
    <m/>
    <x v="15"/>
    <x v="0"/>
    <x v="0"/>
    <x v="5"/>
    <x v="2"/>
  </r>
  <r>
    <s v="Singapore"/>
    <x v="5"/>
    <s v="SG2"/>
    <m/>
    <x v="2"/>
    <x v="3"/>
    <x v="4"/>
    <x v="0"/>
    <x v="0"/>
    <x v="0"/>
    <x v="0"/>
    <m/>
    <x v="0"/>
    <x v="0"/>
    <n v="8.0154889740000019"/>
    <m/>
    <x v="15"/>
    <x v="2"/>
    <x v="0"/>
    <x v="4"/>
    <x v="1"/>
  </r>
  <r>
    <s v="Singapore"/>
    <x v="5"/>
    <s v="SG4"/>
    <m/>
    <x v="1"/>
    <x v="3"/>
    <x v="1"/>
    <x v="3"/>
    <x v="0"/>
    <x v="0"/>
    <x v="0"/>
    <m/>
    <x v="0"/>
    <x v="0"/>
    <n v="0.65950580700000005"/>
    <m/>
    <x v="15"/>
    <x v="2"/>
    <x v="0"/>
    <x v="2"/>
    <x v="0"/>
  </r>
  <r>
    <s v="Singapore"/>
    <x v="2"/>
    <s v="SG4"/>
    <m/>
    <x v="5"/>
    <x v="2"/>
    <x v="0"/>
    <x v="2"/>
    <x v="0"/>
    <x v="0"/>
    <x v="0"/>
    <m/>
    <x v="0"/>
    <x v="0"/>
    <n v="4.2530670000000001E-3"/>
    <m/>
    <x v="15"/>
    <x v="3"/>
    <x v="0"/>
    <x v="3"/>
    <x v="1"/>
  </r>
  <r>
    <s v="Singapore"/>
    <x v="4"/>
    <s v="SG2"/>
    <m/>
    <x v="1"/>
    <x v="3"/>
    <x v="4"/>
    <x v="3"/>
    <x v="0"/>
    <x v="0"/>
    <x v="0"/>
    <m/>
    <x v="0"/>
    <x v="0"/>
    <n v="37.163875869000002"/>
    <m/>
    <x v="15"/>
    <x v="2"/>
    <x v="0"/>
    <x v="5"/>
    <x v="0"/>
  </r>
  <r>
    <s v="Singapore"/>
    <x v="5"/>
    <s v="SG4"/>
    <m/>
    <x v="5"/>
    <x v="0"/>
    <x v="2"/>
    <x v="2"/>
    <x v="0"/>
    <x v="0"/>
    <x v="0"/>
    <m/>
    <x v="0"/>
    <x v="0"/>
    <n v="4.17345831"/>
    <m/>
    <x v="15"/>
    <x v="0"/>
    <x v="0"/>
    <x v="1"/>
    <x v="0"/>
  </r>
  <r>
    <s v="Singapore"/>
    <x v="2"/>
    <s v="SG4"/>
    <m/>
    <x v="3"/>
    <x v="1"/>
    <x v="1"/>
    <x v="1"/>
    <x v="0"/>
    <x v="0"/>
    <x v="0"/>
    <m/>
    <x v="0"/>
    <x v="0"/>
    <n v="24.554015162999999"/>
    <m/>
    <x v="15"/>
    <x v="1"/>
    <x v="0"/>
    <x v="5"/>
    <x v="0"/>
  </r>
  <r>
    <s v="Singapore"/>
    <x v="5"/>
    <s v="SG2"/>
    <m/>
    <x v="2"/>
    <x v="2"/>
    <x v="3"/>
    <x v="4"/>
    <x v="0"/>
    <x v="0"/>
    <x v="0"/>
    <m/>
    <x v="0"/>
    <x v="0"/>
    <n v="3.8396003400000001"/>
    <m/>
    <x v="15"/>
    <x v="1"/>
    <x v="0"/>
    <x v="1"/>
    <x v="0"/>
  </r>
  <r>
    <s v="Singapore"/>
    <x v="1"/>
    <s v="SG3"/>
    <m/>
    <x v="2"/>
    <x v="1"/>
    <x v="3"/>
    <x v="2"/>
    <x v="0"/>
    <x v="0"/>
    <x v="0"/>
    <m/>
    <x v="0"/>
    <x v="0"/>
    <n v="0.13438445400000001"/>
    <m/>
    <x v="15"/>
    <x v="3"/>
    <x v="0"/>
    <x v="5"/>
    <x v="1"/>
  </r>
  <r>
    <s v="Singapore"/>
    <x v="1"/>
    <s v="SG3"/>
    <m/>
    <x v="4"/>
    <x v="3"/>
    <x v="1"/>
    <x v="5"/>
    <x v="0"/>
    <x v="0"/>
    <x v="0"/>
    <m/>
    <x v="0"/>
    <x v="0"/>
    <n v="4.9988493090000006"/>
    <m/>
    <x v="15"/>
    <x v="3"/>
    <x v="0"/>
    <x v="3"/>
    <x v="2"/>
  </r>
  <r>
    <s v="Singapore"/>
    <x v="4"/>
    <s v="SG2"/>
    <m/>
    <x v="3"/>
    <x v="0"/>
    <x v="2"/>
    <x v="0"/>
    <x v="0"/>
    <x v="0"/>
    <x v="0"/>
    <m/>
    <x v="0"/>
    <x v="0"/>
    <n v="0.13718867400000001"/>
    <m/>
    <x v="15"/>
    <x v="3"/>
    <x v="0"/>
    <x v="2"/>
    <x v="2"/>
  </r>
  <r>
    <s v="Singapore"/>
    <x v="1"/>
    <s v="SG1"/>
    <m/>
    <x v="0"/>
    <x v="3"/>
    <x v="0"/>
    <x v="5"/>
    <x v="0"/>
    <x v="0"/>
    <x v="0"/>
    <m/>
    <x v="0"/>
    <x v="0"/>
    <n v="3.8396003400000001"/>
    <m/>
    <x v="15"/>
    <x v="3"/>
    <x v="0"/>
    <x v="5"/>
    <x v="1"/>
  </r>
  <r>
    <s v="Singapore"/>
    <x v="0"/>
    <s v="SG2"/>
    <m/>
    <x v="2"/>
    <x v="4"/>
    <x v="1"/>
    <x v="0"/>
    <x v="0"/>
    <x v="0"/>
    <x v="0"/>
    <m/>
    <x v="0"/>
    <x v="0"/>
    <n v="0.29565826200000001"/>
    <m/>
    <x v="15"/>
    <x v="0"/>
    <x v="0"/>
    <x v="0"/>
    <x v="1"/>
  </r>
  <r>
    <s v="Singapore"/>
    <x v="3"/>
    <s v="SG1"/>
    <m/>
    <x v="5"/>
    <x v="1"/>
    <x v="4"/>
    <x v="2"/>
    <x v="0"/>
    <x v="0"/>
    <x v="0"/>
    <m/>
    <x v="0"/>
    <x v="0"/>
    <n v="3.6152783190000002"/>
    <m/>
    <x v="15"/>
    <x v="0"/>
    <x v="0"/>
    <x v="0"/>
    <x v="0"/>
  </r>
  <r>
    <s v="Singapore"/>
    <x v="0"/>
    <s v="SG3"/>
    <m/>
    <x v="2"/>
    <x v="2"/>
    <x v="2"/>
    <x v="3"/>
    <x v="0"/>
    <x v="0"/>
    <x v="0"/>
    <m/>
    <x v="0"/>
    <x v="0"/>
    <n v="0.131112864"/>
    <m/>
    <x v="15"/>
    <x v="1"/>
    <x v="0"/>
    <x v="4"/>
    <x v="1"/>
  </r>
  <r>
    <s v="Singapore"/>
    <x v="5"/>
    <s v="SG1"/>
    <m/>
    <x v="0"/>
    <x v="2"/>
    <x v="0"/>
    <x v="5"/>
    <x v="0"/>
    <x v="0"/>
    <x v="0"/>
    <m/>
    <x v="0"/>
    <x v="0"/>
    <n v="1.3148676E-2"/>
    <m/>
    <x v="15"/>
    <x v="0"/>
    <x v="0"/>
    <x v="4"/>
    <x v="0"/>
  </r>
  <r>
    <s v="Singapore"/>
    <x v="0"/>
    <s v="SG1"/>
    <m/>
    <x v="1"/>
    <x v="1"/>
    <x v="3"/>
    <x v="4"/>
    <x v="0"/>
    <x v="0"/>
    <x v="0"/>
    <m/>
    <x v="0"/>
    <x v="0"/>
    <n v="4.2293401830000006"/>
    <m/>
    <x v="15"/>
    <x v="1"/>
    <x v="0"/>
    <x v="2"/>
    <x v="0"/>
  </r>
  <r>
    <s v="Singapore"/>
    <x v="4"/>
    <s v="SG1"/>
    <m/>
    <x v="2"/>
    <x v="0"/>
    <x v="1"/>
    <x v="2"/>
    <x v="0"/>
    <x v="0"/>
    <x v="0"/>
    <m/>
    <x v="0"/>
    <x v="0"/>
    <n v="6.2601874650000005"/>
    <m/>
    <x v="15"/>
    <x v="0"/>
    <x v="0"/>
    <x v="4"/>
    <x v="0"/>
  </r>
  <r>
    <s v="Singapore"/>
    <x v="0"/>
    <s v="SG3"/>
    <m/>
    <x v="2"/>
    <x v="4"/>
    <x v="1"/>
    <x v="3"/>
    <x v="0"/>
    <x v="0"/>
    <x v="0"/>
    <m/>
    <x v="0"/>
    <x v="0"/>
    <n v="0.303385446"/>
    <m/>
    <x v="15"/>
    <x v="3"/>
    <x v="0"/>
    <x v="3"/>
    <x v="1"/>
  </r>
  <r>
    <s v="Singapore"/>
    <x v="2"/>
    <s v="SG4"/>
    <m/>
    <x v="1"/>
    <x v="0"/>
    <x v="4"/>
    <x v="3"/>
    <x v="0"/>
    <x v="0"/>
    <x v="0"/>
    <m/>
    <x v="0"/>
    <x v="0"/>
    <n v="4.2530670000000001E-3"/>
    <m/>
    <x v="15"/>
    <x v="3"/>
    <x v="0"/>
    <x v="3"/>
    <x v="2"/>
  </r>
  <r>
    <s v="Singapore"/>
    <x v="4"/>
    <s v="SG1"/>
    <m/>
    <x v="2"/>
    <x v="2"/>
    <x v="2"/>
    <x v="1"/>
    <x v="0"/>
    <x v="0"/>
    <x v="0"/>
    <m/>
    <x v="0"/>
    <x v="0"/>
    <n v="0.30336986700000002"/>
    <m/>
    <x v="15"/>
    <x v="1"/>
    <x v="0"/>
    <x v="5"/>
    <x v="2"/>
  </r>
  <r>
    <s v="Singapore"/>
    <x v="4"/>
    <s v="SG3"/>
    <m/>
    <x v="2"/>
    <x v="4"/>
    <x v="3"/>
    <x v="1"/>
    <x v="0"/>
    <x v="0"/>
    <x v="0"/>
    <m/>
    <x v="0"/>
    <x v="0"/>
    <n v="4.8016503270000008"/>
    <m/>
    <x v="15"/>
    <x v="3"/>
    <x v="0"/>
    <x v="2"/>
    <x v="0"/>
  </r>
  <r>
    <s v="Singapore"/>
    <x v="5"/>
    <s v="SG2"/>
    <m/>
    <x v="4"/>
    <x v="3"/>
    <x v="2"/>
    <x v="1"/>
    <x v="0"/>
    <x v="0"/>
    <x v="0"/>
    <m/>
    <x v="0"/>
    <x v="0"/>
    <n v="4.2530670000000001E-3"/>
    <m/>
    <x v="15"/>
    <x v="2"/>
    <x v="0"/>
    <x v="4"/>
    <x v="0"/>
  </r>
  <r>
    <s v="Singapore"/>
    <x v="1"/>
    <s v="SG1"/>
    <m/>
    <x v="0"/>
    <x v="1"/>
    <x v="0"/>
    <x v="4"/>
    <x v="0"/>
    <x v="0"/>
    <x v="0"/>
    <m/>
    <x v="0"/>
    <x v="0"/>
    <n v="2.5806301920000001"/>
    <m/>
    <x v="15"/>
    <x v="0"/>
    <x v="0"/>
    <x v="0"/>
    <x v="2"/>
  </r>
  <r>
    <s v="Singapore"/>
    <x v="2"/>
    <s v="SG2"/>
    <m/>
    <x v="2"/>
    <x v="1"/>
    <x v="3"/>
    <x v="2"/>
    <x v="0"/>
    <x v="0"/>
    <x v="0"/>
    <m/>
    <x v="0"/>
    <x v="0"/>
    <n v="0.94464824400000003"/>
    <m/>
    <x v="15"/>
    <x v="0"/>
    <x v="0"/>
    <x v="5"/>
    <x v="2"/>
  </r>
  <r>
    <s v="Singapore"/>
    <x v="2"/>
    <s v="SG4"/>
    <m/>
    <x v="4"/>
    <x v="3"/>
    <x v="3"/>
    <x v="4"/>
    <x v="0"/>
    <x v="0"/>
    <x v="0"/>
    <m/>
    <x v="0"/>
    <x v="0"/>
    <n v="3.5077209030000005"/>
    <m/>
    <x v="15"/>
    <x v="2"/>
    <x v="0"/>
    <x v="2"/>
    <x v="1"/>
  </r>
  <r>
    <s v="Singapore"/>
    <x v="0"/>
    <s v="SG2"/>
    <m/>
    <x v="5"/>
    <x v="2"/>
    <x v="1"/>
    <x v="0"/>
    <x v="0"/>
    <x v="0"/>
    <x v="0"/>
    <m/>
    <x v="0"/>
    <x v="0"/>
    <n v="3.6744629400000002"/>
    <m/>
    <x v="15"/>
    <x v="3"/>
    <x v="0"/>
    <x v="2"/>
    <x v="1"/>
  </r>
  <r>
    <s v="Singapore"/>
    <x v="0"/>
    <s v="SG3"/>
    <m/>
    <x v="5"/>
    <x v="3"/>
    <x v="0"/>
    <x v="1"/>
    <x v="0"/>
    <x v="0"/>
    <x v="0"/>
    <m/>
    <x v="0"/>
    <x v="0"/>
    <n v="0.477153612"/>
    <m/>
    <x v="15"/>
    <x v="1"/>
    <x v="0"/>
    <x v="3"/>
    <x v="1"/>
  </r>
  <r>
    <s v="Singapore"/>
    <x v="1"/>
    <s v="SG1"/>
    <m/>
    <x v="2"/>
    <x v="0"/>
    <x v="0"/>
    <x v="4"/>
    <x v="0"/>
    <x v="0"/>
    <x v="0"/>
    <m/>
    <x v="0"/>
    <x v="0"/>
    <n v="0.131112864"/>
    <m/>
    <x v="15"/>
    <x v="1"/>
    <x v="0"/>
    <x v="4"/>
    <x v="0"/>
  </r>
  <r>
    <s v="Singapore"/>
    <x v="5"/>
    <s v="SG1"/>
    <m/>
    <x v="3"/>
    <x v="0"/>
    <x v="4"/>
    <x v="2"/>
    <x v="0"/>
    <x v="0"/>
    <x v="0"/>
    <m/>
    <x v="0"/>
    <x v="0"/>
    <n v="3.6152783190000002"/>
    <m/>
    <x v="15"/>
    <x v="0"/>
    <x v="0"/>
    <x v="1"/>
    <x v="2"/>
  </r>
  <r>
    <s v="Singapore"/>
    <x v="1"/>
    <s v="SG2"/>
    <m/>
    <x v="3"/>
    <x v="1"/>
    <x v="1"/>
    <x v="5"/>
    <x v="0"/>
    <x v="0"/>
    <x v="0"/>
    <m/>
    <x v="0"/>
    <x v="0"/>
    <n v="5.8187565000000004E-2"/>
    <m/>
    <x v="15"/>
    <x v="1"/>
    <x v="0"/>
    <x v="3"/>
    <x v="0"/>
  </r>
  <r>
    <s v="Singapore"/>
    <x v="2"/>
    <s v="SG1"/>
    <m/>
    <x v="5"/>
    <x v="3"/>
    <x v="0"/>
    <x v="1"/>
    <x v="0"/>
    <x v="0"/>
    <x v="0"/>
    <m/>
    <x v="0"/>
    <x v="0"/>
    <n v="0.13105054800000002"/>
    <m/>
    <x v="15"/>
    <x v="0"/>
    <x v="0"/>
    <x v="3"/>
    <x v="0"/>
  </r>
  <r>
    <s v="Singapore"/>
    <x v="5"/>
    <s v="SG2"/>
    <m/>
    <x v="0"/>
    <x v="3"/>
    <x v="2"/>
    <x v="1"/>
    <x v="0"/>
    <x v="0"/>
    <x v="0"/>
    <m/>
    <x v="0"/>
    <x v="0"/>
    <n v="0.30336986700000002"/>
    <m/>
    <x v="15"/>
    <x v="3"/>
    <x v="0"/>
    <x v="1"/>
    <x v="0"/>
  </r>
  <r>
    <s v="Singapore"/>
    <x v="3"/>
    <s v="SG2"/>
    <m/>
    <x v="4"/>
    <x v="1"/>
    <x v="2"/>
    <x v="2"/>
    <x v="0"/>
    <x v="0"/>
    <x v="0"/>
    <m/>
    <x v="0"/>
    <x v="0"/>
    <n v="4.2530670000000001E-3"/>
    <m/>
    <x v="15"/>
    <x v="2"/>
    <x v="0"/>
    <x v="4"/>
    <x v="2"/>
  </r>
  <r>
    <s v="Singapore"/>
    <x v="1"/>
    <s v="SG2"/>
    <m/>
    <x v="3"/>
    <x v="2"/>
    <x v="4"/>
    <x v="5"/>
    <x v="0"/>
    <x v="0"/>
    <x v="0"/>
    <m/>
    <x v="0"/>
    <x v="0"/>
    <n v="4.2530981580000002"/>
    <m/>
    <x v="15"/>
    <x v="1"/>
    <x v="0"/>
    <x v="4"/>
    <x v="0"/>
  </r>
  <r>
    <s v="Singapore"/>
    <x v="1"/>
    <s v="SG3"/>
    <m/>
    <x v="3"/>
    <x v="4"/>
    <x v="2"/>
    <x v="4"/>
    <x v="0"/>
    <x v="0"/>
    <x v="0"/>
    <m/>
    <x v="0"/>
    <x v="0"/>
    <n v="8.7242400000000012E-4"/>
    <m/>
    <x v="15"/>
    <x v="0"/>
    <x v="0"/>
    <x v="4"/>
    <x v="0"/>
  </r>
  <r>
    <s v="Singapore"/>
    <x v="1"/>
    <s v="SG2"/>
    <m/>
    <x v="3"/>
    <x v="4"/>
    <x v="0"/>
    <x v="2"/>
    <x v="0"/>
    <x v="0"/>
    <x v="0"/>
    <m/>
    <x v="0"/>
    <x v="0"/>
    <n v="1.1464118730000001"/>
    <m/>
    <x v="15"/>
    <x v="0"/>
    <x v="0"/>
    <x v="2"/>
    <x v="0"/>
  </r>
  <r>
    <s v="Singapore"/>
    <x v="5"/>
    <s v="SG3"/>
    <m/>
    <x v="2"/>
    <x v="3"/>
    <x v="0"/>
    <x v="0"/>
    <x v="0"/>
    <x v="0"/>
    <x v="0"/>
    <m/>
    <x v="0"/>
    <x v="0"/>
    <n v="3.6152783190000002"/>
    <m/>
    <x v="15"/>
    <x v="0"/>
    <x v="0"/>
    <x v="3"/>
    <x v="0"/>
  </r>
  <r>
    <s v="Singapore"/>
    <x v="4"/>
    <s v="SG1"/>
    <m/>
    <x v="4"/>
    <x v="0"/>
    <x v="0"/>
    <x v="0"/>
    <x v="0"/>
    <x v="0"/>
    <x v="0"/>
    <m/>
    <x v="0"/>
    <x v="0"/>
    <n v="1.0573311510000001"/>
    <m/>
    <x v="15"/>
    <x v="3"/>
    <x v="0"/>
    <x v="3"/>
    <x v="2"/>
  </r>
  <r>
    <s v="Singapore"/>
    <x v="0"/>
    <s v="SG2"/>
    <m/>
    <x v="4"/>
    <x v="4"/>
    <x v="3"/>
    <x v="3"/>
    <x v="0"/>
    <x v="0"/>
    <x v="0"/>
    <m/>
    <x v="0"/>
    <x v="0"/>
    <n v="2.6250615000000005E-2"/>
    <m/>
    <x v="15"/>
    <x v="1"/>
    <x v="0"/>
    <x v="3"/>
    <x v="0"/>
  </r>
  <r>
    <s v="Singapore"/>
    <x v="1"/>
    <s v="SG4"/>
    <m/>
    <x v="2"/>
    <x v="4"/>
    <x v="2"/>
    <x v="0"/>
    <x v="0"/>
    <x v="0"/>
    <x v="0"/>
    <m/>
    <x v="0"/>
    <x v="0"/>
    <n v="18.580512456000001"/>
    <m/>
    <x v="15"/>
    <x v="0"/>
    <x v="0"/>
    <x v="0"/>
    <x v="1"/>
  </r>
  <r>
    <s v="Singapore"/>
    <x v="4"/>
    <s v="SG1"/>
    <m/>
    <x v="0"/>
    <x v="0"/>
    <x v="3"/>
    <x v="2"/>
    <x v="0"/>
    <x v="0"/>
    <x v="0"/>
    <m/>
    <x v="0"/>
    <x v="0"/>
    <n v="43.261839207000008"/>
    <m/>
    <x v="15"/>
    <x v="2"/>
    <x v="0"/>
    <x v="0"/>
    <x v="0"/>
  </r>
  <r>
    <s v="Singapore"/>
    <x v="1"/>
    <s v="SG3"/>
    <m/>
    <x v="1"/>
    <x v="1"/>
    <x v="3"/>
    <x v="3"/>
    <x v="0"/>
    <x v="0"/>
    <x v="0"/>
    <m/>
    <x v="0"/>
    <x v="0"/>
    <n v="0.97963867800000015"/>
    <m/>
    <x v="15"/>
    <x v="1"/>
    <x v="0"/>
    <x v="5"/>
    <x v="2"/>
  </r>
  <r>
    <s v="Singapore"/>
    <x v="1"/>
    <s v="SG1"/>
    <m/>
    <x v="2"/>
    <x v="2"/>
    <x v="4"/>
    <x v="2"/>
    <x v="0"/>
    <x v="0"/>
    <x v="0"/>
    <m/>
    <x v="0"/>
    <x v="0"/>
    <n v="1.1637513E-2"/>
    <m/>
    <x v="15"/>
    <x v="1"/>
    <x v="0"/>
    <x v="1"/>
    <x v="0"/>
  </r>
  <r>
    <s v="Singapore"/>
    <x v="4"/>
    <s v="SG3"/>
    <m/>
    <x v="5"/>
    <x v="0"/>
    <x v="0"/>
    <x v="1"/>
    <x v="0"/>
    <x v="0"/>
    <x v="0"/>
    <m/>
    <x v="0"/>
    <x v="0"/>
    <n v="1.9592617770000003"/>
    <m/>
    <x v="15"/>
    <x v="1"/>
    <x v="0"/>
    <x v="0"/>
    <x v="1"/>
  </r>
  <r>
    <s v="Singapore"/>
    <x v="2"/>
    <s v="SG1"/>
    <m/>
    <x v="3"/>
    <x v="2"/>
    <x v="2"/>
    <x v="1"/>
    <x v="0"/>
    <x v="0"/>
    <x v="0"/>
    <m/>
    <x v="0"/>
    <x v="0"/>
    <n v="0.97963867800000015"/>
    <m/>
    <x v="15"/>
    <x v="2"/>
    <x v="0"/>
    <x v="0"/>
    <x v="1"/>
  </r>
  <r>
    <s v="Singapore"/>
    <x v="4"/>
    <s v="SG1"/>
    <m/>
    <x v="0"/>
    <x v="0"/>
    <x v="3"/>
    <x v="5"/>
    <x v="0"/>
    <x v="0"/>
    <x v="0"/>
    <m/>
    <x v="0"/>
    <x v="0"/>
    <n v="2.0788461810000003"/>
    <m/>
    <x v="15"/>
    <x v="1"/>
    <x v="0"/>
    <x v="4"/>
    <x v="1"/>
  </r>
  <r>
    <s v="Singapore"/>
    <x v="1"/>
    <s v="SG3"/>
    <m/>
    <x v="2"/>
    <x v="1"/>
    <x v="4"/>
    <x v="2"/>
    <x v="0"/>
    <x v="0"/>
    <x v="0"/>
    <m/>
    <x v="0"/>
    <x v="0"/>
    <n v="4.0100346000000002E-2"/>
    <m/>
    <x v="15"/>
    <x v="0"/>
    <x v="0"/>
    <x v="0"/>
    <x v="2"/>
  </r>
  <r>
    <s v="Singapore"/>
    <x v="4"/>
    <s v="SG3"/>
    <m/>
    <x v="1"/>
    <x v="1"/>
    <x v="3"/>
    <x v="3"/>
    <x v="0"/>
    <x v="0"/>
    <x v="0"/>
    <m/>
    <x v="0"/>
    <x v="0"/>
    <n v="0.14303079900000001"/>
    <m/>
    <x v="15"/>
    <x v="3"/>
    <x v="0"/>
    <x v="0"/>
    <x v="2"/>
  </r>
  <r>
    <s v="Singapore"/>
    <x v="5"/>
    <s v="SG3"/>
    <m/>
    <x v="3"/>
    <x v="2"/>
    <x v="3"/>
    <x v="2"/>
    <x v="0"/>
    <x v="0"/>
    <x v="0"/>
    <m/>
    <x v="0"/>
    <x v="0"/>
    <n v="0.94217118300000002"/>
    <m/>
    <x v="15"/>
    <x v="0"/>
    <x v="0"/>
    <x v="1"/>
    <x v="0"/>
  </r>
  <r>
    <s v="Singapore"/>
    <x v="4"/>
    <s v="SG3"/>
    <m/>
    <x v="0"/>
    <x v="0"/>
    <x v="3"/>
    <x v="0"/>
    <x v="0"/>
    <x v="0"/>
    <x v="0"/>
    <m/>
    <x v="0"/>
    <x v="0"/>
    <n v="2.7265742640000004"/>
    <m/>
    <x v="15"/>
    <x v="0"/>
    <x v="0"/>
    <x v="1"/>
    <x v="2"/>
  </r>
  <r>
    <s v="Singapore"/>
    <x v="2"/>
    <s v="SG3"/>
    <m/>
    <x v="5"/>
    <x v="2"/>
    <x v="3"/>
    <x v="4"/>
    <x v="0"/>
    <x v="0"/>
    <x v="0"/>
    <m/>
    <x v="0"/>
    <x v="0"/>
    <n v="9.3539120220000012"/>
    <m/>
    <x v="15"/>
    <x v="2"/>
    <x v="0"/>
    <x v="3"/>
    <x v="2"/>
  </r>
  <r>
    <s v="Singapore"/>
    <x v="0"/>
    <s v="SG2"/>
    <m/>
    <x v="3"/>
    <x v="4"/>
    <x v="3"/>
    <x v="2"/>
    <x v="0"/>
    <x v="0"/>
    <x v="0"/>
    <m/>
    <x v="0"/>
    <x v="0"/>
    <n v="3.8396003400000001"/>
    <m/>
    <x v="15"/>
    <x v="2"/>
    <x v="0"/>
    <x v="5"/>
    <x v="2"/>
  </r>
  <r>
    <s v="Singapore"/>
    <x v="0"/>
    <s v="SG2"/>
    <m/>
    <x v="2"/>
    <x v="3"/>
    <x v="3"/>
    <x v="2"/>
    <x v="0"/>
    <x v="0"/>
    <x v="0"/>
    <m/>
    <x v="0"/>
    <x v="0"/>
    <n v="0.131112864"/>
    <m/>
    <x v="15"/>
    <x v="1"/>
    <x v="0"/>
    <x v="4"/>
    <x v="1"/>
  </r>
  <r>
    <s v="Singapore"/>
    <x v="5"/>
    <s v="SG4"/>
    <m/>
    <x v="5"/>
    <x v="3"/>
    <x v="2"/>
    <x v="0"/>
    <x v="0"/>
    <x v="0"/>
    <x v="0"/>
    <m/>
    <x v="0"/>
    <x v="0"/>
    <n v="0.93188904299999997"/>
    <m/>
    <x v="15"/>
    <x v="1"/>
    <x v="0"/>
    <x v="5"/>
    <x v="2"/>
  </r>
  <r>
    <s v="Singapore"/>
    <x v="1"/>
    <s v="SG4"/>
    <m/>
    <x v="5"/>
    <x v="0"/>
    <x v="4"/>
    <x v="0"/>
    <x v="0"/>
    <x v="0"/>
    <x v="0"/>
    <m/>
    <x v="0"/>
    <x v="0"/>
    <n v="3.5077209030000005"/>
    <m/>
    <x v="15"/>
    <x v="0"/>
    <x v="0"/>
    <x v="5"/>
    <x v="2"/>
  </r>
  <r>
    <s v="Singapore"/>
    <x v="3"/>
    <s v="SG4"/>
    <m/>
    <x v="2"/>
    <x v="3"/>
    <x v="1"/>
    <x v="1"/>
    <x v="0"/>
    <x v="0"/>
    <x v="0"/>
    <m/>
    <x v="0"/>
    <x v="0"/>
    <n v="1.451074797"/>
    <m/>
    <x v="15"/>
    <x v="1"/>
    <x v="0"/>
    <x v="5"/>
    <x v="1"/>
  </r>
  <r>
    <s v="Singapore"/>
    <x v="4"/>
    <s v="SG4"/>
    <m/>
    <x v="3"/>
    <x v="1"/>
    <x v="2"/>
    <x v="3"/>
    <x v="0"/>
    <x v="0"/>
    <x v="0"/>
    <m/>
    <x v="0"/>
    <x v="0"/>
    <n v="17.538588936"/>
    <m/>
    <x v="15"/>
    <x v="2"/>
    <x v="0"/>
    <x v="3"/>
    <x v="0"/>
  </r>
  <r>
    <s v="Singapore"/>
    <x v="3"/>
    <s v="SG3"/>
    <m/>
    <x v="0"/>
    <x v="1"/>
    <x v="4"/>
    <x v="2"/>
    <x v="0"/>
    <x v="0"/>
    <x v="0"/>
    <m/>
    <x v="0"/>
    <x v="0"/>
    <n v="5.7283983000000011E-2"/>
    <m/>
    <x v="15"/>
    <x v="3"/>
    <x v="0"/>
    <x v="1"/>
    <x v="1"/>
  </r>
  <r>
    <s v="Singapore"/>
    <x v="3"/>
    <s v="SG3"/>
    <m/>
    <x v="5"/>
    <x v="1"/>
    <x v="2"/>
    <x v="5"/>
    <x v="0"/>
    <x v="0"/>
    <x v="0"/>
    <m/>
    <x v="0"/>
    <x v="0"/>
    <n v="4.17345831"/>
    <m/>
    <x v="15"/>
    <x v="1"/>
    <x v="0"/>
    <x v="0"/>
    <x v="2"/>
  </r>
  <r>
    <s v="Singapore"/>
    <x v="3"/>
    <s v="SG4"/>
    <m/>
    <x v="0"/>
    <x v="1"/>
    <x v="3"/>
    <x v="5"/>
    <x v="0"/>
    <x v="0"/>
    <x v="0"/>
    <m/>
    <x v="0"/>
    <x v="0"/>
    <n v="9.7263435959999995"/>
    <m/>
    <x v="15"/>
    <x v="1"/>
    <x v="0"/>
    <x v="5"/>
    <x v="1"/>
  </r>
  <r>
    <s v="Singapore"/>
    <x v="2"/>
    <s v="SG1"/>
    <m/>
    <x v="3"/>
    <x v="3"/>
    <x v="1"/>
    <x v="3"/>
    <x v="0"/>
    <x v="0"/>
    <x v="0"/>
    <m/>
    <x v="0"/>
    <x v="0"/>
    <n v="4.6105894709999999"/>
    <m/>
    <x v="15"/>
    <x v="1"/>
    <x v="0"/>
    <x v="5"/>
    <x v="1"/>
  </r>
  <r>
    <s v="Singapore"/>
    <x v="0"/>
    <s v="SG1"/>
    <m/>
    <x v="1"/>
    <x v="1"/>
    <x v="4"/>
    <x v="1"/>
    <x v="0"/>
    <x v="0"/>
    <x v="0"/>
    <m/>
    <x v="0"/>
    <x v="0"/>
    <n v="9.9284967000000002E-2"/>
    <m/>
    <x v="15"/>
    <x v="0"/>
    <x v="0"/>
    <x v="0"/>
    <x v="0"/>
  </r>
  <r>
    <s v="Singapore"/>
    <x v="3"/>
    <s v="SG3"/>
    <m/>
    <x v="4"/>
    <x v="1"/>
    <x v="2"/>
    <x v="3"/>
    <x v="0"/>
    <x v="0"/>
    <x v="0"/>
    <m/>
    <x v="0"/>
    <x v="0"/>
    <n v="0.64515754800000003"/>
    <m/>
    <x v="15"/>
    <x v="3"/>
    <x v="0"/>
    <x v="2"/>
    <x v="1"/>
  </r>
  <r>
    <s v="Singapore"/>
    <x v="5"/>
    <s v="SG2"/>
    <m/>
    <x v="4"/>
    <x v="1"/>
    <x v="4"/>
    <x v="1"/>
    <x v="0"/>
    <x v="0"/>
    <x v="0"/>
    <m/>
    <x v="0"/>
    <x v="0"/>
    <n v="8.7242400000000012E-4"/>
    <m/>
    <x v="15"/>
    <x v="2"/>
    <x v="0"/>
    <x v="5"/>
    <x v="0"/>
  </r>
  <r>
    <s v="Singapore"/>
    <x v="0"/>
    <s v="SG3"/>
    <m/>
    <x v="1"/>
    <x v="1"/>
    <x v="0"/>
    <x v="1"/>
    <x v="0"/>
    <x v="0"/>
    <x v="0"/>
    <m/>
    <x v="0"/>
    <x v="0"/>
    <n v="4.17345831"/>
    <m/>
    <x v="15"/>
    <x v="1"/>
    <x v="0"/>
    <x v="4"/>
    <x v="0"/>
  </r>
  <r>
    <s v="Singapore"/>
    <x v="0"/>
    <s v="SG1"/>
    <m/>
    <x v="4"/>
    <x v="2"/>
    <x v="2"/>
    <x v="5"/>
    <x v="0"/>
    <x v="0"/>
    <x v="0"/>
    <m/>
    <x v="0"/>
    <x v="0"/>
    <n v="6.3436130100000003"/>
    <m/>
    <x v="15"/>
    <x v="2"/>
    <x v="0"/>
    <x v="0"/>
    <x v="2"/>
  </r>
  <r>
    <s v="Singapore"/>
    <x v="0"/>
    <s v="SG2"/>
    <m/>
    <x v="2"/>
    <x v="3"/>
    <x v="1"/>
    <x v="4"/>
    <x v="0"/>
    <x v="0"/>
    <x v="0"/>
    <m/>
    <x v="0"/>
    <x v="0"/>
    <n v="4.4001016020000003"/>
    <m/>
    <x v="15"/>
    <x v="2"/>
    <x v="0"/>
    <x v="0"/>
    <x v="1"/>
  </r>
  <r>
    <s v="Singapore"/>
    <x v="4"/>
    <s v="SG3"/>
    <m/>
    <x v="2"/>
    <x v="4"/>
    <x v="2"/>
    <x v="2"/>
    <x v="0"/>
    <x v="0"/>
    <x v="0"/>
    <m/>
    <x v="0"/>
    <x v="0"/>
    <n v="5.2866713340000002"/>
    <m/>
    <x v="15"/>
    <x v="0"/>
    <x v="0"/>
    <x v="3"/>
    <x v="1"/>
  </r>
  <r>
    <s v="Singapore"/>
    <x v="3"/>
    <s v="SG4"/>
    <m/>
    <x v="3"/>
    <x v="1"/>
    <x v="2"/>
    <x v="5"/>
    <x v="0"/>
    <x v="0"/>
    <x v="0"/>
    <m/>
    <x v="0"/>
    <x v="0"/>
    <n v="0.131112864"/>
    <m/>
    <x v="15"/>
    <x v="1"/>
    <x v="0"/>
    <x v="0"/>
    <x v="1"/>
  </r>
  <r>
    <s v="Singapore"/>
    <x v="4"/>
    <s v="SG1"/>
    <m/>
    <x v="4"/>
    <x v="3"/>
    <x v="3"/>
    <x v="4"/>
    <x v="0"/>
    <x v="0"/>
    <x v="0"/>
    <m/>
    <x v="0"/>
    <x v="0"/>
    <n v="5.6965704030000008"/>
    <m/>
    <x v="15"/>
    <x v="2"/>
    <x v="0"/>
    <x v="3"/>
    <x v="2"/>
  </r>
  <r>
    <s v="Singapore"/>
    <x v="5"/>
    <s v="SG3"/>
    <m/>
    <x v="4"/>
    <x v="1"/>
    <x v="3"/>
    <x v="4"/>
    <x v="0"/>
    <x v="0"/>
    <x v="0"/>
    <m/>
    <x v="0"/>
    <x v="0"/>
    <n v="1.9592617770000003"/>
    <m/>
    <x v="15"/>
    <x v="2"/>
    <x v="0"/>
    <x v="4"/>
    <x v="2"/>
  </r>
  <r>
    <s v="Singapore"/>
    <x v="2"/>
    <s v="SG2"/>
    <m/>
    <x v="5"/>
    <x v="1"/>
    <x v="2"/>
    <x v="0"/>
    <x v="0"/>
    <x v="0"/>
    <x v="0"/>
    <m/>
    <x v="0"/>
    <x v="0"/>
    <n v="6.7784229000000001E-2"/>
    <m/>
    <x v="15"/>
    <x v="0"/>
    <x v="0"/>
    <x v="5"/>
    <x v="0"/>
  </r>
  <r>
    <s v="Singapore"/>
    <x v="1"/>
    <s v="SG1"/>
    <m/>
    <x v="2"/>
    <x v="4"/>
    <x v="3"/>
    <x v="4"/>
    <x v="0"/>
    <x v="0"/>
    <x v="0"/>
    <m/>
    <x v="0"/>
    <x v="0"/>
    <n v="1.445809095"/>
    <m/>
    <x v="16"/>
    <x v="1"/>
    <x v="0"/>
    <x v="3"/>
    <x v="0"/>
  </r>
  <r>
    <s v="Singapore"/>
    <x v="3"/>
    <s v="SG4"/>
    <m/>
    <x v="3"/>
    <x v="1"/>
    <x v="1"/>
    <x v="5"/>
    <x v="0"/>
    <x v="0"/>
    <x v="0"/>
    <m/>
    <x v="0"/>
    <x v="0"/>
    <n v="0.66770036099999996"/>
    <m/>
    <x v="16"/>
    <x v="3"/>
    <x v="0"/>
    <x v="3"/>
    <x v="1"/>
  </r>
  <r>
    <s v="Singapore"/>
    <x v="2"/>
    <s v="SG3"/>
    <m/>
    <x v="4"/>
    <x v="0"/>
    <x v="2"/>
    <x v="1"/>
    <x v="0"/>
    <x v="0"/>
    <x v="0"/>
    <m/>
    <x v="0"/>
    <x v="0"/>
    <n v="9.8225594999999999E-2"/>
    <m/>
    <x v="16"/>
    <x v="1"/>
    <x v="0"/>
    <x v="1"/>
    <x v="1"/>
  </r>
  <r>
    <s v="Singapore"/>
    <x v="1"/>
    <s v="SG3"/>
    <m/>
    <x v="0"/>
    <x v="1"/>
    <x v="4"/>
    <x v="5"/>
    <x v="0"/>
    <x v="0"/>
    <x v="0"/>
    <m/>
    <x v="0"/>
    <x v="0"/>
    <n v="1.1737374389999999"/>
    <m/>
    <x v="16"/>
    <x v="1"/>
    <x v="0"/>
    <x v="2"/>
    <x v="0"/>
  </r>
  <r>
    <s v="Singapore"/>
    <x v="3"/>
    <s v="SG2"/>
    <m/>
    <x v="2"/>
    <x v="1"/>
    <x v="3"/>
    <x v="2"/>
    <x v="0"/>
    <x v="0"/>
    <x v="0"/>
    <m/>
    <x v="0"/>
    <x v="0"/>
    <n v="0.62576169300000006"/>
    <m/>
    <x v="16"/>
    <x v="3"/>
    <x v="0"/>
    <x v="5"/>
    <x v="0"/>
  </r>
  <r>
    <s v="Singapore"/>
    <x v="4"/>
    <s v="SG1"/>
    <m/>
    <x v="0"/>
    <x v="3"/>
    <x v="0"/>
    <x v="2"/>
    <x v="0"/>
    <x v="0"/>
    <x v="0"/>
    <m/>
    <x v="0"/>
    <x v="0"/>
    <n v="9.8147700000000004E-3"/>
    <m/>
    <x v="16"/>
    <x v="1"/>
    <x v="0"/>
    <x v="1"/>
    <x v="2"/>
  </r>
  <r>
    <s v="Singapore"/>
    <x v="3"/>
    <s v="SG4"/>
    <m/>
    <x v="0"/>
    <x v="0"/>
    <x v="3"/>
    <x v="2"/>
    <x v="0"/>
    <x v="0"/>
    <x v="0"/>
    <m/>
    <x v="0"/>
    <x v="0"/>
    <n v="0.23474437200000003"/>
    <m/>
    <x v="16"/>
    <x v="3"/>
    <x v="0"/>
    <x v="2"/>
    <x v="0"/>
  </r>
  <r>
    <s v="Singapore"/>
    <x v="1"/>
    <s v="SG3"/>
    <m/>
    <x v="2"/>
    <x v="1"/>
    <x v="0"/>
    <x v="5"/>
    <x v="0"/>
    <x v="0"/>
    <x v="0"/>
    <m/>
    <x v="0"/>
    <x v="0"/>
    <n v="6.7771765799999999"/>
    <m/>
    <x v="16"/>
    <x v="2"/>
    <x v="0"/>
    <x v="5"/>
    <x v="1"/>
  </r>
  <r>
    <s v="Singapore"/>
    <x v="2"/>
    <s v="SG4"/>
    <m/>
    <x v="0"/>
    <x v="0"/>
    <x v="1"/>
    <x v="4"/>
    <x v="0"/>
    <x v="0"/>
    <x v="0"/>
    <m/>
    <x v="0"/>
    <x v="0"/>
    <n v="0.23474437200000003"/>
    <m/>
    <x v="16"/>
    <x v="3"/>
    <x v="0"/>
    <x v="0"/>
    <x v="1"/>
  </r>
  <r>
    <s v="Singapore"/>
    <x v="4"/>
    <s v="SG2"/>
    <m/>
    <x v="5"/>
    <x v="1"/>
    <x v="3"/>
    <x v="1"/>
    <x v="0"/>
    <x v="0"/>
    <x v="0"/>
    <m/>
    <x v="0"/>
    <x v="0"/>
    <n v="1.5793834410000001"/>
    <m/>
    <x v="16"/>
    <x v="0"/>
    <x v="0"/>
    <x v="0"/>
    <x v="0"/>
  </r>
  <r>
    <s v="Singapore"/>
    <x v="5"/>
    <s v="SG2"/>
    <m/>
    <x v="1"/>
    <x v="4"/>
    <x v="0"/>
    <x v="4"/>
    <x v="0"/>
    <x v="0"/>
    <x v="0"/>
    <m/>
    <x v="0"/>
    <x v="0"/>
    <n v="11.397456189"/>
    <m/>
    <x v="16"/>
    <x v="1"/>
    <x v="0"/>
    <x v="3"/>
    <x v="0"/>
  </r>
  <r>
    <s v="Singapore"/>
    <x v="4"/>
    <s v="SG4"/>
    <m/>
    <x v="1"/>
    <x v="3"/>
    <x v="3"/>
    <x v="1"/>
    <x v="0"/>
    <x v="0"/>
    <x v="0"/>
    <m/>
    <x v="0"/>
    <x v="0"/>
    <n v="1.5793834410000001"/>
    <m/>
    <x v="16"/>
    <x v="1"/>
    <x v="0"/>
    <x v="1"/>
    <x v="1"/>
  </r>
  <r>
    <s v="Singapore"/>
    <x v="2"/>
    <s v="SG1"/>
    <m/>
    <x v="0"/>
    <x v="3"/>
    <x v="3"/>
    <x v="5"/>
    <x v="0"/>
    <x v="0"/>
    <x v="0"/>
    <m/>
    <x v="0"/>
    <x v="0"/>
    <n v="2.8090962270000004"/>
    <m/>
    <x v="16"/>
    <x v="1"/>
    <x v="0"/>
    <x v="0"/>
    <x v="1"/>
  </r>
  <r>
    <s v="Singapore"/>
    <x v="5"/>
    <s v="SG4"/>
    <m/>
    <x v="1"/>
    <x v="3"/>
    <x v="2"/>
    <x v="0"/>
    <x v="0"/>
    <x v="0"/>
    <x v="0"/>
    <m/>
    <x v="0"/>
    <x v="0"/>
    <n v="1.1623336110000002"/>
    <m/>
    <x v="16"/>
    <x v="2"/>
    <x v="0"/>
    <x v="2"/>
    <x v="1"/>
  </r>
  <r>
    <s v="Singapore"/>
    <x v="4"/>
    <s v="SG1"/>
    <m/>
    <x v="0"/>
    <x v="4"/>
    <x v="4"/>
    <x v="4"/>
    <x v="0"/>
    <x v="0"/>
    <x v="0"/>
    <m/>
    <x v="0"/>
    <x v="0"/>
    <n v="-0.137515833"/>
    <m/>
    <x v="16"/>
    <x v="1"/>
    <x v="0"/>
    <x v="4"/>
    <x v="0"/>
  </r>
  <r>
    <s v="Singapore"/>
    <x v="0"/>
    <s v="SG4"/>
    <m/>
    <x v="4"/>
    <x v="3"/>
    <x v="2"/>
    <x v="1"/>
    <x v="0"/>
    <x v="0"/>
    <x v="0"/>
    <m/>
    <x v="0"/>
    <x v="0"/>
    <n v="3.675600207"/>
    <m/>
    <x v="16"/>
    <x v="0"/>
    <x v="0"/>
    <x v="2"/>
    <x v="0"/>
  </r>
  <r>
    <s v="Singapore"/>
    <x v="4"/>
    <s v="SG2"/>
    <m/>
    <x v="1"/>
    <x v="2"/>
    <x v="1"/>
    <x v="5"/>
    <x v="0"/>
    <x v="0"/>
    <x v="0"/>
    <m/>
    <x v="0"/>
    <x v="0"/>
    <n v="11.491740297000002"/>
    <m/>
    <x v="16"/>
    <x v="1"/>
    <x v="0"/>
    <x v="5"/>
    <x v="1"/>
  </r>
  <r>
    <s v="Singapore"/>
    <x v="1"/>
    <s v="SG4"/>
    <m/>
    <x v="4"/>
    <x v="2"/>
    <x v="4"/>
    <x v="2"/>
    <x v="0"/>
    <x v="0"/>
    <x v="0"/>
    <m/>
    <x v="0"/>
    <x v="0"/>
    <n v="1.5793834410000001"/>
    <m/>
    <x v="16"/>
    <x v="2"/>
    <x v="0"/>
    <x v="1"/>
    <x v="1"/>
  </r>
  <r>
    <s v="Singapore"/>
    <x v="3"/>
    <s v="SG1"/>
    <m/>
    <x v="5"/>
    <x v="2"/>
    <x v="0"/>
    <x v="1"/>
    <x v="0"/>
    <x v="0"/>
    <x v="0"/>
    <m/>
    <x v="0"/>
    <x v="0"/>
    <n v="0.28090494900000001"/>
    <m/>
    <x v="16"/>
    <x v="1"/>
    <x v="0"/>
    <x v="1"/>
    <x v="0"/>
  </r>
  <r>
    <s v="Singapore"/>
    <x v="3"/>
    <s v="SG4"/>
    <m/>
    <x v="0"/>
    <x v="0"/>
    <x v="1"/>
    <x v="3"/>
    <x v="0"/>
    <x v="0"/>
    <x v="0"/>
    <m/>
    <x v="0"/>
    <x v="0"/>
    <n v="0.23474437200000003"/>
    <m/>
    <x v="16"/>
    <x v="2"/>
    <x v="0"/>
    <x v="4"/>
    <x v="0"/>
  </r>
  <r>
    <s v="Singapore"/>
    <x v="1"/>
    <s v="SG3"/>
    <m/>
    <x v="5"/>
    <x v="1"/>
    <x v="2"/>
    <x v="3"/>
    <x v="0"/>
    <x v="0"/>
    <x v="0"/>
    <m/>
    <x v="0"/>
    <x v="0"/>
    <n v="2.1493411560000002"/>
    <m/>
    <x v="16"/>
    <x v="3"/>
    <x v="0"/>
    <x v="1"/>
    <x v="0"/>
  </r>
  <r>
    <s v="Singapore"/>
    <x v="0"/>
    <s v="SG2"/>
    <m/>
    <x v="4"/>
    <x v="4"/>
    <x v="3"/>
    <x v="5"/>
    <x v="0"/>
    <x v="0"/>
    <x v="0"/>
    <m/>
    <x v="0"/>
    <x v="0"/>
    <n v="0.51448089600000002"/>
    <m/>
    <x v="16"/>
    <x v="2"/>
    <x v="0"/>
    <x v="1"/>
    <x v="2"/>
  </r>
  <r>
    <s v="Singapore"/>
    <x v="3"/>
    <s v="SG1"/>
    <m/>
    <x v="4"/>
    <x v="4"/>
    <x v="4"/>
    <x v="4"/>
    <x v="0"/>
    <x v="0"/>
    <x v="0"/>
    <m/>
    <x v="0"/>
    <x v="0"/>
    <n v="16.388998947000001"/>
    <m/>
    <x v="16"/>
    <x v="3"/>
    <x v="0"/>
    <x v="0"/>
    <x v="2"/>
  </r>
  <r>
    <s v="Singapore"/>
    <x v="0"/>
    <s v="SG2"/>
    <m/>
    <x v="4"/>
    <x v="1"/>
    <x v="4"/>
    <x v="0"/>
    <x v="0"/>
    <x v="0"/>
    <x v="0"/>
    <m/>
    <x v="0"/>
    <x v="0"/>
    <n v="1.436960223"/>
    <m/>
    <x v="16"/>
    <x v="3"/>
    <x v="0"/>
    <x v="3"/>
    <x v="0"/>
  </r>
  <r>
    <s v="Singapore"/>
    <x v="2"/>
    <s v="SG4"/>
    <m/>
    <x v="5"/>
    <x v="1"/>
    <x v="4"/>
    <x v="3"/>
    <x v="0"/>
    <x v="0"/>
    <x v="0"/>
    <m/>
    <x v="0"/>
    <x v="0"/>
    <n v="0.48089257200000002"/>
    <m/>
    <x v="16"/>
    <x v="1"/>
    <x v="0"/>
    <x v="0"/>
    <x v="0"/>
  </r>
  <r>
    <s v="Singapore"/>
    <x v="3"/>
    <s v="SG3"/>
    <m/>
    <x v="5"/>
    <x v="3"/>
    <x v="4"/>
    <x v="2"/>
    <x v="0"/>
    <x v="0"/>
    <x v="0"/>
    <m/>
    <x v="0"/>
    <x v="0"/>
    <n v="0.60463656900000007"/>
    <m/>
    <x v="16"/>
    <x v="3"/>
    <x v="0"/>
    <x v="5"/>
    <x v="0"/>
  </r>
  <r>
    <s v="Singapore"/>
    <x v="4"/>
    <s v="SG1"/>
    <m/>
    <x v="4"/>
    <x v="0"/>
    <x v="4"/>
    <x v="2"/>
    <x v="0"/>
    <x v="0"/>
    <x v="0"/>
    <m/>
    <x v="0"/>
    <x v="0"/>
    <n v="1.5793834410000001"/>
    <m/>
    <x v="16"/>
    <x v="3"/>
    <x v="0"/>
    <x v="0"/>
    <x v="0"/>
  </r>
  <r>
    <s v="Singapore"/>
    <x v="1"/>
    <s v="SG1"/>
    <m/>
    <x v="4"/>
    <x v="4"/>
    <x v="2"/>
    <x v="2"/>
    <x v="0"/>
    <x v="0"/>
    <x v="0"/>
    <m/>
    <x v="0"/>
    <x v="0"/>
    <n v="0.58774893299999997"/>
    <m/>
    <x v="16"/>
    <x v="1"/>
    <x v="0"/>
    <x v="1"/>
    <x v="1"/>
  </r>
  <r>
    <s v="Singapore"/>
    <x v="3"/>
    <s v="SG1"/>
    <m/>
    <x v="3"/>
    <x v="2"/>
    <x v="1"/>
    <x v="5"/>
    <x v="0"/>
    <x v="0"/>
    <x v="0"/>
    <m/>
    <x v="0"/>
    <x v="0"/>
    <n v="10.447666875000001"/>
    <m/>
    <x v="16"/>
    <x v="1"/>
    <x v="0"/>
    <x v="5"/>
    <x v="2"/>
  </r>
  <r>
    <s v="Singapore"/>
    <x v="3"/>
    <s v="SG3"/>
    <m/>
    <x v="5"/>
    <x v="2"/>
    <x v="3"/>
    <x v="5"/>
    <x v="0"/>
    <x v="0"/>
    <x v="0"/>
    <m/>
    <x v="0"/>
    <x v="0"/>
    <n v="10.447666875000001"/>
    <m/>
    <x v="16"/>
    <x v="3"/>
    <x v="0"/>
    <x v="1"/>
    <x v="0"/>
  </r>
  <r>
    <s v="Singapore"/>
    <x v="2"/>
    <s v="SG2"/>
    <m/>
    <x v="0"/>
    <x v="2"/>
    <x v="3"/>
    <x v="3"/>
    <x v="0"/>
    <x v="0"/>
    <x v="0"/>
    <m/>
    <x v="0"/>
    <x v="0"/>
    <n v="10.447666875000001"/>
    <m/>
    <x v="16"/>
    <x v="2"/>
    <x v="0"/>
    <x v="2"/>
    <x v="2"/>
  </r>
  <r>
    <s v="Singapore"/>
    <x v="5"/>
    <s v="SG2"/>
    <m/>
    <x v="3"/>
    <x v="0"/>
    <x v="1"/>
    <x v="5"/>
    <x v="0"/>
    <x v="0"/>
    <x v="0"/>
    <m/>
    <x v="0"/>
    <x v="0"/>
    <n v="9.8147700000000004E-3"/>
    <m/>
    <x v="16"/>
    <x v="0"/>
    <x v="0"/>
    <x v="1"/>
    <x v="2"/>
  </r>
  <r>
    <s v="Singapore"/>
    <x v="0"/>
    <s v="SG3"/>
    <m/>
    <x v="3"/>
    <x v="4"/>
    <x v="0"/>
    <x v="5"/>
    <x v="0"/>
    <x v="0"/>
    <x v="0"/>
    <m/>
    <x v="0"/>
    <x v="0"/>
    <n v="1.1737374389999999"/>
    <m/>
    <x v="16"/>
    <x v="0"/>
    <x v="0"/>
    <x v="0"/>
    <x v="1"/>
  </r>
  <r>
    <s v="Singapore"/>
    <x v="5"/>
    <s v="SG3"/>
    <m/>
    <x v="4"/>
    <x v="2"/>
    <x v="2"/>
    <x v="3"/>
    <x v="0"/>
    <x v="0"/>
    <x v="0"/>
    <m/>
    <x v="0"/>
    <x v="0"/>
    <n v="5.0573172959999999"/>
    <m/>
    <x v="16"/>
    <x v="3"/>
    <x v="0"/>
    <x v="4"/>
    <x v="0"/>
  </r>
  <r>
    <s v="Singapore"/>
    <x v="0"/>
    <s v="SG3"/>
    <m/>
    <x v="5"/>
    <x v="3"/>
    <x v="2"/>
    <x v="4"/>
    <x v="0"/>
    <x v="0"/>
    <x v="0"/>
    <m/>
    <x v="0"/>
    <x v="0"/>
    <n v="3.4107883650000002"/>
    <m/>
    <x v="16"/>
    <x v="2"/>
    <x v="0"/>
    <x v="5"/>
    <x v="1"/>
  </r>
  <r>
    <s v="Singapore"/>
    <x v="3"/>
    <s v="SG3"/>
    <m/>
    <x v="5"/>
    <x v="2"/>
    <x v="0"/>
    <x v="3"/>
    <x v="0"/>
    <x v="0"/>
    <x v="0"/>
    <m/>
    <x v="0"/>
    <x v="0"/>
    <n v="4.9089429000000004E-2"/>
    <m/>
    <x v="16"/>
    <x v="1"/>
    <x v="0"/>
    <x v="5"/>
    <x v="2"/>
  </r>
  <r>
    <s v="Singapore"/>
    <x v="5"/>
    <s v="SG3"/>
    <m/>
    <x v="1"/>
    <x v="2"/>
    <x v="1"/>
    <x v="0"/>
    <x v="0"/>
    <x v="0"/>
    <x v="0"/>
    <m/>
    <x v="0"/>
    <x v="0"/>
    <n v="10.447666875000001"/>
    <m/>
    <x v="16"/>
    <x v="0"/>
    <x v="0"/>
    <x v="1"/>
    <x v="1"/>
  </r>
  <r>
    <s v="Singapore"/>
    <x v="1"/>
    <s v="SG2"/>
    <m/>
    <x v="4"/>
    <x v="1"/>
    <x v="1"/>
    <x v="0"/>
    <x v="0"/>
    <x v="0"/>
    <x v="0"/>
    <m/>
    <x v="0"/>
    <x v="0"/>
    <n v="0.28090494900000001"/>
    <m/>
    <x v="16"/>
    <x v="1"/>
    <x v="0"/>
    <x v="4"/>
    <x v="2"/>
  </r>
  <r>
    <s v="Singapore"/>
    <x v="5"/>
    <s v="SG3"/>
    <m/>
    <x v="5"/>
    <x v="0"/>
    <x v="0"/>
    <x v="4"/>
    <x v="0"/>
    <x v="0"/>
    <x v="0"/>
    <m/>
    <x v="0"/>
    <x v="0"/>
    <n v="0.23572584900000002"/>
    <m/>
    <x v="16"/>
    <x v="1"/>
    <x v="0"/>
    <x v="0"/>
    <x v="2"/>
  </r>
  <r>
    <s v="Singapore"/>
    <x v="4"/>
    <s v="SG3"/>
    <m/>
    <x v="1"/>
    <x v="1"/>
    <x v="1"/>
    <x v="1"/>
    <x v="0"/>
    <x v="0"/>
    <x v="0"/>
    <m/>
    <x v="0"/>
    <x v="0"/>
    <n v="3.553211583"/>
    <m/>
    <x v="16"/>
    <x v="3"/>
    <x v="0"/>
    <x v="0"/>
    <x v="1"/>
  </r>
  <r>
    <s v="Singapore"/>
    <x v="0"/>
    <s v="SG4"/>
    <m/>
    <x v="1"/>
    <x v="3"/>
    <x v="1"/>
    <x v="1"/>
    <x v="0"/>
    <x v="0"/>
    <x v="0"/>
    <m/>
    <x v="0"/>
    <x v="0"/>
    <n v="1.2251948760000002"/>
    <m/>
    <x v="16"/>
    <x v="1"/>
    <x v="0"/>
    <x v="4"/>
    <x v="2"/>
  </r>
  <r>
    <s v="Singapore"/>
    <x v="1"/>
    <s v="SG4"/>
    <m/>
    <x v="5"/>
    <x v="4"/>
    <x v="4"/>
    <x v="4"/>
    <x v="0"/>
    <x v="0"/>
    <x v="0"/>
    <m/>
    <x v="0"/>
    <x v="0"/>
    <n v="8.014756761000001"/>
    <m/>
    <x v="16"/>
    <x v="1"/>
    <x v="0"/>
    <x v="5"/>
    <x v="2"/>
  </r>
  <r>
    <s v="Singapore"/>
    <x v="1"/>
    <s v="SG3"/>
    <m/>
    <x v="0"/>
    <x v="1"/>
    <x v="0"/>
    <x v="4"/>
    <x v="0"/>
    <x v="0"/>
    <x v="0"/>
    <m/>
    <x v="0"/>
    <x v="0"/>
    <n v="-0.14929355699999999"/>
    <m/>
    <x v="16"/>
    <x v="3"/>
    <x v="0"/>
    <x v="1"/>
    <x v="2"/>
  </r>
  <r>
    <s v="Singapore"/>
    <x v="5"/>
    <s v="SG1"/>
    <m/>
    <x v="5"/>
    <x v="0"/>
    <x v="2"/>
    <x v="5"/>
    <x v="0"/>
    <x v="0"/>
    <x v="0"/>
    <m/>
    <x v="0"/>
    <x v="0"/>
    <n v="0.220006638"/>
    <m/>
    <x v="16"/>
    <x v="1"/>
    <x v="0"/>
    <x v="1"/>
    <x v="0"/>
  </r>
  <r>
    <s v="Singapore"/>
    <x v="0"/>
    <s v="SG2"/>
    <m/>
    <x v="2"/>
    <x v="2"/>
    <x v="2"/>
    <x v="2"/>
    <x v="0"/>
    <x v="0"/>
    <x v="0"/>
    <m/>
    <x v="0"/>
    <x v="0"/>
    <n v="1.261151208"/>
    <m/>
    <x v="16"/>
    <x v="3"/>
    <x v="0"/>
    <x v="2"/>
    <x v="2"/>
  </r>
  <r>
    <s v="Singapore"/>
    <x v="2"/>
    <s v="SG3"/>
    <m/>
    <x v="1"/>
    <x v="2"/>
    <x v="4"/>
    <x v="4"/>
    <x v="0"/>
    <x v="0"/>
    <x v="0"/>
    <m/>
    <x v="0"/>
    <x v="0"/>
    <n v="9.2311183440000004"/>
    <m/>
    <x v="16"/>
    <x v="1"/>
    <x v="0"/>
    <x v="3"/>
    <x v="1"/>
  </r>
  <r>
    <s v="Singapore"/>
    <x v="4"/>
    <s v="SG2"/>
    <m/>
    <x v="3"/>
    <x v="1"/>
    <x v="2"/>
    <x v="0"/>
    <x v="0"/>
    <x v="0"/>
    <x v="0"/>
    <m/>
    <x v="0"/>
    <x v="0"/>
    <n v="2.8739204460000001"/>
    <m/>
    <x v="16"/>
    <x v="3"/>
    <x v="0"/>
    <x v="5"/>
    <x v="1"/>
  </r>
  <r>
    <s v="Singapore"/>
    <x v="5"/>
    <s v="SG1"/>
    <m/>
    <x v="4"/>
    <x v="0"/>
    <x v="2"/>
    <x v="5"/>
    <x v="0"/>
    <x v="0"/>
    <x v="0"/>
    <m/>
    <x v="0"/>
    <x v="0"/>
    <n v="0.908536122"/>
    <m/>
    <x v="16"/>
    <x v="1"/>
    <x v="0"/>
    <x v="2"/>
    <x v="0"/>
  </r>
  <r>
    <s v="Singapore"/>
    <x v="1"/>
    <s v="SG4"/>
    <m/>
    <x v="5"/>
    <x v="4"/>
    <x v="0"/>
    <x v="5"/>
    <x v="0"/>
    <x v="0"/>
    <x v="0"/>
    <m/>
    <x v="0"/>
    <x v="0"/>
    <n v="1.5715160460000002"/>
    <m/>
    <x v="16"/>
    <x v="0"/>
    <x v="0"/>
    <x v="3"/>
    <x v="1"/>
  </r>
  <r>
    <s v="Singapore"/>
    <x v="5"/>
    <s v="SG3"/>
    <m/>
    <x v="4"/>
    <x v="3"/>
    <x v="0"/>
    <x v="5"/>
    <x v="0"/>
    <x v="0"/>
    <x v="0"/>
    <m/>
    <x v="0"/>
    <x v="0"/>
    <n v="4.9007950830000002"/>
    <m/>
    <x v="16"/>
    <x v="0"/>
    <x v="0"/>
    <x v="2"/>
    <x v="1"/>
  </r>
  <r>
    <s v="Singapore"/>
    <x v="2"/>
    <s v="SG4"/>
    <m/>
    <x v="4"/>
    <x v="4"/>
    <x v="4"/>
    <x v="1"/>
    <x v="0"/>
    <x v="0"/>
    <x v="0"/>
    <m/>
    <x v="0"/>
    <x v="0"/>
    <n v="1.2861866610000001"/>
    <m/>
    <x v="16"/>
    <x v="0"/>
    <x v="0"/>
    <x v="4"/>
    <x v="1"/>
  </r>
  <r>
    <s v="Singapore"/>
    <x v="2"/>
    <s v="SG1"/>
    <m/>
    <x v="3"/>
    <x v="0"/>
    <x v="0"/>
    <x v="5"/>
    <x v="0"/>
    <x v="0"/>
    <x v="0"/>
    <m/>
    <x v="0"/>
    <x v="0"/>
    <n v="2.651935275"/>
    <m/>
    <x v="16"/>
    <x v="2"/>
    <x v="0"/>
    <x v="0"/>
    <x v="2"/>
  </r>
  <r>
    <s v="Singapore"/>
    <x v="4"/>
    <s v="SG3"/>
    <m/>
    <x v="2"/>
    <x v="0"/>
    <x v="3"/>
    <x v="2"/>
    <x v="0"/>
    <x v="0"/>
    <x v="0"/>
    <m/>
    <x v="0"/>
    <x v="0"/>
    <n v="9.8225594999999999E-2"/>
    <m/>
    <x v="16"/>
    <x v="1"/>
    <x v="0"/>
    <x v="4"/>
    <x v="2"/>
  </r>
  <r>
    <s v="Singapore"/>
    <x v="1"/>
    <s v="SG2"/>
    <m/>
    <x v="2"/>
    <x v="1"/>
    <x v="4"/>
    <x v="0"/>
    <x v="0"/>
    <x v="0"/>
    <x v="0"/>
    <m/>
    <x v="0"/>
    <x v="0"/>
    <n v="0.440028855"/>
    <m/>
    <x v="16"/>
    <x v="2"/>
    <x v="0"/>
    <x v="1"/>
    <x v="0"/>
  </r>
  <r>
    <s v="Singapore"/>
    <x v="2"/>
    <s v="SG4"/>
    <m/>
    <x v="2"/>
    <x v="2"/>
    <x v="2"/>
    <x v="5"/>
    <x v="0"/>
    <x v="0"/>
    <x v="0"/>
    <m/>
    <x v="0"/>
    <x v="0"/>
    <n v="12.965061905999999"/>
    <m/>
    <x v="16"/>
    <x v="3"/>
    <x v="0"/>
    <x v="5"/>
    <x v="0"/>
  </r>
  <r>
    <s v="Singapore"/>
    <x v="2"/>
    <s v="SG2"/>
    <m/>
    <x v="4"/>
    <x v="1"/>
    <x v="3"/>
    <x v="0"/>
    <x v="0"/>
    <x v="0"/>
    <x v="0"/>
    <m/>
    <x v="0"/>
    <x v="0"/>
    <n v="9.8147700000000004E-3"/>
    <m/>
    <x v="16"/>
    <x v="0"/>
    <x v="0"/>
    <x v="0"/>
    <x v="0"/>
  </r>
  <r>
    <s v="Singapore"/>
    <x v="1"/>
    <s v="SG1"/>
    <m/>
    <x v="3"/>
    <x v="0"/>
    <x v="4"/>
    <x v="1"/>
    <x v="0"/>
    <x v="0"/>
    <x v="0"/>
    <m/>
    <x v="0"/>
    <x v="0"/>
    <n v="0.95225079600000007"/>
    <m/>
    <x v="16"/>
    <x v="0"/>
    <x v="0"/>
    <x v="2"/>
    <x v="1"/>
  </r>
  <r>
    <s v="Singapore"/>
    <x v="2"/>
    <s v="SG2"/>
    <m/>
    <x v="1"/>
    <x v="3"/>
    <x v="3"/>
    <x v="2"/>
    <x v="0"/>
    <x v="0"/>
    <x v="0"/>
    <m/>
    <x v="0"/>
    <x v="0"/>
    <n v="24.703713774000001"/>
    <m/>
    <x v="16"/>
    <x v="0"/>
    <x v="0"/>
    <x v="2"/>
    <x v="1"/>
  </r>
  <r>
    <s v="Singapore"/>
    <x v="3"/>
    <s v="SG3"/>
    <m/>
    <x v="5"/>
    <x v="3"/>
    <x v="1"/>
    <x v="4"/>
    <x v="0"/>
    <x v="0"/>
    <x v="0"/>
    <m/>
    <x v="0"/>
    <x v="0"/>
    <n v="23.818374783000003"/>
    <m/>
    <x v="16"/>
    <x v="3"/>
    <x v="0"/>
    <x v="3"/>
    <x v="2"/>
  </r>
  <r>
    <s v="Singapore"/>
    <x v="5"/>
    <s v="SG3"/>
    <m/>
    <x v="0"/>
    <x v="3"/>
    <x v="0"/>
    <x v="5"/>
    <x v="0"/>
    <x v="0"/>
    <x v="0"/>
    <m/>
    <x v="0"/>
    <x v="0"/>
    <n v="1.2768548400000002"/>
    <m/>
    <x v="16"/>
    <x v="0"/>
    <x v="0"/>
    <x v="4"/>
    <x v="0"/>
  </r>
  <r>
    <s v="Singapore"/>
    <x v="5"/>
    <s v="SG2"/>
    <m/>
    <x v="0"/>
    <x v="0"/>
    <x v="1"/>
    <x v="3"/>
    <x v="0"/>
    <x v="0"/>
    <x v="0"/>
    <m/>
    <x v="0"/>
    <x v="0"/>
    <n v="1.5793367040000001"/>
    <m/>
    <x v="16"/>
    <x v="0"/>
    <x v="0"/>
    <x v="0"/>
    <x v="0"/>
  </r>
  <r>
    <s v="Singapore"/>
    <x v="3"/>
    <s v="SG3"/>
    <m/>
    <x v="1"/>
    <x v="1"/>
    <x v="0"/>
    <x v="1"/>
    <x v="0"/>
    <x v="0"/>
    <x v="0"/>
    <m/>
    <x v="0"/>
    <x v="0"/>
    <n v="11.982837114000001"/>
    <m/>
    <x v="16"/>
    <x v="1"/>
    <x v="0"/>
    <x v="0"/>
    <x v="0"/>
  </r>
  <r>
    <s v="Singapore"/>
    <x v="2"/>
    <s v="SG3"/>
    <m/>
    <x v="5"/>
    <x v="1"/>
    <x v="4"/>
    <x v="5"/>
    <x v="0"/>
    <x v="0"/>
    <x v="0"/>
    <m/>
    <x v="0"/>
    <x v="0"/>
    <n v="2.3121105480000002"/>
    <m/>
    <x v="16"/>
    <x v="3"/>
    <x v="0"/>
    <x v="2"/>
    <x v="0"/>
  </r>
  <r>
    <s v="Singapore"/>
    <x v="4"/>
    <s v="SG4"/>
    <m/>
    <x v="3"/>
    <x v="4"/>
    <x v="3"/>
    <x v="0"/>
    <x v="0"/>
    <x v="0"/>
    <x v="0"/>
    <m/>
    <x v="0"/>
    <x v="0"/>
    <n v="1.5793834410000001"/>
    <m/>
    <x v="16"/>
    <x v="3"/>
    <x v="0"/>
    <x v="5"/>
    <x v="1"/>
  </r>
  <r>
    <s v="Singapore"/>
    <x v="1"/>
    <s v="SG1"/>
    <m/>
    <x v="2"/>
    <x v="2"/>
    <x v="1"/>
    <x v="4"/>
    <x v="0"/>
    <x v="0"/>
    <x v="0"/>
    <m/>
    <x v="0"/>
    <x v="0"/>
    <n v="1.2768548400000002"/>
    <m/>
    <x v="16"/>
    <x v="2"/>
    <x v="0"/>
    <x v="0"/>
    <x v="2"/>
  </r>
  <r>
    <s v="Singapore"/>
    <x v="3"/>
    <s v="SG1"/>
    <m/>
    <x v="1"/>
    <x v="1"/>
    <x v="3"/>
    <x v="0"/>
    <x v="0"/>
    <x v="0"/>
    <x v="0"/>
    <m/>
    <x v="0"/>
    <x v="0"/>
    <n v="7.5647106090000005"/>
    <m/>
    <x v="16"/>
    <x v="2"/>
    <x v="0"/>
    <x v="3"/>
    <x v="1"/>
  </r>
  <r>
    <s v="Singapore"/>
    <x v="2"/>
    <s v="SG1"/>
    <m/>
    <x v="5"/>
    <x v="3"/>
    <x v="0"/>
    <x v="0"/>
    <x v="0"/>
    <x v="0"/>
    <x v="0"/>
    <m/>
    <x v="0"/>
    <x v="0"/>
    <n v="0.28090494900000001"/>
    <m/>
    <x v="16"/>
    <x v="1"/>
    <x v="0"/>
    <x v="0"/>
    <x v="0"/>
  </r>
  <r>
    <s v="Singapore"/>
    <x v="2"/>
    <s v="SG4"/>
    <m/>
    <x v="3"/>
    <x v="1"/>
    <x v="2"/>
    <x v="3"/>
    <x v="0"/>
    <x v="0"/>
    <x v="0"/>
    <m/>
    <x v="0"/>
    <x v="0"/>
    <n v="0.70915607999999997"/>
    <m/>
    <x v="16"/>
    <x v="2"/>
    <x v="0"/>
    <x v="0"/>
    <x v="2"/>
  </r>
  <r>
    <s v="Singapore"/>
    <x v="4"/>
    <s v="SG3"/>
    <m/>
    <x v="0"/>
    <x v="0"/>
    <x v="3"/>
    <x v="0"/>
    <x v="0"/>
    <x v="0"/>
    <x v="0"/>
    <m/>
    <x v="0"/>
    <x v="0"/>
    <n v="2.1461163029999999"/>
    <m/>
    <x v="16"/>
    <x v="2"/>
    <x v="0"/>
    <x v="0"/>
    <x v="2"/>
  </r>
  <r>
    <s v="Singapore"/>
    <x v="4"/>
    <s v="SG2"/>
    <m/>
    <x v="5"/>
    <x v="0"/>
    <x v="2"/>
    <x v="5"/>
    <x v="0"/>
    <x v="0"/>
    <x v="0"/>
    <m/>
    <x v="0"/>
    <x v="0"/>
    <n v="1.829847024"/>
    <m/>
    <x v="16"/>
    <x v="2"/>
    <x v="0"/>
    <x v="1"/>
    <x v="0"/>
  </r>
  <r>
    <s v="Singapore"/>
    <x v="0"/>
    <s v="SG1"/>
    <m/>
    <x v="1"/>
    <x v="2"/>
    <x v="1"/>
    <x v="5"/>
    <x v="0"/>
    <x v="0"/>
    <x v="0"/>
    <m/>
    <x v="0"/>
    <x v="0"/>
    <n v="2.1215482200000002"/>
    <m/>
    <x v="16"/>
    <x v="2"/>
    <x v="0"/>
    <x v="1"/>
    <x v="2"/>
  </r>
  <r>
    <s v="Singapore"/>
    <x v="1"/>
    <s v="SG2"/>
    <m/>
    <x v="2"/>
    <x v="3"/>
    <x v="2"/>
    <x v="1"/>
    <x v="0"/>
    <x v="0"/>
    <x v="0"/>
    <m/>
    <x v="0"/>
    <x v="0"/>
    <n v="7.159827978"/>
    <m/>
    <x v="16"/>
    <x v="0"/>
    <x v="0"/>
    <x v="5"/>
    <x v="0"/>
  </r>
  <r>
    <s v="Singapore"/>
    <x v="3"/>
    <s v="SG4"/>
    <m/>
    <x v="4"/>
    <x v="2"/>
    <x v="3"/>
    <x v="3"/>
    <x v="0"/>
    <x v="0"/>
    <x v="0"/>
    <m/>
    <x v="0"/>
    <x v="0"/>
    <n v="1.5793834410000001"/>
    <m/>
    <x v="16"/>
    <x v="3"/>
    <x v="0"/>
    <x v="4"/>
    <x v="0"/>
  </r>
  <r>
    <s v="Singapore"/>
    <x v="4"/>
    <s v="SG4"/>
    <m/>
    <x v="5"/>
    <x v="3"/>
    <x v="3"/>
    <x v="5"/>
    <x v="0"/>
    <x v="0"/>
    <x v="0"/>
    <m/>
    <x v="0"/>
    <x v="0"/>
    <n v="10.447666875000001"/>
    <m/>
    <x v="16"/>
    <x v="1"/>
    <x v="0"/>
    <x v="4"/>
    <x v="2"/>
  </r>
  <r>
    <s v="Singapore"/>
    <x v="3"/>
    <s v="SG4"/>
    <m/>
    <x v="0"/>
    <x v="3"/>
    <x v="4"/>
    <x v="2"/>
    <x v="0"/>
    <x v="0"/>
    <x v="0"/>
    <m/>
    <x v="0"/>
    <x v="0"/>
    <n v="-7.0713081000000011E-2"/>
    <m/>
    <x v="16"/>
    <x v="3"/>
    <x v="0"/>
    <x v="2"/>
    <x v="2"/>
  </r>
  <r>
    <s v="Singapore"/>
    <x v="4"/>
    <s v="SG3"/>
    <m/>
    <x v="0"/>
    <x v="3"/>
    <x v="3"/>
    <x v="0"/>
    <x v="0"/>
    <x v="0"/>
    <x v="0"/>
    <m/>
    <x v="0"/>
    <x v="0"/>
    <n v="1.5793834410000001"/>
    <m/>
    <x v="16"/>
    <x v="3"/>
    <x v="0"/>
    <x v="3"/>
    <x v="0"/>
  </r>
  <r>
    <s v="Singapore"/>
    <x v="3"/>
    <s v="SG4"/>
    <m/>
    <x v="4"/>
    <x v="4"/>
    <x v="1"/>
    <x v="0"/>
    <x v="0"/>
    <x v="0"/>
    <x v="0"/>
    <m/>
    <x v="0"/>
    <x v="0"/>
    <n v="8.0681927310000017"/>
    <m/>
    <x v="16"/>
    <x v="1"/>
    <x v="0"/>
    <x v="5"/>
    <x v="2"/>
  </r>
  <r>
    <s v="Singapore"/>
    <x v="3"/>
    <s v="SG1"/>
    <m/>
    <x v="0"/>
    <x v="1"/>
    <x v="4"/>
    <x v="3"/>
    <x v="0"/>
    <x v="0"/>
    <x v="0"/>
    <m/>
    <x v="0"/>
    <x v="0"/>
    <n v="3.094519086"/>
    <m/>
    <x v="16"/>
    <x v="2"/>
    <x v="0"/>
    <x v="5"/>
    <x v="0"/>
  </r>
  <r>
    <s v="Singapore"/>
    <x v="5"/>
    <s v="SG4"/>
    <m/>
    <x v="0"/>
    <x v="1"/>
    <x v="4"/>
    <x v="4"/>
    <x v="0"/>
    <x v="0"/>
    <x v="0"/>
    <m/>
    <x v="0"/>
    <x v="0"/>
    <n v="-3.5364329999999999E-2"/>
    <m/>
    <x v="16"/>
    <x v="0"/>
    <x v="0"/>
    <x v="3"/>
    <x v="1"/>
  </r>
  <r>
    <s v="Singapore"/>
    <x v="4"/>
    <s v="SG2"/>
    <m/>
    <x v="2"/>
    <x v="1"/>
    <x v="0"/>
    <x v="4"/>
    <x v="0"/>
    <x v="0"/>
    <x v="0"/>
    <m/>
    <x v="0"/>
    <x v="0"/>
    <n v="1.996807167"/>
    <m/>
    <x v="16"/>
    <x v="1"/>
    <x v="0"/>
    <x v="2"/>
    <x v="1"/>
  </r>
  <r>
    <s v="Singapore"/>
    <x v="0"/>
    <s v="SG2"/>
    <m/>
    <x v="5"/>
    <x v="0"/>
    <x v="1"/>
    <x v="1"/>
    <x v="0"/>
    <x v="0"/>
    <x v="0"/>
    <m/>
    <x v="0"/>
    <x v="0"/>
    <n v="4.6493500230000002"/>
    <m/>
    <x v="16"/>
    <x v="0"/>
    <x v="0"/>
    <x v="4"/>
    <x v="2"/>
  </r>
  <r>
    <s v="Singapore"/>
    <x v="2"/>
    <s v="SG1"/>
    <m/>
    <x v="3"/>
    <x v="3"/>
    <x v="1"/>
    <x v="0"/>
    <x v="0"/>
    <x v="0"/>
    <x v="0"/>
    <m/>
    <x v="0"/>
    <x v="0"/>
    <n v="1.6501121010000002"/>
    <m/>
    <x v="16"/>
    <x v="3"/>
    <x v="0"/>
    <x v="2"/>
    <x v="1"/>
  </r>
  <r>
    <s v="Singapore"/>
    <x v="4"/>
    <s v="SG1"/>
    <m/>
    <x v="3"/>
    <x v="2"/>
    <x v="2"/>
    <x v="4"/>
    <x v="0"/>
    <x v="0"/>
    <x v="0"/>
    <m/>
    <x v="0"/>
    <x v="0"/>
    <n v="0.66770036099999996"/>
    <m/>
    <x v="16"/>
    <x v="1"/>
    <x v="0"/>
    <x v="4"/>
    <x v="0"/>
  </r>
  <r>
    <s v="Singapore"/>
    <x v="4"/>
    <s v="SG2"/>
    <m/>
    <x v="4"/>
    <x v="0"/>
    <x v="4"/>
    <x v="1"/>
    <x v="0"/>
    <x v="0"/>
    <x v="0"/>
    <m/>
    <x v="0"/>
    <x v="0"/>
    <n v="12.670369542"/>
    <m/>
    <x v="16"/>
    <x v="3"/>
    <x v="0"/>
    <x v="3"/>
    <x v="2"/>
  </r>
  <r>
    <s v="Singapore"/>
    <x v="4"/>
    <s v="SG1"/>
    <m/>
    <x v="0"/>
    <x v="3"/>
    <x v="3"/>
    <x v="2"/>
    <x v="0"/>
    <x v="0"/>
    <x v="0"/>
    <m/>
    <x v="0"/>
    <x v="0"/>
    <n v="1.5793834410000001"/>
    <m/>
    <x v="16"/>
    <x v="1"/>
    <x v="0"/>
    <x v="4"/>
    <x v="2"/>
  </r>
  <r>
    <s v="Singapore"/>
    <x v="5"/>
    <s v="SG3"/>
    <m/>
    <x v="2"/>
    <x v="2"/>
    <x v="0"/>
    <x v="2"/>
    <x v="0"/>
    <x v="0"/>
    <x v="0"/>
    <m/>
    <x v="0"/>
    <x v="0"/>
    <n v="5.8990974030000007"/>
    <m/>
    <x v="16"/>
    <x v="1"/>
    <x v="0"/>
    <x v="4"/>
    <x v="2"/>
  </r>
  <r>
    <s v="Singapore"/>
    <x v="0"/>
    <s v="SG4"/>
    <m/>
    <x v="2"/>
    <x v="0"/>
    <x v="3"/>
    <x v="0"/>
    <x v="0"/>
    <x v="0"/>
    <x v="0"/>
    <m/>
    <x v="0"/>
    <x v="0"/>
    <n v="0.908536122"/>
    <m/>
    <x v="16"/>
    <x v="2"/>
    <x v="0"/>
    <x v="1"/>
    <x v="0"/>
  </r>
  <r>
    <s v="Singapore"/>
    <x v="3"/>
    <s v="SG1"/>
    <m/>
    <x v="0"/>
    <x v="4"/>
    <x v="0"/>
    <x v="5"/>
    <x v="0"/>
    <x v="0"/>
    <x v="0"/>
    <m/>
    <x v="0"/>
    <x v="0"/>
    <n v="3.1422843000000006E-2"/>
    <m/>
    <x v="16"/>
    <x v="3"/>
    <x v="0"/>
    <x v="0"/>
    <x v="0"/>
  </r>
  <r>
    <s v="Singapore"/>
    <x v="4"/>
    <s v="SG3"/>
    <m/>
    <x v="2"/>
    <x v="1"/>
    <x v="0"/>
    <x v="3"/>
    <x v="0"/>
    <x v="0"/>
    <x v="0"/>
    <m/>
    <x v="0"/>
    <x v="0"/>
    <n v="19.742316380999998"/>
    <m/>
    <x v="16"/>
    <x v="1"/>
    <x v="0"/>
    <x v="4"/>
    <x v="0"/>
  </r>
  <r>
    <s v="Singapore"/>
    <x v="1"/>
    <s v="SG2"/>
    <m/>
    <x v="0"/>
    <x v="2"/>
    <x v="4"/>
    <x v="3"/>
    <x v="0"/>
    <x v="0"/>
    <x v="0"/>
    <m/>
    <x v="0"/>
    <x v="0"/>
    <n v="247.71103854300003"/>
    <m/>
    <x v="16"/>
    <x v="0"/>
    <x v="0"/>
    <x v="3"/>
    <x v="2"/>
  </r>
  <r>
    <s v="Singapore"/>
    <x v="2"/>
    <s v="SG2"/>
    <m/>
    <x v="5"/>
    <x v="0"/>
    <x v="1"/>
    <x v="4"/>
    <x v="0"/>
    <x v="0"/>
    <x v="0"/>
    <m/>
    <x v="0"/>
    <x v="0"/>
    <n v="9.8210015999999997E-2"/>
    <m/>
    <x v="16"/>
    <x v="2"/>
    <x v="0"/>
    <x v="3"/>
    <x v="2"/>
  </r>
  <r>
    <s v="Singapore"/>
    <x v="0"/>
    <s v="SG2"/>
    <m/>
    <x v="4"/>
    <x v="3"/>
    <x v="4"/>
    <x v="2"/>
    <x v="0"/>
    <x v="0"/>
    <x v="0"/>
    <m/>
    <x v="0"/>
    <x v="0"/>
    <n v="0.25144506"/>
    <m/>
    <x v="16"/>
    <x v="2"/>
    <x v="0"/>
    <x v="3"/>
    <x v="1"/>
  </r>
  <r>
    <s v="Singapore"/>
    <x v="4"/>
    <s v="SG1"/>
    <m/>
    <x v="2"/>
    <x v="3"/>
    <x v="0"/>
    <x v="2"/>
    <x v="0"/>
    <x v="0"/>
    <x v="0"/>
    <m/>
    <x v="0"/>
    <x v="0"/>
    <n v="0.78577360200000002"/>
    <m/>
    <x v="16"/>
    <x v="1"/>
    <x v="0"/>
    <x v="3"/>
    <x v="0"/>
  </r>
  <r>
    <s v="Singapore"/>
    <x v="1"/>
    <s v="SG2"/>
    <m/>
    <x v="3"/>
    <x v="0"/>
    <x v="2"/>
    <x v="2"/>
    <x v="0"/>
    <x v="0"/>
    <x v="0"/>
    <m/>
    <x v="0"/>
    <x v="0"/>
    <n v="0.908536122"/>
    <m/>
    <x v="16"/>
    <x v="1"/>
    <x v="0"/>
    <x v="1"/>
    <x v="1"/>
  </r>
  <r>
    <s v="Singapore"/>
    <x v="5"/>
    <s v="SG3"/>
    <m/>
    <x v="0"/>
    <x v="0"/>
    <x v="1"/>
    <x v="4"/>
    <x v="0"/>
    <x v="0"/>
    <x v="0"/>
    <m/>
    <x v="0"/>
    <x v="0"/>
    <n v="0.17149363200000001"/>
    <m/>
    <x v="16"/>
    <x v="3"/>
    <x v="0"/>
    <x v="0"/>
    <x v="0"/>
  </r>
  <r>
    <s v="Singapore"/>
    <x v="0"/>
    <s v="SG2"/>
    <m/>
    <x v="3"/>
    <x v="3"/>
    <x v="2"/>
    <x v="0"/>
    <x v="0"/>
    <x v="0"/>
    <x v="0"/>
    <m/>
    <x v="0"/>
    <x v="0"/>
    <n v="2.1461163029999999"/>
    <m/>
    <x v="16"/>
    <x v="0"/>
    <x v="0"/>
    <x v="4"/>
    <x v="0"/>
  </r>
  <r>
    <s v="Singapore"/>
    <x v="4"/>
    <s v="SG3"/>
    <m/>
    <x v="3"/>
    <x v="0"/>
    <x v="2"/>
    <x v="5"/>
    <x v="0"/>
    <x v="0"/>
    <x v="0"/>
    <m/>
    <x v="0"/>
    <x v="0"/>
    <n v="0.14736176100000001"/>
    <m/>
    <x v="16"/>
    <x v="2"/>
    <x v="0"/>
    <x v="5"/>
    <x v="1"/>
  </r>
  <r>
    <s v="Singapore"/>
    <x v="4"/>
    <s v="SG1"/>
    <m/>
    <x v="2"/>
    <x v="0"/>
    <x v="4"/>
    <x v="2"/>
    <x v="0"/>
    <x v="0"/>
    <x v="0"/>
    <m/>
    <x v="0"/>
    <x v="0"/>
    <n v="7.896901626"/>
    <m/>
    <x v="16"/>
    <x v="0"/>
    <x v="0"/>
    <x v="3"/>
    <x v="2"/>
  </r>
  <r>
    <s v="Singapore"/>
    <x v="1"/>
    <s v="SG1"/>
    <m/>
    <x v="1"/>
    <x v="4"/>
    <x v="2"/>
    <x v="3"/>
    <x v="0"/>
    <x v="0"/>
    <x v="0"/>
    <m/>
    <x v="0"/>
    <x v="0"/>
    <n v="2.3690673720000004"/>
    <m/>
    <x v="16"/>
    <x v="2"/>
    <x v="0"/>
    <x v="4"/>
    <x v="0"/>
  </r>
  <r>
    <s v="Singapore"/>
    <x v="5"/>
    <s v="SG4"/>
    <m/>
    <x v="1"/>
    <x v="2"/>
    <x v="2"/>
    <x v="0"/>
    <x v="0"/>
    <x v="0"/>
    <x v="0"/>
    <m/>
    <x v="0"/>
    <x v="0"/>
    <n v="10.447698033000002"/>
    <m/>
    <x v="16"/>
    <x v="2"/>
    <x v="0"/>
    <x v="1"/>
    <x v="0"/>
  </r>
  <r>
    <s v="Singapore"/>
    <x v="5"/>
    <s v="SG4"/>
    <m/>
    <x v="5"/>
    <x v="1"/>
    <x v="0"/>
    <x v="2"/>
    <x v="0"/>
    <x v="0"/>
    <x v="0"/>
    <m/>
    <x v="0"/>
    <x v="0"/>
    <n v="6.2876844000000001E-2"/>
    <m/>
    <x v="16"/>
    <x v="0"/>
    <x v="0"/>
    <x v="3"/>
    <x v="0"/>
  </r>
  <r>
    <s v="Singapore"/>
    <x v="4"/>
    <s v="SG2"/>
    <m/>
    <x v="1"/>
    <x v="3"/>
    <x v="0"/>
    <x v="1"/>
    <x v="0"/>
    <x v="0"/>
    <x v="0"/>
    <m/>
    <x v="0"/>
    <x v="0"/>
    <n v="0.66770036099999996"/>
    <m/>
    <x v="16"/>
    <x v="2"/>
    <x v="0"/>
    <x v="2"/>
    <x v="0"/>
  </r>
  <r>
    <s v="Singapore"/>
    <x v="4"/>
    <s v="SG4"/>
    <m/>
    <x v="3"/>
    <x v="0"/>
    <x v="2"/>
    <x v="3"/>
    <x v="0"/>
    <x v="0"/>
    <x v="0"/>
    <m/>
    <x v="0"/>
    <x v="0"/>
    <n v="10.447666875000001"/>
    <m/>
    <x v="16"/>
    <x v="1"/>
    <x v="0"/>
    <x v="2"/>
    <x v="1"/>
  </r>
  <r>
    <s v="Singapore"/>
    <x v="5"/>
    <s v="SG3"/>
    <m/>
    <x v="4"/>
    <x v="4"/>
    <x v="2"/>
    <x v="3"/>
    <x v="0"/>
    <x v="0"/>
    <x v="0"/>
    <m/>
    <x v="0"/>
    <x v="0"/>
    <n v="178.76053444500002"/>
    <m/>
    <x v="16"/>
    <x v="0"/>
    <x v="0"/>
    <x v="5"/>
    <x v="2"/>
  </r>
  <r>
    <s v="Singapore"/>
    <x v="3"/>
    <s v="SG2"/>
    <m/>
    <x v="0"/>
    <x v="1"/>
    <x v="1"/>
    <x v="0"/>
    <x v="0"/>
    <x v="0"/>
    <x v="0"/>
    <m/>
    <x v="0"/>
    <x v="0"/>
    <n v="0.66770036099999996"/>
    <m/>
    <x v="16"/>
    <x v="0"/>
    <x v="0"/>
    <x v="4"/>
    <x v="0"/>
  </r>
  <r>
    <s v="Singapore"/>
    <x v="5"/>
    <s v="SG1"/>
    <m/>
    <x v="3"/>
    <x v="3"/>
    <x v="0"/>
    <x v="3"/>
    <x v="0"/>
    <x v="0"/>
    <x v="0"/>
    <m/>
    <x v="0"/>
    <x v="0"/>
    <n v="8.4508597080000012"/>
    <m/>
    <x v="16"/>
    <x v="3"/>
    <x v="0"/>
    <x v="0"/>
    <x v="1"/>
  </r>
  <r>
    <s v="Singapore"/>
    <x v="0"/>
    <s v="SG3"/>
    <m/>
    <x v="2"/>
    <x v="4"/>
    <x v="2"/>
    <x v="2"/>
    <x v="0"/>
    <x v="0"/>
    <x v="0"/>
    <m/>
    <x v="0"/>
    <x v="0"/>
    <n v="1.2861866610000001"/>
    <m/>
    <x v="16"/>
    <x v="1"/>
    <x v="0"/>
    <x v="4"/>
    <x v="2"/>
  </r>
  <r>
    <s v="Singapore"/>
    <x v="1"/>
    <s v="SG4"/>
    <m/>
    <x v="5"/>
    <x v="4"/>
    <x v="4"/>
    <x v="0"/>
    <x v="0"/>
    <x v="0"/>
    <x v="0"/>
    <m/>
    <x v="0"/>
    <x v="0"/>
    <n v="0.84273042600000014"/>
    <m/>
    <x v="16"/>
    <x v="2"/>
    <x v="0"/>
    <x v="1"/>
    <x v="0"/>
  </r>
  <r>
    <s v="Singapore"/>
    <x v="0"/>
    <s v="SG3"/>
    <m/>
    <x v="0"/>
    <x v="0"/>
    <x v="4"/>
    <x v="4"/>
    <x v="0"/>
    <x v="0"/>
    <x v="0"/>
    <m/>
    <x v="0"/>
    <x v="0"/>
    <n v="9.1933860060000008"/>
    <m/>
    <x v="16"/>
    <x v="1"/>
    <x v="0"/>
    <x v="1"/>
    <x v="0"/>
  </r>
  <r>
    <s v="Singapore"/>
    <x v="4"/>
    <s v="SG4"/>
    <m/>
    <x v="5"/>
    <x v="4"/>
    <x v="4"/>
    <x v="2"/>
    <x v="0"/>
    <x v="0"/>
    <x v="0"/>
    <m/>
    <x v="0"/>
    <x v="0"/>
    <n v="4.3089177149999998"/>
    <m/>
    <x v="16"/>
    <x v="1"/>
    <x v="0"/>
    <x v="5"/>
    <x v="1"/>
  </r>
  <r>
    <s v="Singapore"/>
    <x v="5"/>
    <s v="SG3"/>
    <m/>
    <x v="4"/>
    <x v="2"/>
    <x v="3"/>
    <x v="2"/>
    <x v="0"/>
    <x v="0"/>
    <x v="0"/>
    <m/>
    <x v="0"/>
    <x v="0"/>
    <n v="2.1461163029999999"/>
    <m/>
    <x v="16"/>
    <x v="3"/>
    <x v="0"/>
    <x v="0"/>
    <x v="2"/>
  </r>
  <r>
    <s v="Singapore"/>
    <x v="0"/>
    <s v="SG3"/>
    <m/>
    <x v="2"/>
    <x v="3"/>
    <x v="2"/>
    <x v="5"/>
    <x v="0"/>
    <x v="0"/>
    <x v="0"/>
    <m/>
    <x v="0"/>
    <x v="0"/>
    <n v="0.52547967000000007"/>
    <m/>
    <x v="16"/>
    <x v="3"/>
    <x v="0"/>
    <x v="4"/>
    <x v="0"/>
  </r>
  <r>
    <s v="Singapore"/>
    <x v="2"/>
    <s v="SG4"/>
    <m/>
    <x v="1"/>
    <x v="0"/>
    <x v="0"/>
    <x v="3"/>
    <x v="0"/>
    <x v="0"/>
    <x v="0"/>
    <m/>
    <x v="0"/>
    <x v="0"/>
    <n v="10.447666875000001"/>
    <m/>
    <x v="16"/>
    <x v="1"/>
    <x v="0"/>
    <x v="1"/>
    <x v="1"/>
  </r>
  <r>
    <s v="Singapore"/>
    <x v="0"/>
    <s v="SG4"/>
    <m/>
    <x v="1"/>
    <x v="4"/>
    <x v="1"/>
    <x v="2"/>
    <x v="0"/>
    <x v="0"/>
    <x v="0"/>
    <m/>
    <x v="0"/>
    <x v="0"/>
    <n v="0.66770036099999996"/>
    <m/>
    <x v="16"/>
    <x v="1"/>
    <x v="0"/>
    <x v="5"/>
    <x v="1"/>
  </r>
  <r>
    <s v="Singapore"/>
    <x v="1"/>
    <s v="SG3"/>
    <m/>
    <x v="1"/>
    <x v="1"/>
    <x v="1"/>
    <x v="4"/>
    <x v="0"/>
    <x v="0"/>
    <x v="0"/>
    <m/>
    <x v="0"/>
    <x v="0"/>
    <n v="6.1890381720000001"/>
    <m/>
    <x v="16"/>
    <x v="0"/>
    <x v="0"/>
    <x v="4"/>
    <x v="0"/>
  </r>
  <r>
    <s v="Singapore"/>
    <x v="3"/>
    <s v="SG2"/>
    <m/>
    <x v="3"/>
    <x v="3"/>
    <x v="1"/>
    <x v="3"/>
    <x v="0"/>
    <x v="0"/>
    <x v="0"/>
    <m/>
    <x v="0"/>
    <x v="0"/>
    <n v="9.8147700000000004E-3"/>
    <m/>
    <x v="16"/>
    <x v="1"/>
    <x v="0"/>
    <x v="5"/>
    <x v="1"/>
  </r>
  <r>
    <s v="Singapore"/>
    <x v="1"/>
    <s v="SG4"/>
    <m/>
    <x v="0"/>
    <x v="1"/>
    <x v="0"/>
    <x v="5"/>
    <x v="0"/>
    <x v="0"/>
    <x v="0"/>
    <m/>
    <x v="0"/>
    <x v="0"/>
    <n v="0.731932578"/>
    <m/>
    <x v="16"/>
    <x v="1"/>
    <x v="0"/>
    <x v="0"/>
    <x v="1"/>
  </r>
  <r>
    <s v="Singapore"/>
    <x v="2"/>
    <s v="SG1"/>
    <m/>
    <x v="1"/>
    <x v="4"/>
    <x v="2"/>
    <x v="3"/>
    <x v="0"/>
    <x v="0"/>
    <x v="0"/>
    <m/>
    <x v="0"/>
    <x v="0"/>
    <n v="2.1461163029999999"/>
    <m/>
    <x v="16"/>
    <x v="3"/>
    <x v="0"/>
    <x v="2"/>
    <x v="1"/>
  </r>
  <r>
    <s v="Singapore"/>
    <x v="2"/>
    <s v="SG2"/>
    <m/>
    <x v="2"/>
    <x v="2"/>
    <x v="3"/>
    <x v="4"/>
    <x v="0"/>
    <x v="0"/>
    <x v="0"/>
    <m/>
    <x v="0"/>
    <x v="0"/>
    <n v="1.9742176170000001"/>
    <m/>
    <x v="16"/>
    <x v="1"/>
    <x v="0"/>
    <x v="0"/>
    <x v="1"/>
  </r>
  <r>
    <s v="Singapore"/>
    <x v="5"/>
    <s v="SG2"/>
    <m/>
    <x v="0"/>
    <x v="4"/>
    <x v="2"/>
    <x v="0"/>
    <x v="0"/>
    <x v="0"/>
    <x v="0"/>
    <m/>
    <x v="0"/>
    <x v="0"/>
    <n v="0.29466120600000001"/>
    <m/>
    <x v="16"/>
    <x v="0"/>
    <x v="0"/>
    <x v="1"/>
    <x v="0"/>
  </r>
  <r>
    <s v="Singapore"/>
    <x v="0"/>
    <s v="SG1"/>
    <m/>
    <x v="5"/>
    <x v="3"/>
    <x v="3"/>
    <x v="4"/>
    <x v="0"/>
    <x v="0"/>
    <x v="0"/>
    <m/>
    <x v="0"/>
    <x v="0"/>
    <n v="3.5359188930000003"/>
    <m/>
    <x v="16"/>
    <x v="3"/>
    <x v="0"/>
    <x v="1"/>
    <x v="0"/>
  </r>
  <r>
    <s v="Singapore"/>
    <x v="5"/>
    <s v="SG3"/>
    <m/>
    <x v="1"/>
    <x v="4"/>
    <x v="0"/>
    <x v="5"/>
    <x v="0"/>
    <x v="0"/>
    <x v="0"/>
    <m/>
    <x v="0"/>
    <x v="0"/>
    <n v="10.393638902999999"/>
    <m/>
    <x v="16"/>
    <x v="1"/>
    <x v="0"/>
    <x v="2"/>
    <x v="1"/>
  </r>
  <r>
    <s v="Singapore"/>
    <x v="4"/>
    <s v="SG2"/>
    <m/>
    <x v="5"/>
    <x v="3"/>
    <x v="0"/>
    <x v="4"/>
    <x v="0"/>
    <x v="0"/>
    <x v="0"/>
    <m/>
    <x v="0"/>
    <x v="0"/>
    <n v="1.333827243"/>
    <m/>
    <x v="16"/>
    <x v="3"/>
    <x v="0"/>
    <x v="1"/>
    <x v="2"/>
  </r>
  <r>
    <s v="Singapore"/>
    <x v="4"/>
    <s v="SG4"/>
    <m/>
    <x v="0"/>
    <x v="3"/>
    <x v="1"/>
    <x v="3"/>
    <x v="0"/>
    <x v="0"/>
    <x v="0"/>
    <m/>
    <x v="0"/>
    <x v="0"/>
    <n v="0.105095934"/>
    <m/>
    <x v="16"/>
    <x v="3"/>
    <x v="0"/>
    <x v="1"/>
    <x v="1"/>
  </r>
  <r>
    <s v="Singapore"/>
    <x v="2"/>
    <s v="SG4"/>
    <m/>
    <x v="2"/>
    <x v="2"/>
    <x v="0"/>
    <x v="1"/>
    <x v="0"/>
    <x v="0"/>
    <x v="0"/>
    <m/>
    <x v="0"/>
    <x v="0"/>
    <n v="2.667654486"/>
    <m/>
    <x v="16"/>
    <x v="3"/>
    <x v="0"/>
    <x v="0"/>
    <x v="0"/>
  </r>
  <r>
    <s v="Singapore"/>
    <x v="0"/>
    <s v="SG2"/>
    <m/>
    <x v="2"/>
    <x v="1"/>
    <x v="0"/>
    <x v="2"/>
    <x v="0"/>
    <x v="0"/>
    <x v="0"/>
    <m/>
    <x v="0"/>
    <x v="0"/>
    <n v="1.333827243"/>
    <m/>
    <x v="16"/>
    <x v="3"/>
    <x v="0"/>
    <x v="5"/>
    <x v="0"/>
  </r>
  <r>
    <s v="Singapore"/>
    <x v="1"/>
    <s v="SG4"/>
    <m/>
    <x v="2"/>
    <x v="3"/>
    <x v="0"/>
    <x v="5"/>
    <x v="0"/>
    <x v="0"/>
    <x v="0"/>
    <m/>
    <x v="0"/>
    <x v="0"/>
    <n v="6.807633525"/>
    <m/>
    <x v="16"/>
    <x v="0"/>
    <x v="0"/>
    <x v="4"/>
    <x v="1"/>
  </r>
  <r>
    <s v="Singapore"/>
    <x v="1"/>
    <s v="SG2"/>
    <m/>
    <x v="3"/>
    <x v="1"/>
    <x v="2"/>
    <x v="2"/>
    <x v="0"/>
    <x v="0"/>
    <x v="0"/>
    <m/>
    <x v="0"/>
    <x v="0"/>
    <n v="0.571344246"/>
    <m/>
    <x v="16"/>
    <x v="1"/>
    <x v="0"/>
    <x v="4"/>
    <x v="0"/>
  </r>
  <r>
    <s v="Singapore"/>
    <x v="2"/>
    <s v="SG3"/>
    <m/>
    <x v="3"/>
    <x v="4"/>
    <x v="3"/>
    <x v="3"/>
    <x v="0"/>
    <x v="0"/>
    <x v="0"/>
    <m/>
    <x v="0"/>
    <x v="0"/>
    <n v="2.3572740689999998"/>
    <m/>
    <x v="16"/>
    <x v="0"/>
    <x v="0"/>
    <x v="5"/>
    <x v="2"/>
  </r>
  <r>
    <s v="Singapore"/>
    <x v="0"/>
    <s v="SG3"/>
    <m/>
    <x v="4"/>
    <x v="0"/>
    <x v="3"/>
    <x v="4"/>
    <x v="0"/>
    <x v="0"/>
    <x v="0"/>
    <m/>
    <x v="0"/>
    <x v="0"/>
    <n v="1.581533343"/>
    <m/>
    <x v="16"/>
    <x v="1"/>
    <x v="0"/>
    <x v="0"/>
    <x v="2"/>
  </r>
  <r>
    <s v="Singapore"/>
    <x v="5"/>
    <s v="SG3"/>
    <m/>
    <x v="5"/>
    <x v="2"/>
    <x v="4"/>
    <x v="5"/>
    <x v="0"/>
    <x v="0"/>
    <x v="0"/>
    <m/>
    <x v="0"/>
    <x v="0"/>
    <n v="2.2472707500000002"/>
    <m/>
    <x v="16"/>
    <x v="3"/>
    <x v="0"/>
    <x v="4"/>
    <x v="1"/>
  </r>
  <r>
    <s v="Singapore"/>
    <x v="5"/>
    <s v="SG4"/>
    <m/>
    <x v="1"/>
    <x v="1"/>
    <x v="1"/>
    <x v="1"/>
    <x v="0"/>
    <x v="0"/>
    <x v="0"/>
    <m/>
    <x v="0"/>
    <x v="0"/>
    <n v="0.908536122"/>
    <m/>
    <x v="16"/>
    <x v="3"/>
    <x v="0"/>
    <x v="0"/>
    <x v="1"/>
  </r>
  <r>
    <s v="Singapore"/>
    <x v="4"/>
    <s v="SG1"/>
    <m/>
    <x v="4"/>
    <x v="0"/>
    <x v="1"/>
    <x v="4"/>
    <x v="0"/>
    <x v="0"/>
    <x v="0"/>
    <m/>
    <x v="0"/>
    <x v="0"/>
    <n v="3.0516924150000002"/>
    <m/>
    <x v="16"/>
    <x v="1"/>
    <x v="0"/>
    <x v="1"/>
    <x v="2"/>
  </r>
  <r>
    <s v="Singapore"/>
    <x v="5"/>
    <s v="SG1"/>
    <m/>
    <x v="1"/>
    <x v="3"/>
    <x v="3"/>
    <x v="3"/>
    <x v="0"/>
    <x v="0"/>
    <x v="0"/>
    <m/>
    <x v="0"/>
    <x v="0"/>
    <n v="0.84273042600000014"/>
    <m/>
    <x v="16"/>
    <x v="2"/>
    <x v="0"/>
    <x v="2"/>
    <x v="1"/>
  </r>
  <r>
    <s v="Singapore"/>
    <x v="3"/>
    <s v="SG4"/>
    <m/>
    <x v="2"/>
    <x v="4"/>
    <x v="1"/>
    <x v="3"/>
    <x v="0"/>
    <x v="0"/>
    <x v="0"/>
    <m/>
    <x v="0"/>
    <x v="0"/>
    <n v="20.677274487000002"/>
    <m/>
    <x v="16"/>
    <x v="2"/>
    <x v="0"/>
    <x v="1"/>
    <x v="2"/>
  </r>
  <r>
    <s v="Singapore"/>
    <x v="5"/>
    <s v="SG1"/>
    <m/>
    <x v="3"/>
    <x v="2"/>
    <x v="4"/>
    <x v="1"/>
    <x v="0"/>
    <x v="0"/>
    <x v="0"/>
    <m/>
    <x v="0"/>
    <x v="0"/>
    <n v="4.2136365510000005"/>
    <m/>
    <x v="16"/>
    <x v="2"/>
    <x v="0"/>
    <x v="2"/>
    <x v="2"/>
  </r>
  <r>
    <s v="Singapore"/>
    <x v="2"/>
    <s v="SG2"/>
    <m/>
    <x v="2"/>
    <x v="1"/>
    <x v="1"/>
    <x v="3"/>
    <x v="0"/>
    <x v="0"/>
    <x v="0"/>
    <m/>
    <x v="0"/>
    <x v="0"/>
    <n v="0.66003549300000008"/>
    <m/>
    <x v="16"/>
    <x v="2"/>
    <x v="0"/>
    <x v="2"/>
    <x v="2"/>
  </r>
  <r>
    <s v="Singapore"/>
    <x v="1"/>
    <s v="SG2"/>
    <m/>
    <x v="4"/>
    <x v="2"/>
    <x v="2"/>
    <x v="2"/>
    <x v="0"/>
    <x v="0"/>
    <x v="0"/>
    <m/>
    <x v="0"/>
    <x v="0"/>
    <n v="0.81621496799999993"/>
    <m/>
    <x v="16"/>
    <x v="3"/>
    <x v="0"/>
    <x v="1"/>
    <x v="0"/>
  </r>
  <r>
    <s v="Singapore"/>
    <x v="0"/>
    <s v="SG2"/>
    <m/>
    <x v="2"/>
    <x v="2"/>
    <x v="1"/>
    <x v="3"/>
    <x v="0"/>
    <x v="0"/>
    <x v="0"/>
    <m/>
    <x v="0"/>
    <x v="0"/>
    <n v="1.5793834410000001"/>
    <m/>
    <x v="16"/>
    <x v="0"/>
    <x v="0"/>
    <x v="1"/>
    <x v="2"/>
  </r>
  <r>
    <s v="Singapore"/>
    <x v="4"/>
    <s v="SG4"/>
    <m/>
    <x v="4"/>
    <x v="0"/>
    <x v="3"/>
    <x v="3"/>
    <x v="0"/>
    <x v="0"/>
    <x v="0"/>
    <m/>
    <x v="0"/>
    <x v="0"/>
    <n v="13.243038003000001"/>
    <m/>
    <x v="16"/>
    <x v="0"/>
    <x v="0"/>
    <x v="5"/>
    <x v="1"/>
  </r>
  <r>
    <s v="Singapore"/>
    <x v="5"/>
    <s v="SG4"/>
    <m/>
    <x v="1"/>
    <x v="3"/>
    <x v="2"/>
    <x v="1"/>
    <x v="0"/>
    <x v="0"/>
    <x v="0"/>
    <m/>
    <x v="0"/>
    <x v="0"/>
    <n v="2.9436676290000001"/>
    <m/>
    <x v="16"/>
    <x v="2"/>
    <x v="0"/>
    <x v="5"/>
    <x v="1"/>
  </r>
  <r>
    <s v="Singapore"/>
    <x v="2"/>
    <s v="SG4"/>
    <m/>
    <x v="4"/>
    <x v="3"/>
    <x v="1"/>
    <x v="0"/>
    <x v="0"/>
    <x v="0"/>
    <x v="0"/>
    <m/>
    <x v="0"/>
    <x v="0"/>
    <n v="1.4147601480000001"/>
    <m/>
    <x v="16"/>
    <x v="1"/>
    <x v="0"/>
    <x v="2"/>
    <x v="2"/>
  </r>
  <r>
    <s v="Singapore"/>
    <x v="2"/>
    <s v="SG4"/>
    <m/>
    <x v="3"/>
    <x v="3"/>
    <x v="3"/>
    <x v="1"/>
    <x v="0"/>
    <x v="0"/>
    <x v="0"/>
    <m/>
    <x v="0"/>
    <x v="0"/>
    <n v="2.1127149270000003"/>
    <m/>
    <x v="16"/>
    <x v="2"/>
    <x v="0"/>
    <x v="4"/>
    <x v="1"/>
  </r>
  <r>
    <s v="Singapore"/>
    <x v="2"/>
    <s v="SG3"/>
    <m/>
    <x v="0"/>
    <x v="4"/>
    <x v="0"/>
    <x v="2"/>
    <x v="0"/>
    <x v="0"/>
    <x v="0"/>
    <m/>
    <x v="0"/>
    <x v="0"/>
    <n v="9.8147700000000004E-3"/>
    <m/>
    <x v="16"/>
    <x v="2"/>
    <x v="0"/>
    <x v="4"/>
    <x v="1"/>
  </r>
  <r>
    <s v="Singapore"/>
    <x v="4"/>
    <s v="SG4"/>
    <m/>
    <x v="0"/>
    <x v="2"/>
    <x v="2"/>
    <x v="0"/>
    <x v="0"/>
    <x v="0"/>
    <x v="0"/>
    <m/>
    <x v="0"/>
    <x v="0"/>
    <n v="1.5793834410000001"/>
    <m/>
    <x v="16"/>
    <x v="2"/>
    <x v="0"/>
    <x v="0"/>
    <x v="0"/>
  </r>
  <r>
    <s v="Singapore"/>
    <x v="1"/>
    <s v="SG2"/>
    <m/>
    <x v="3"/>
    <x v="1"/>
    <x v="3"/>
    <x v="1"/>
    <x v="0"/>
    <x v="0"/>
    <x v="0"/>
    <m/>
    <x v="0"/>
    <x v="0"/>
    <n v="9.2311183440000004"/>
    <m/>
    <x v="16"/>
    <x v="3"/>
    <x v="0"/>
    <x v="3"/>
    <x v="2"/>
  </r>
  <r>
    <s v="Singapore"/>
    <x v="1"/>
    <s v="SG4"/>
    <m/>
    <x v="1"/>
    <x v="0"/>
    <x v="4"/>
    <x v="5"/>
    <x v="0"/>
    <x v="0"/>
    <x v="0"/>
    <m/>
    <x v="0"/>
    <x v="0"/>
    <n v="2.9921806350000004"/>
    <m/>
    <x v="16"/>
    <x v="2"/>
    <x v="0"/>
    <x v="3"/>
    <x v="1"/>
  </r>
  <r>
    <s v="Singapore"/>
    <x v="0"/>
    <s v="SG1"/>
    <m/>
    <x v="5"/>
    <x v="1"/>
    <x v="1"/>
    <x v="3"/>
    <x v="0"/>
    <x v="0"/>
    <x v="0"/>
    <m/>
    <x v="0"/>
    <x v="0"/>
    <n v="9.8711192430000008"/>
    <m/>
    <x v="16"/>
    <x v="1"/>
    <x v="0"/>
    <x v="5"/>
    <x v="1"/>
  </r>
  <r>
    <s v="Singapore"/>
    <x v="3"/>
    <s v="SG4"/>
    <m/>
    <x v="0"/>
    <x v="4"/>
    <x v="3"/>
    <x v="0"/>
    <x v="0"/>
    <x v="0"/>
    <x v="0"/>
    <m/>
    <x v="0"/>
    <x v="0"/>
    <n v="3.8737962450000003"/>
    <m/>
    <x v="16"/>
    <x v="3"/>
    <x v="0"/>
    <x v="0"/>
    <x v="0"/>
  </r>
  <r>
    <s v="Singapore"/>
    <x v="1"/>
    <s v="SG3"/>
    <m/>
    <x v="2"/>
    <x v="3"/>
    <x v="1"/>
    <x v="2"/>
    <x v="0"/>
    <x v="0"/>
    <x v="0"/>
    <m/>
    <x v="0"/>
    <x v="0"/>
    <n v="3.1422843000000006E-2"/>
    <m/>
    <x v="16"/>
    <x v="3"/>
    <x v="0"/>
    <x v="4"/>
    <x v="2"/>
  </r>
  <r>
    <s v="Singapore"/>
    <x v="5"/>
    <s v="SG3"/>
    <m/>
    <x v="2"/>
    <x v="2"/>
    <x v="4"/>
    <x v="1"/>
    <x v="0"/>
    <x v="0"/>
    <x v="0"/>
    <m/>
    <x v="0"/>
    <x v="0"/>
    <n v="2.667654486"/>
    <m/>
    <x v="16"/>
    <x v="2"/>
    <x v="0"/>
    <x v="3"/>
    <x v="0"/>
  </r>
  <r>
    <s v="Singapore"/>
    <x v="1"/>
    <s v="SG4"/>
    <m/>
    <x v="1"/>
    <x v="2"/>
    <x v="2"/>
    <x v="5"/>
    <x v="0"/>
    <x v="0"/>
    <x v="0"/>
    <m/>
    <x v="0"/>
    <x v="0"/>
    <n v="10.622509991999999"/>
    <m/>
    <x v="16"/>
    <x v="3"/>
    <x v="0"/>
    <x v="3"/>
    <x v="2"/>
  </r>
  <r>
    <s v="Singapore"/>
    <x v="1"/>
    <s v="SG2"/>
    <m/>
    <x v="3"/>
    <x v="2"/>
    <x v="4"/>
    <x v="1"/>
    <x v="0"/>
    <x v="0"/>
    <x v="0"/>
    <m/>
    <x v="0"/>
    <x v="0"/>
    <n v="0.24555619800000003"/>
    <m/>
    <x v="16"/>
    <x v="3"/>
    <x v="0"/>
    <x v="3"/>
    <x v="1"/>
  </r>
  <r>
    <s v="Singapore"/>
    <x v="3"/>
    <s v="SG1"/>
    <m/>
    <x v="3"/>
    <x v="3"/>
    <x v="0"/>
    <x v="2"/>
    <x v="0"/>
    <x v="0"/>
    <x v="0"/>
    <m/>
    <x v="0"/>
    <x v="0"/>
    <n v="3.7350340920000002"/>
    <m/>
    <x v="13"/>
    <x v="1"/>
    <x v="0"/>
    <x v="5"/>
    <x v="0"/>
  </r>
  <r>
    <s v="Singapore"/>
    <x v="1"/>
    <s v="SG3"/>
    <m/>
    <x v="5"/>
    <x v="3"/>
    <x v="2"/>
    <x v="4"/>
    <x v="0"/>
    <x v="0"/>
    <x v="0"/>
    <m/>
    <x v="0"/>
    <x v="0"/>
    <n v="0.64010995199999998"/>
    <m/>
    <x v="13"/>
    <x v="3"/>
    <x v="0"/>
    <x v="5"/>
    <x v="0"/>
  </r>
  <r>
    <s v="Singapore"/>
    <x v="2"/>
    <s v="SG2"/>
    <m/>
    <x v="4"/>
    <x v="4"/>
    <x v="0"/>
    <x v="4"/>
    <x v="0"/>
    <x v="0"/>
    <x v="0"/>
    <m/>
    <x v="0"/>
    <x v="0"/>
    <n v="0.19310170500000001"/>
    <m/>
    <x v="13"/>
    <x v="2"/>
    <x v="0"/>
    <x v="0"/>
    <x v="1"/>
  </r>
  <r>
    <s v="Singapore"/>
    <x v="5"/>
    <s v="SG4"/>
    <m/>
    <x v="3"/>
    <x v="0"/>
    <x v="0"/>
    <x v="3"/>
    <x v="0"/>
    <x v="0"/>
    <x v="0"/>
    <m/>
    <x v="0"/>
    <x v="0"/>
    <n v="3.0321719279999999"/>
    <m/>
    <x v="13"/>
    <x v="0"/>
    <x v="0"/>
    <x v="2"/>
    <x v="0"/>
  </r>
  <r>
    <s v="Singapore"/>
    <x v="2"/>
    <s v="SG2"/>
    <m/>
    <x v="5"/>
    <x v="3"/>
    <x v="0"/>
    <x v="2"/>
    <x v="0"/>
    <x v="0"/>
    <x v="0"/>
    <m/>
    <x v="0"/>
    <x v="0"/>
    <n v="0.70508996099999999"/>
    <m/>
    <x v="13"/>
    <x v="2"/>
    <x v="0"/>
    <x v="5"/>
    <x v="1"/>
  </r>
  <r>
    <s v="Singapore"/>
    <x v="3"/>
    <s v="SG3"/>
    <m/>
    <x v="4"/>
    <x v="3"/>
    <x v="4"/>
    <x v="4"/>
    <x v="0"/>
    <x v="0"/>
    <x v="0"/>
    <m/>
    <x v="0"/>
    <x v="0"/>
    <n v="9.4097160000000003E-3"/>
    <m/>
    <x v="13"/>
    <x v="3"/>
    <x v="0"/>
    <x v="3"/>
    <x v="2"/>
  </r>
  <r>
    <s v="Singapore"/>
    <x v="1"/>
    <s v="SG4"/>
    <m/>
    <x v="1"/>
    <x v="2"/>
    <x v="2"/>
    <x v="4"/>
    <x v="0"/>
    <x v="0"/>
    <x v="0"/>
    <m/>
    <x v="0"/>
    <x v="0"/>
    <n v="0.60642815400000005"/>
    <m/>
    <x v="13"/>
    <x v="3"/>
    <x v="0"/>
    <x v="5"/>
    <x v="2"/>
  </r>
  <r>
    <s v="Singapore"/>
    <x v="1"/>
    <s v="SG3"/>
    <m/>
    <x v="1"/>
    <x v="4"/>
    <x v="1"/>
    <x v="3"/>
    <x v="0"/>
    <x v="0"/>
    <x v="0"/>
    <m/>
    <x v="0"/>
    <x v="0"/>
    <n v="10.430841555000001"/>
    <m/>
    <x v="13"/>
    <x v="0"/>
    <x v="0"/>
    <x v="4"/>
    <x v="0"/>
  </r>
  <r>
    <s v="Singapore"/>
    <x v="5"/>
    <s v="SG1"/>
    <m/>
    <x v="2"/>
    <x v="0"/>
    <x v="1"/>
    <x v="0"/>
    <x v="0"/>
    <x v="0"/>
    <x v="0"/>
    <m/>
    <x v="0"/>
    <x v="0"/>
    <n v="0.60644373299999998"/>
    <m/>
    <x v="13"/>
    <x v="3"/>
    <x v="0"/>
    <x v="3"/>
    <x v="1"/>
  </r>
  <r>
    <s v="Singapore"/>
    <x v="3"/>
    <s v="SG1"/>
    <m/>
    <x v="1"/>
    <x v="1"/>
    <x v="0"/>
    <x v="4"/>
    <x v="0"/>
    <x v="0"/>
    <x v="0"/>
    <m/>
    <x v="0"/>
    <x v="0"/>
    <n v="1.8150937110000001"/>
    <m/>
    <x v="13"/>
    <x v="0"/>
    <x v="0"/>
    <x v="4"/>
    <x v="1"/>
  </r>
  <r>
    <s v="Singapore"/>
    <x v="5"/>
    <s v="SG3"/>
    <m/>
    <x v="5"/>
    <x v="2"/>
    <x v="3"/>
    <x v="0"/>
    <x v="0"/>
    <x v="0"/>
    <x v="0"/>
    <m/>
    <x v="0"/>
    <x v="0"/>
    <n v="12.648761469"/>
    <m/>
    <x v="13"/>
    <x v="3"/>
    <x v="0"/>
    <x v="1"/>
    <x v="2"/>
  </r>
  <r>
    <s v="Singapore"/>
    <x v="1"/>
    <s v="SG1"/>
    <m/>
    <x v="2"/>
    <x v="3"/>
    <x v="4"/>
    <x v="4"/>
    <x v="0"/>
    <x v="0"/>
    <x v="0"/>
    <m/>
    <x v="0"/>
    <x v="0"/>
    <n v="1.8150937110000001"/>
    <m/>
    <x v="13"/>
    <x v="3"/>
    <x v="0"/>
    <x v="2"/>
    <x v="2"/>
  </r>
  <r>
    <s v="Singapore"/>
    <x v="1"/>
    <s v="SG3"/>
    <m/>
    <x v="4"/>
    <x v="4"/>
    <x v="4"/>
    <x v="0"/>
    <x v="0"/>
    <x v="0"/>
    <x v="0"/>
    <m/>
    <x v="0"/>
    <x v="0"/>
    <n v="7.2569163060000008"/>
    <m/>
    <x v="13"/>
    <x v="3"/>
    <x v="0"/>
    <x v="1"/>
    <x v="0"/>
  </r>
  <r>
    <s v="Singapore"/>
    <x v="4"/>
    <s v="SG1"/>
    <m/>
    <x v="3"/>
    <x v="0"/>
    <x v="4"/>
    <x v="5"/>
    <x v="0"/>
    <x v="0"/>
    <x v="0"/>
    <m/>
    <x v="0"/>
    <x v="0"/>
    <n v="4.3603595730000002"/>
    <m/>
    <x v="13"/>
    <x v="1"/>
    <x v="0"/>
    <x v="4"/>
    <x v="2"/>
  </r>
  <r>
    <s v="Singapore"/>
    <x v="2"/>
    <s v="SG2"/>
    <m/>
    <x v="3"/>
    <x v="4"/>
    <x v="2"/>
    <x v="1"/>
    <x v="0"/>
    <x v="0"/>
    <x v="0"/>
    <m/>
    <x v="0"/>
    <x v="0"/>
    <n v="-0.13760930700000001"/>
    <m/>
    <x v="13"/>
    <x v="1"/>
    <x v="0"/>
    <x v="0"/>
    <x v="1"/>
  </r>
  <r>
    <s v="Singapore"/>
    <x v="2"/>
    <s v="SG4"/>
    <m/>
    <x v="3"/>
    <x v="3"/>
    <x v="1"/>
    <x v="0"/>
    <x v="0"/>
    <x v="0"/>
    <x v="0"/>
    <m/>
    <x v="0"/>
    <x v="0"/>
    <n v="13.788505530000002"/>
    <m/>
    <x v="13"/>
    <x v="0"/>
    <x v="0"/>
    <x v="2"/>
    <x v="1"/>
  </r>
  <r>
    <s v="Singapore"/>
    <x v="5"/>
    <s v="SG2"/>
    <m/>
    <x v="3"/>
    <x v="2"/>
    <x v="4"/>
    <x v="3"/>
    <x v="0"/>
    <x v="0"/>
    <x v="0"/>
    <m/>
    <x v="0"/>
    <x v="0"/>
    <n v="17.687119122000002"/>
    <m/>
    <x v="13"/>
    <x v="3"/>
    <x v="0"/>
    <x v="3"/>
    <x v="2"/>
  </r>
  <r>
    <s v="Singapore"/>
    <x v="3"/>
    <s v="SG3"/>
    <m/>
    <x v="4"/>
    <x v="3"/>
    <x v="4"/>
    <x v="0"/>
    <x v="0"/>
    <x v="0"/>
    <x v="0"/>
    <m/>
    <x v="0"/>
    <x v="0"/>
    <n v="1.8150937110000001"/>
    <m/>
    <x v="13"/>
    <x v="2"/>
    <x v="0"/>
    <x v="4"/>
    <x v="2"/>
  </r>
  <r>
    <s v="Singapore"/>
    <x v="5"/>
    <s v="SG3"/>
    <m/>
    <x v="0"/>
    <x v="3"/>
    <x v="4"/>
    <x v="2"/>
    <x v="0"/>
    <x v="0"/>
    <x v="0"/>
    <m/>
    <x v="0"/>
    <x v="0"/>
    <n v="0.72568539900000006"/>
    <m/>
    <x v="13"/>
    <x v="3"/>
    <x v="0"/>
    <x v="2"/>
    <x v="0"/>
  </r>
  <r>
    <s v="Singapore"/>
    <x v="2"/>
    <s v="SG1"/>
    <m/>
    <x v="1"/>
    <x v="3"/>
    <x v="1"/>
    <x v="4"/>
    <x v="0"/>
    <x v="0"/>
    <x v="0"/>
    <m/>
    <x v="0"/>
    <x v="0"/>
    <n v="0.60642815400000005"/>
    <m/>
    <x v="13"/>
    <x v="3"/>
    <x v="0"/>
    <x v="1"/>
    <x v="1"/>
  </r>
  <r>
    <s v="Singapore"/>
    <x v="5"/>
    <s v="SG3"/>
    <m/>
    <x v="1"/>
    <x v="0"/>
    <x v="4"/>
    <x v="1"/>
    <x v="0"/>
    <x v="0"/>
    <x v="0"/>
    <m/>
    <x v="0"/>
    <x v="0"/>
    <n v="2.421817866"/>
    <m/>
    <x v="13"/>
    <x v="2"/>
    <x v="0"/>
    <x v="0"/>
    <x v="2"/>
  </r>
  <r>
    <s v="Singapore"/>
    <x v="1"/>
    <s v="SG3"/>
    <m/>
    <x v="4"/>
    <x v="2"/>
    <x v="1"/>
    <x v="0"/>
    <x v="0"/>
    <x v="0"/>
    <x v="0"/>
    <m/>
    <x v="0"/>
    <x v="0"/>
    <n v="1.9299888359999999"/>
    <m/>
    <x v="13"/>
    <x v="3"/>
    <x v="0"/>
    <x v="0"/>
    <x v="2"/>
  </r>
  <r>
    <s v="Singapore"/>
    <x v="5"/>
    <s v="SG3"/>
    <m/>
    <x v="3"/>
    <x v="1"/>
    <x v="1"/>
    <x v="2"/>
    <x v="0"/>
    <x v="0"/>
    <x v="0"/>
    <m/>
    <x v="0"/>
    <x v="0"/>
    <n v="15.711857712000002"/>
    <m/>
    <x v="13"/>
    <x v="1"/>
    <x v="0"/>
    <x v="4"/>
    <x v="1"/>
  </r>
  <r>
    <s v="Singapore"/>
    <x v="3"/>
    <s v="SG2"/>
    <m/>
    <x v="1"/>
    <x v="4"/>
    <x v="4"/>
    <x v="2"/>
    <x v="0"/>
    <x v="0"/>
    <x v="0"/>
    <m/>
    <x v="0"/>
    <x v="0"/>
    <n v="1.61912547"/>
    <m/>
    <x v="13"/>
    <x v="2"/>
    <x v="0"/>
    <x v="3"/>
    <x v="0"/>
  </r>
  <r>
    <s v="Singapore"/>
    <x v="5"/>
    <s v="SG4"/>
    <m/>
    <x v="0"/>
    <x v="4"/>
    <x v="3"/>
    <x v="5"/>
    <x v="0"/>
    <x v="0"/>
    <x v="0"/>
    <m/>
    <x v="0"/>
    <x v="0"/>
    <n v="0.94545835200000006"/>
    <m/>
    <x v="13"/>
    <x v="0"/>
    <x v="0"/>
    <x v="0"/>
    <x v="1"/>
  </r>
  <r>
    <s v="Singapore"/>
    <x v="3"/>
    <s v="SG2"/>
    <m/>
    <x v="2"/>
    <x v="0"/>
    <x v="0"/>
    <x v="2"/>
    <x v="0"/>
    <x v="0"/>
    <x v="0"/>
    <m/>
    <x v="0"/>
    <x v="0"/>
    <n v="2.2682400840000003"/>
    <m/>
    <x v="13"/>
    <x v="3"/>
    <x v="0"/>
    <x v="2"/>
    <x v="2"/>
  </r>
  <r>
    <s v="Singapore"/>
    <x v="2"/>
    <s v="SG1"/>
    <m/>
    <x v="1"/>
    <x v="4"/>
    <x v="3"/>
    <x v="2"/>
    <x v="0"/>
    <x v="0"/>
    <x v="0"/>
    <m/>
    <x v="0"/>
    <x v="0"/>
    <n v="1.8150937110000001"/>
    <m/>
    <x v="13"/>
    <x v="2"/>
    <x v="0"/>
    <x v="1"/>
    <x v="0"/>
  </r>
  <r>
    <s v="Singapore"/>
    <x v="1"/>
    <s v="SG4"/>
    <m/>
    <x v="3"/>
    <x v="0"/>
    <x v="1"/>
    <x v="4"/>
    <x v="0"/>
    <x v="0"/>
    <x v="0"/>
    <m/>
    <x v="0"/>
    <x v="0"/>
    <n v="1.155556746"/>
    <m/>
    <x v="13"/>
    <x v="1"/>
    <x v="0"/>
    <x v="4"/>
    <x v="2"/>
  </r>
  <r>
    <s v="Singapore"/>
    <x v="0"/>
    <s v="SG4"/>
    <m/>
    <x v="2"/>
    <x v="2"/>
    <x v="0"/>
    <x v="4"/>
    <x v="0"/>
    <x v="0"/>
    <x v="0"/>
    <m/>
    <x v="0"/>
    <x v="0"/>
    <n v="11.594701908000001"/>
    <m/>
    <x v="13"/>
    <x v="2"/>
    <x v="0"/>
    <x v="5"/>
    <x v="1"/>
  </r>
  <r>
    <s v="Singapore"/>
    <x v="5"/>
    <s v="SG1"/>
    <m/>
    <x v="4"/>
    <x v="0"/>
    <x v="0"/>
    <x v="5"/>
    <x v="0"/>
    <x v="0"/>
    <x v="0"/>
    <m/>
    <x v="0"/>
    <x v="0"/>
    <n v="11.594701908000001"/>
    <m/>
    <x v="13"/>
    <x v="2"/>
    <x v="0"/>
    <x v="5"/>
    <x v="2"/>
  </r>
  <r>
    <s v="Singapore"/>
    <x v="3"/>
    <s v="SG1"/>
    <m/>
    <x v="4"/>
    <x v="3"/>
    <x v="3"/>
    <x v="2"/>
    <x v="0"/>
    <x v="0"/>
    <x v="0"/>
    <m/>
    <x v="0"/>
    <x v="0"/>
    <n v="11.594701908000001"/>
    <m/>
    <x v="13"/>
    <x v="1"/>
    <x v="0"/>
    <x v="4"/>
    <x v="2"/>
  </r>
  <r>
    <s v="Singapore"/>
    <x v="0"/>
    <s v="SG1"/>
    <m/>
    <x v="5"/>
    <x v="1"/>
    <x v="3"/>
    <x v="4"/>
    <x v="0"/>
    <x v="0"/>
    <x v="0"/>
    <m/>
    <x v="0"/>
    <x v="0"/>
    <n v="9.4097160000000003E-3"/>
    <m/>
    <x v="13"/>
    <x v="3"/>
    <x v="0"/>
    <x v="4"/>
    <x v="1"/>
  </r>
  <r>
    <s v="Singapore"/>
    <x v="5"/>
    <s v="SG3"/>
    <m/>
    <x v="4"/>
    <x v="4"/>
    <x v="4"/>
    <x v="2"/>
    <x v="0"/>
    <x v="0"/>
    <x v="0"/>
    <m/>
    <x v="0"/>
    <x v="0"/>
    <n v="3.0321719279999999"/>
    <m/>
    <x v="13"/>
    <x v="2"/>
    <x v="0"/>
    <x v="5"/>
    <x v="2"/>
  </r>
  <r>
    <s v="Singapore"/>
    <x v="5"/>
    <s v="SG1"/>
    <m/>
    <x v="1"/>
    <x v="3"/>
    <x v="1"/>
    <x v="3"/>
    <x v="0"/>
    <x v="0"/>
    <x v="0"/>
    <m/>
    <x v="0"/>
    <x v="0"/>
    <n v="5.698455462000001"/>
    <m/>
    <x v="13"/>
    <x v="2"/>
    <x v="0"/>
    <x v="5"/>
    <x v="0"/>
  </r>
  <r>
    <s v="Singapore"/>
    <x v="3"/>
    <s v="SG4"/>
    <m/>
    <x v="1"/>
    <x v="4"/>
    <x v="3"/>
    <x v="5"/>
    <x v="0"/>
    <x v="0"/>
    <x v="0"/>
    <m/>
    <x v="0"/>
    <x v="0"/>
    <n v="12.795126174"/>
    <m/>
    <x v="13"/>
    <x v="1"/>
    <x v="0"/>
    <x v="4"/>
    <x v="0"/>
  </r>
  <r>
    <s v="Singapore"/>
    <x v="3"/>
    <s v="SG4"/>
    <m/>
    <x v="4"/>
    <x v="3"/>
    <x v="0"/>
    <x v="3"/>
    <x v="0"/>
    <x v="0"/>
    <x v="0"/>
    <m/>
    <x v="0"/>
    <x v="0"/>
    <n v="9.6558642E-2"/>
    <m/>
    <x v="13"/>
    <x v="0"/>
    <x v="0"/>
    <x v="4"/>
    <x v="1"/>
  </r>
  <r>
    <s v="Singapore"/>
    <x v="0"/>
    <s v="SG4"/>
    <m/>
    <x v="4"/>
    <x v="1"/>
    <x v="1"/>
    <x v="4"/>
    <x v="0"/>
    <x v="0"/>
    <x v="0"/>
    <m/>
    <x v="0"/>
    <x v="0"/>
    <n v="11.594701908000001"/>
    <m/>
    <x v="13"/>
    <x v="3"/>
    <x v="0"/>
    <x v="0"/>
    <x v="0"/>
  </r>
  <r>
    <s v="Singapore"/>
    <x v="0"/>
    <s v="SG1"/>
    <m/>
    <x v="0"/>
    <x v="3"/>
    <x v="0"/>
    <x v="3"/>
    <x v="0"/>
    <x v="0"/>
    <x v="0"/>
    <m/>
    <x v="0"/>
    <x v="0"/>
    <n v="0.72568539900000006"/>
    <m/>
    <x v="13"/>
    <x v="2"/>
    <x v="0"/>
    <x v="5"/>
    <x v="0"/>
  </r>
  <r>
    <s v="Singapore"/>
    <x v="5"/>
    <s v="SG4"/>
    <m/>
    <x v="0"/>
    <x v="0"/>
    <x v="3"/>
    <x v="4"/>
    <x v="0"/>
    <x v="0"/>
    <x v="0"/>
    <m/>
    <x v="0"/>
    <x v="0"/>
    <n v="0.60896753100000001"/>
    <m/>
    <x v="13"/>
    <x v="2"/>
    <x v="0"/>
    <x v="2"/>
    <x v="0"/>
  </r>
  <r>
    <s v="Singapore"/>
    <x v="3"/>
    <s v="SG3"/>
    <m/>
    <x v="0"/>
    <x v="0"/>
    <x v="0"/>
    <x v="3"/>
    <x v="0"/>
    <x v="0"/>
    <x v="0"/>
    <m/>
    <x v="0"/>
    <x v="0"/>
    <n v="6.9858417060000013"/>
    <m/>
    <x v="13"/>
    <x v="0"/>
    <x v="0"/>
    <x v="3"/>
    <x v="0"/>
  </r>
  <r>
    <s v="Singapore"/>
    <x v="3"/>
    <s v="SG1"/>
    <m/>
    <x v="4"/>
    <x v="1"/>
    <x v="0"/>
    <x v="4"/>
    <x v="0"/>
    <x v="0"/>
    <x v="0"/>
    <m/>
    <x v="0"/>
    <x v="0"/>
    <n v="4.5961633170000002"/>
    <m/>
    <x v="13"/>
    <x v="0"/>
    <x v="0"/>
    <x v="3"/>
    <x v="1"/>
  </r>
  <r>
    <s v="Singapore"/>
    <x v="1"/>
    <s v="SG3"/>
    <m/>
    <x v="1"/>
    <x v="4"/>
    <x v="1"/>
    <x v="4"/>
    <x v="0"/>
    <x v="0"/>
    <x v="0"/>
    <m/>
    <x v="0"/>
    <x v="0"/>
    <n v="20.705051844000003"/>
    <m/>
    <x v="13"/>
    <x v="0"/>
    <x v="0"/>
    <x v="4"/>
    <x v="1"/>
  </r>
  <r>
    <s v="Singapore"/>
    <x v="5"/>
    <s v="SG4"/>
    <m/>
    <x v="4"/>
    <x v="4"/>
    <x v="1"/>
    <x v="3"/>
    <x v="0"/>
    <x v="0"/>
    <x v="0"/>
    <m/>
    <x v="0"/>
    <x v="0"/>
    <n v="-0.14940261000000002"/>
    <m/>
    <x v="13"/>
    <x v="2"/>
    <x v="0"/>
    <x v="2"/>
    <x v="0"/>
  </r>
  <r>
    <s v="Singapore"/>
    <x v="1"/>
    <s v="SG2"/>
    <m/>
    <x v="4"/>
    <x v="4"/>
    <x v="2"/>
    <x v="4"/>
    <x v="0"/>
    <x v="0"/>
    <x v="0"/>
    <m/>
    <x v="0"/>
    <x v="0"/>
    <n v="0.56836865700000005"/>
    <m/>
    <x v="13"/>
    <x v="3"/>
    <x v="0"/>
    <x v="5"/>
    <x v="2"/>
  </r>
  <r>
    <s v="Singapore"/>
    <x v="1"/>
    <s v="SG4"/>
    <m/>
    <x v="1"/>
    <x v="0"/>
    <x v="2"/>
    <x v="5"/>
    <x v="0"/>
    <x v="0"/>
    <x v="0"/>
    <m/>
    <x v="0"/>
    <x v="0"/>
    <n v="1.9410499260000003"/>
    <m/>
    <x v="13"/>
    <x v="3"/>
    <x v="0"/>
    <x v="1"/>
    <x v="0"/>
  </r>
  <r>
    <s v="Singapore"/>
    <x v="1"/>
    <s v="SG3"/>
    <m/>
    <x v="1"/>
    <x v="2"/>
    <x v="3"/>
    <x v="4"/>
    <x v="0"/>
    <x v="0"/>
    <x v="0"/>
    <m/>
    <x v="0"/>
    <x v="0"/>
    <n v="18.148974156000001"/>
    <m/>
    <x v="13"/>
    <x v="3"/>
    <x v="0"/>
    <x v="4"/>
    <x v="2"/>
  </r>
  <r>
    <s v="Singapore"/>
    <x v="0"/>
    <s v="SG4"/>
    <m/>
    <x v="2"/>
    <x v="1"/>
    <x v="0"/>
    <x v="2"/>
    <x v="0"/>
    <x v="0"/>
    <x v="0"/>
    <m/>
    <x v="0"/>
    <x v="0"/>
    <n v="3.2382353610000005"/>
    <m/>
    <x v="13"/>
    <x v="2"/>
    <x v="0"/>
    <x v="5"/>
    <x v="2"/>
  </r>
  <r>
    <s v="Singapore"/>
    <x v="4"/>
    <s v="SG2"/>
    <m/>
    <x v="3"/>
    <x v="1"/>
    <x v="4"/>
    <x v="2"/>
    <x v="0"/>
    <x v="0"/>
    <x v="0"/>
    <m/>
    <x v="0"/>
    <x v="0"/>
    <n v="7.7895000000000006E-2"/>
    <m/>
    <x v="13"/>
    <x v="2"/>
    <x v="0"/>
    <x v="2"/>
    <x v="0"/>
  </r>
  <r>
    <s v="Singapore"/>
    <x v="2"/>
    <s v="SG3"/>
    <m/>
    <x v="5"/>
    <x v="0"/>
    <x v="3"/>
    <x v="3"/>
    <x v="0"/>
    <x v="0"/>
    <x v="0"/>
    <m/>
    <x v="0"/>
    <x v="0"/>
    <n v="1.572731208"/>
    <m/>
    <x v="13"/>
    <x v="0"/>
    <x v="0"/>
    <x v="2"/>
    <x v="1"/>
  </r>
  <r>
    <s v="Singapore"/>
    <x v="0"/>
    <s v="SG1"/>
    <m/>
    <x v="3"/>
    <x v="3"/>
    <x v="4"/>
    <x v="5"/>
    <x v="0"/>
    <x v="0"/>
    <x v="0"/>
    <m/>
    <x v="0"/>
    <x v="0"/>
    <n v="18.384668847"/>
    <m/>
    <x v="13"/>
    <x v="1"/>
    <x v="0"/>
    <x v="5"/>
    <x v="2"/>
  </r>
  <r>
    <s v="Singapore"/>
    <x v="1"/>
    <s v="SG1"/>
    <m/>
    <x v="1"/>
    <x v="0"/>
    <x v="1"/>
    <x v="2"/>
    <x v="0"/>
    <x v="0"/>
    <x v="0"/>
    <m/>
    <x v="0"/>
    <x v="0"/>
    <n v="1.294443531"/>
    <m/>
    <x v="13"/>
    <x v="2"/>
    <x v="0"/>
    <x v="5"/>
    <x v="2"/>
  </r>
  <r>
    <s v="Singapore"/>
    <x v="4"/>
    <s v="SG2"/>
    <m/>
    <x v="2"/>
    <x v="0"/>
    <x v="0"/>
    <x v="1"/>
    <x v="0"/>
    <x v="0"/>
    <x v="0"/>
    <m/>
    <x v="0"/>
    <x v="0"/>
    <n v="4.0816356840000001"/>
    <m/>
    <x v="13"/>
    <x v="1"/>
    <x v="0"/>
    <x v="2"/>
    <x v="2"/>
  </r>
  <r>
    <s v="Singapore"/>
    <x v="4"/>
    <s v="SG1"/>
    <m/>
    <x v="3"/>
    <x v="0"/>
    <x v="4"/>
    <x v="4"/>
    <x v="0"/>
    <x v="0"/>
    <x v="0"/>
    <m/>
    <x v="0"/>
    <x v="0"/>
    <n v="0.19310170500000001"/>
    <m/>
    <x v="13"/>
    <x v="1"/>
    <x v="0"/>
    <x v="4"/>
    <x v="2"/>
  </r>
  <r>
    <s v="Singapore"/>
    <x v="0"/>
    <s v="SG1"/>
    <m/>
    <x v="0"/>
    <x v="4"/>
    <x v="2"/>
    <x v="4"/>
    <x v="0"/>
    <x v="0"/>
    <x v="0"/>
    <m/>
    <x v="0"/>
    <x v="0"/>
    <n v="1.1367528929999999"/>
    <m/>
    <x v="13"/>
    <x v="2"/>
    <x v="0"/>
    <x v="4"/>
    <x v="1"/>
  </r>
  <r>
    <s v="Singapore"/>
    <x v="2"/>
    <s v="SG3"/>
    <m/>
    <x v="3"/>
    <x v="1"/>
    <x v="3"/>
    <x v="5"/>
    <x v="0"/>
    <x v="0"/>
    <x v="0"/>
    <m/>
    <x v="0"/>
    <x v="0"/>
    <n v="7.5969902970000005"/>
    <m/>
    <x v="13"/>
    <x v="3"/>
    <x v="0"/>
    <x v="2"/>
    <x v="1"/>
  </r>
  <r>
    <s v="Singapore"/>
    <x v="4"/>
    <s v="SG3"/>
    <m/>
    <x v="4"/>
    <x v="2"/>
    <x v="0"/>
    <x v="4"/>
    <x v="0"/>
    <x v="0"/>
    <x v="0"/>
    <m/>
    <x v="0"/>
    <x v="0"/>
    <n v="9.4097160000000003E-3"/>
    <m/>
    <x v="13"/>
    <x v="3"/>
    <x v="0"/>
    <x v="4"/>
    <x v="1"/>
  </r>
  <r>
    <s v="Singapore"/>
    <x v="5"/>
    <s v="SG4"/>
    <m/>
    <x v="0"/>
    <x v="1"/>
    <x v="4"/>
    <x v="5"/>
    <x v="0"/>
    <x v="0"/>
    <x v="0"/>
    <m/>
    <x v="0"/>
    <x v="0"/>
    <n v="1.072956888"/>
    <m/>
    <x v="13"/>
    <x v="1"/>
    <x v="0"/>
    <x v="1"/>
    <x v="0"/>
  </r>
  <r>
    <s v="Singapore"/>
    <x v="0"/>
    <s v="SG3"/>
    <m/>
    <x v="1"/>
    <x v="2"/>
    <x v="0"/>
    <x v="0"/>
    <x v="0"/>
    <x v="0"/>
    <x v="0"/>
    <m/>
    <x v="0"/>
    <x v="0"/>
    <n v="48.569152716000005"/>
    <m/>
    <x v="13"/>
    <x v="2"/>
    <x v="0"/>
    <x v="3"/>
    <x v="0"/>
  </r>
  <r>
    <s v="Singapore"/>
    <x v="4"/>
    <s v="SG2"/>
    <m/>
    <x v="3"/>
    <x v="2"/>
    <x v="0"/>
    <x v="0"/>
    <x v="0"/>
    <x v="0"/>
    <x v="0"/>
    <m/>
    <x v="0"/>
    <x v="0"/>
    <n v="23.971282668000001"/>
    <m/>
    <x v="13"/>
    <x v="0"/>
    <x v="0"/>
    <x v="1"/>
    <x v="0"/>
  </r>
  <r>
    <s v="Singapore"/>
    <x v="5"/>
    <s v="SG1"/>
    <m/>
    <x v="3"/>
    <x v="0"/>
    <x v="0"/>
    <x v="2"/>
    <x v="0"/>
    <x v="0"/>
    <x v="0"/>
    <m/>
    <x v="0"/>
    <x v="0"/>
    <n v="5.771972763"/>
    <m/>
    <x v="13"/>
    <x v="2"/>
    <x v="0"/>
    <x v="3"/>
    <x v="2"/>
  </r>
  <r>
    <s v="Singapore"/>
    <x v="1"/>
    <s v="SG1"/>
    <m/>
    <x v="4"/>
    <x v="3"/>
    <x v="1"/>
    <x v="2"/>
    <x v="0"/>
    <x v="0"/>
    <x v="0"/>
    <m/>
    <x v="0"/>
    <x v="0"/>
    <n v="1.815078132"/>
    <m/>
    <x v="13"/>
    <x v="0"/>
    <x v="0"/>
    <x v="5"/>
    <x v="1"/>
  </r>
  <r>
    <s v="Singapore"/>
    <x v="3"/>
    <s v="SG2"/>
    <m/>
    <x v="2"/>
    <x v="4"/>
    <x v="4"/>
    <x v="0"/>
    <x v="0"/>
    <x v="0"/>
    <x v="0"/>
    <m/>
    <x v="0"/>
    <x v="0"/>
    <n v="6.4318524660000005"/>
    <m/>
    <x v="13"/>
    <x v="3"/>
    <x v="0"/>
    <x v="2"/>
    <x v="2"/>
  </r>
  <r>
    <s v="Singapore"/>
    <x v="0"/>
    <s v="SG3"/>
    <m/>
    <x v="0"/>
    <x v="2"/>
    <x v="4"/>
    <x v="1"/>
    <x v="0"/>
    <x v="0"/>
    <x v="0"/>
    <m/>
    <x v="0"/>
    <x v="0"/>
    <n v="3.558586338"/>
    <m/>
    <x v="13"/>
    <x v="1"/>
    <x v="0"/>
    <x v="1"/>
    <x v="2"/>
  </r>
  <r>
    <s v="Singapore"/>
    <x v="5"/>
    <s v="SG3"/>
    <m/>
    <x v="1"/>
    <x v="0"/>
    <x v="2"/>
    <x v="5"/>
    <x v="0"/>
    <x v="0"/>
    <x v="0"/>
    <m/>
    <x v="0"/>
    <x v="0"/>
    <n v="1.8150937110000001"/>
    <m/>
    <x v="13"/>
    <x v="3"/>
    <x v="0"/>
    <x v="0"/>
    <x v="2"/>
  </r>
  <r>
    <s v="Singapore"/>
    <x v="0"/>
    <s v="SG1"/>
    <m/>
    <x v="1"/>
    <x v="3"/>
    <x v="0"/>
    <x v="2"/>
    <x v="0"/>
    <x v="0"/>
    <x v="0"/>
    <m/>
    <x v="0"/>
    <x v="0"/>
    <n v="1.503389079"/>
    <m/>
    <x v="13"/>
    <x v="3"/>
    <x v="0"/>
    <x v="1"/>
    <x v="0"/>
  </r>
  <r>
    <s v="Singapore"/>
    <x v="0"/>
    <s v="SG4"/>
    <m/>
    <x v="3"/>
    <x v="1"/>
    <x v="3"/>
    <x v="1"/>
    <x v="0"/>
    <x v="0"/>
    <x v="0"/>
    <m/>
    <x v="0"/>
    <x v="0"/>
    <n v="28.378036503000001"/>
    <m/>
    <x v="13"/>
    <x v="0"/>
    <x v="0"/>
    <x v="5"/>
    <x v="0"/>
  </r>
  <r>
    <s v="Singapore"/>
    <x v="3"/>
    <s v="SG3"/>
    <m/>
    <x v="3"/>
    <x v="4"/>
    <x v="4"/>
    <x v="3"/>
    <x v="0"/>
    <x v="0"/>
    <x v="0"/>
    <m/>
    <x v="0"/>
    <x v="0"/>
    <n v="0.72571655700000004"/>
    <m/>
    <x v="13"/>
    <x v="2"/>
    <x v="0"/>
    <x v="4"/>
    <x v="2"/>
  </r>
  <r>
    <s v="Singapore"/>
    <x v="1"/>
    <s v="SG4"/>
    <m/>
    <x v="5"/>
    <x v="1"/>
    <x v="0"/>
    <x v="1"/>
    <x v="0"/>
    <x v="0"/>
    <x v="0"/>
    <m/>
    <x v="0"/>
    <x v="0"/>
    <n v="0.79904691000000005"/>
    <m/>
    <x v="13"/>
    <x v="2"/>
    <x v="0"/>
    <x v="2"/>
    <x v="2"/>
  </r>
  <r>
    <s v="Singapore"/>
    <x v="3"/>
    <s v="SG2"/>
    <m/>
    <x v="2"/>
    <x v="2"/>
    <x v="3"/>
    <x v="1"/>
    <x v="0"/>
    <x v="0"/>
    <x v="0"/>
    <m/>
    <x v="0"/>
    <x v="0"/>
    <n v="2.4181723800000001"/>
    <m/>
    <x v="13"/>
    <x v="3"/>
    <x v="0"/>
    <x v="1"/>
    <x v="1"/>
  </r>
  <r>
    <s v="Singapore"/>
    <x v="0"/>
    <s v="SG2"/>
    <m/>
    <x v="2"/>
    <x v="3"/>
    <x v="0"/>
    <x v="1"/>
    <x v="0"/>
    <x v="0"/>
    <x v="0"/>
    <m/>
    <x v="0"/>
    <x v="0"/>
    <n v="6.8644034009999997"/>
    <m/>
    <x v="13"/>
    <x v="3"/>
    <x v="0"/>
    <x v="5"/>
    <x v="1"/>
  </r>
  <r>
    <s v="Singapore"/>
    <x v="4"/>
    <s v="SG1"/>
    <m/>
    <x v="2"/>
    <x v="2"/>
    <x v="1"/>
    <x v="4"/>
    <x v="0"/>
    <x v="0"/>
    <x v="0"/>
    <m/>
    <x v="0"/>
    <x v="0"/>
    <n v="5.4807545160000002"/>
    <m/>
    <x v="13"/>
    <x v="0"/>
    <x v="0"/>
    <x v="5"/>
    <x v="0"/>
  </r>
  <r>
    <s v="Singapore"/>
    <x v="5"/>
    <s v="SG2"/>
    <m/>
    <x v="0"/>
    <x v="2"/>
    <x v="1"/>
    <x v="0"/>
    <x v="0"/>
    <x v="0"/>
    <x v="0"/>
    <m/>
    <x v="0"/>
    <x v="0"/>
    <n v="14.076732608999999"/>
    <m/>
    <x v="13"/>
    <x v="2"/>
    <x v="0"/>
    <x v="4"/>
    <x v="1"/>
  </r>
  <r>
    <s v="Singapore"/>
    <x v="3"/>
    <s v="SG1"/>
    <m/>
    <x v="0"/>
    <x v="1"/>
    <x v="1"/>
    <x v="4"/>
    <x v="0"/>
    <x v="0"/>
    <x v="0"/>
    <m/>
    <x v="0"/>
    <x v="0"/>
    <n v="1.8150937110000001"/>
    <m/>
    <x v="13"/>
    <x v="3"/>
    <x v="0"/>
    <x v="5"/>
    <x v="0"/>
  </r>
  <r>
    <s v="Singapore"/>
    <x v="3"/>
    <s v="SG3"/>
    <m/>
    <x v="2"/>
    <x v="1"/>
    <x v="1"/>
    <x v="3"/>
    <x v="0"/>
    <x v="0"/>
    <x v="0"/>
    <m/>
    <x v="0"/>
    <x v="0"/>
    <n v="11.594701908000001"/>
    <m/>
    <x v="13"/>
    <x v="2"/>
    <x v="0"/>
    <x v="4"/>
    <x v="0"/>
  </r>
  <r>
    <s v="Singapore"/>
    <x v="3"/>
    <s v="SG2"/>
    <m/>
    <x v="0"/>
    <x v="1"/>
    <x v="3"/>
    <x v="2"/>
    <x v="0"/>
    <x v="0"/>
    <x v="0"/>
    <m/>
    <x v="0"/>
    <x v="0"/>
    <n v="-7.0775397000000004E-2"/>
    <m/>
    <x v="13"/>
    <x v="2"/>
    <x v="0"/>
    <x v="1"/>
    <x v="0"/>
  </r>
  <r>
    <s v="Singapore"/>
    <x v="5"/>
    <s v="SG4"/>
    <m/>
    <x v="4"/>
    <x v="0"/>
    <x v="0"/>
    <x v="1"/>
    <x v="0"/>
    <x v="0"/>
    <x v="0"/>
    <m/>
    <x v="0"/>
    <x v="0"/>
    <n v="1.8150937110000001"/>
    <m/>
    <x v="13"/>
    <x v="3"/>
    <x v="0"/>
    <x v="3"/>
    <x v="2"/>
  </r>
  <r>
    <s v="Singapore"/>
    <x v="5"/>
    <s v="SG3"/>
    <m/>
    <x v="5"/>
    <x v="0"/>
    <x v="2"/>
    <x v="3"/>
    <x v="0"/>
    <x v="0"/>
    <x v="0"/>
    <m/>
    <x v="0"/>
    <x v="0"/>
    <n v="15.862584537000002"/>
    <m/>
    <x v="13"/>
    <x v="2"/>
    <x v="0"/>
    <x v="1"/>
    <x v="1"/>
  </r>
  <r>
    <s v="Singapore"/>
    <x v="4"/>
    <s v="SG4"/>
    <m/>
    <x v="1"/>
    <x v="2"/>
    <x v="0"/>
    <x v="2"/>
    <x v="0"/>
    <x v="0"/>
    <x v="0"/>
    <m/>
    <x v="0"/>
    <x v="0"/>
    <n v="6.0840357120000004"/>
    <m/>
    <x v="13"/>
    <x v="3"/>
    <x v="0"/>
    <x v="3"/>
    <x v="2"/>
  </r>
  <r>
    <s v="Singapore"/>
    <x v="5"/>
    <s v="SG4"/>
    <m/>
    <x v="0"/>
    <x v="4"/>
    <x v="3"/>
    <x v="5"/>
    <x v="0"/>
    <x v="0"/>
    <x v="0"/>
    <m/>
    <x v="0"/>
    <x v="0"/>
    <n v="-3.5395488000000003E-2"/>
    <m/>
    <x v="13"/>
    <x v="0"/>
    <x v="0"/>
    <x v="5"/>
    <x v="0"/>
  </r>
  <r>
    <s v="Singapore"/>
    <x v="4"/>
    <s v="SG2"/>
    <m/>
    <x v="4"/>
    <x v="1"/>
    <x v="2"/>
    <x v="5"/>
    <x v="0"/>
    <x v="0"/>
    <x v="0"/>
    <m/>
    <x v="0"/>
    <x v="0"/>
    <n v="3.0733160670000004"/>
    <m/>
    <x v="13"/>
    <x v="2"/>
    <x v="0"/>
    <x v="0"/>
    <x v="1"/>
  </r>
  <r>
    <s v="Singapore"/>
    <x v="3"/>
    <s v="SG4"/>
    <m/>
    <x v="2"/>
    <x v="1"/>
    <x v="3"/>
    <x v="2"/>
    <x v="0"/>
    <x v="0"/>
    <x v="0"/>
    <m/>
    <x v="0"/>
    <x v="0"/>
    <n v="17.441407133999999"/>
    <m/>
    <x v="13"/>
    <x v="0"/>
    <x v="0"/>
    <x v="4"/>
    <x v="0"/>
  </r>
  <r>
    <s v="Singapore"/>
    <x v="3"/>
    <s v="SG4"/>
    <m/>
    <x v="1"/>
    <x v="0"/>
    <x v="3"/>
    <x v="1"/>
    <x v="0"/>
    <x v="0"/>
    <x v="0"/>
    <m/>
    <x v="0"/>
    <x v="0"/>
    <n v="4.2627882960000001"/>
    <m/>
    <x v="13"/>
    <x v="0"/>
    <x v="0"/>
    <x v="4"/>
    <x v="1"/>
  </r>
  <r>
    <s v="Singapore"/>
    <x v="0"/>
    <s v="SG3"/>
    <m/>
    <x v="0"/>
    <x v="2"/>
    <x v="2"/>
    <x v="2"/>
    <x v="0"/>
    <x v="0"/>
    <x v="0"/>
    <m/>
    <x v="0"/>
    <x v="0"/>
    <n v="0.64010995199999998"/>
    <m/>
    <x v="13"/>
    <x v="1"/>
    <x v="0"/>
    <x v="2"/>
    <x v="0"/>
  </r>
  <r>
    <s v="Singapore"/>
    <x v="4"/>
    <s v="SG2"/>
    <m/>
    <x v="2"/>
    <x v="4"/>
    <x v="0"/>
    <x v="2"/>
    <x v="0"/>
    <x v="0"/>
    <x v="0"/>
    <m/>
    <x v="0"/>
    <x v="0"/>
    <n v="5.9813701020000005"/>
    <m/>
    <x v="13"/>
    <x v="2"/>
    <x v="0"/>
    <x v="1"/>
    <x v="0"/>
  </r>
  <r>
    <s v="Singapore"/>
    <x v="0"/>
    <s v="SG4"/>
    <m/>
    <x v="5"/>
    <x v="0"/>
    <x v="4"/>
    <x v="5"/>
    <x v="0"/>
    <x v="0"/>
    <x v="0"/>
    <m/>
    <x v="0"/>
    <x v="0"/>
    <n v="1.8150937110000001"/>
    <m/>
    <x v="13"/>
    <x v="2"/>
    <x v="0"/>
    <x v="3"/>
    <x v="0"/>
  </r>
  <r>
    <s v="Singapore"/>
    <x v="2"/>
    <s v="SG2"/>
    <m/>
    <x v="1"/>
    <x v="1"/>
    <x v="4"/>
    <x v="5"/>
    <x v="0"/>
    <x v="0"/>
    <x v="0"/>
    <m/>
    <x v="0"/>
    <x v="0"/>
    <n v="15.239518011000001"/>
    <m/>
    <x v="13"/>
    <x v="2"/>
    <x v="0"/>
    <x v="1"/>
    <x v="0"/>
  </r>
  <r>
    <s v="Singapore"/>
    <x v="0"/>
    <s v="SG4"/>
    <m/>
    <x v="3"/>
    <x v="1"/>
    <x v="4"/>
    <x v="4"/>
    <x v="0"/>
    <x v="0"/>
    <x v="0"/>
    <m/>
    <x v="0"/>
    <x v="0"/>
    <n v="7.7895000000000006E-2"/>
    <m/>
    <x v="13"/>
    <x v="1"/>
    <x v="0"/>
    <x v="3"/>
    <x v="0"/>
  </r>
  <r>
    <s v="Singapore"/>
    <x v="4"/>
    <s v="SG3"/>
    <m/>
    <x v="4"/>
    <x v="4"/>
    <x v="4"/>
    <x v="3"/>
    <x v="0"/>
    <x v="0"/>
    <x v="0"/>
    <m/>
    <x v="0"/>
    <x v="0"/>
    <n v="8.1197748E-2"/>
    <m/>
    <x v="13"/>
    <x v="3"/>
    <x v="0"/>
    <x v="5"/>
    <x v="2"/>
  </r>
  <r>
    <s v="Singapore"/>
    <x v="5"/>
    <s v="SG2"/>
    <m/>
    <x v="3"/>
    <x v="1"/>
    <x v="2"/>
    <x v="5"/>
    <x v="0"/>
    <x v="0"/>
    <x v="0"/>
    <m/>
    <x v="0"/>
    <x v="0"/>
    <n v="8.2874983140000005"/>
    <m/>
    <x v="13"/>
    <x v="2"/>
    <x v="0"/>
    <x v="2"/>
    <x v="2"/>
  </r>
  <r>
    <s v="Singapore"/>
    <x v="2"/>
    <s v="SG2"/>
    <m/>
    <x v="5"/>
    <x v="2"/>
    <x v="3"/>
    <x v="4"/>
    <x v="0"/>
    <x v="0"/>
    <x v="0"/>
    <m/>
    <x v="0"/>
    <x v="0"/>
    <n v="116.93793695399999"/>
    <m/>
    <x v="13"/>
    <x v="2"/>
    <x v="0"/>
    <x v="4"/>
    <x v="2"/>
  </r>
  <r>
    <s v="Singapore"/>
    <x v="3"/>
    <s v="SG2"/>
    <m/>
    <x v="4"/>
    <x v="4"/>
    <x v="4"/>
    <x v="1"/>
    <x v="0"/>
    <x v="0"/>
    <x v="0"/>
    <m/>
    <x v="0"/>
    <x v="0"/>
    <n v="0.44398592100000006"/>
    <m/>
    <x v="13"/>
    <x v="0"/>
    <x v="0"/>
    <x v="0"/>
    <x v="2"/>
  </r>
  <r>
    <s v="Singapore"/>
    <x v="4"/>
    <s v="SG3"/>
    <m/>
    <x v="4"/>
    <x v="2"/>
    <x v="2"/>
    <x v="5"/>
    <x v="0"/>
    <x v="0"/>
    <x v="0"/>
    <m/>
    <x v="0"/>
    <x v="0"/>
    <n v="0.64956640500000007"/>
    <m/>
    <x v="13"/>
    <x v="2"/>
    <x v="0"/>
    <x v="2"/>
    <x v="2"/>
  </r>
  <r>
    <s v="Singapore"/>
    <x v="0"/>
    <s v="SG1"/>
    <m/>
    <x v="1"/>
    <x v="2"/>
    <x v="4"/>
    <x v="3"/>
    <x v="0"/>
    <x v="0"/>
    <x v="0"/>
    <m/>
    <x v="0"/>
    <x v="0"/>
    <n v="3.5519964209999997"/>
    <m/>
    <x v="13"/>
    <x v="2"/>
    <x v="0"/>
    <x v="2"/>
    <x v="2"/>
  </r>
  <r>
    <s v="Singapore"/>
    <x v="3"/>
    <s v="SG4"/>
    <m/>
    <x v="5"/>
    <x v="1"/>
    <x v="1"/>
    <x v="3"/>
    <x v="0"/>
    <x v="0"/>
    <x v="0"/>
    <m/>
    <x v="0"/>
    <x v="0"/>
    <n v="7.7895000000000006E-2"/>
    <m/>
    <x v="13"/>
    <x v="3"/>
    <x v="0"/>
    <x v="4"/>
    <x v="0"/>
  </r>
  <r>
    <s v="Singapore"/>
    <x v="5"/>
    <s v="SG2"/>
    <m/>
    <x v="3"/>
    <x v="3"/>
    <x v="2"/>
    <x v="5"/>
    <x v="0"/>
    <x v="0"/>
    <x v="0"/>
    <m/>
    <x v="0"/>
    <x v="0"/>
    <n v="0.64333480500000007"/>
    <m/>
    <x v="13"/>
    <x v="0"/>
    <x v="0"/>
    <x v="5"/>
    <x v="1"/>
  </r>
  <r>
    <s v="Singapore"/>
    <x v="3"/>
    <s v="SG2"/>
    <m/>
    <x v="1"/>
    <x v="1"/>
    <x v="4"/>
    <x v="1"/>
    <x v="0"/>
    <x v="0"/>
    <x v="0"/>
    <m/>
    <x v="0"/>
    <x v="0"/>
    <n v="2.4181723800000001"/>
    <m/>
    <x v="13"/>
    <x v="0"/>
    <x v="0"/>
    <x v="3"/>
    <x v="0"/>
  </r>
  <r>
    <s v="Singapore"/>
    <x v="3"/>
    <s v="SG4"/>
    <m/>
    <x v="4"/>
    <x v="1"/>
    <x v="3"/>
    <x v="4"/>
    <x v="0"/>
    <x v="0"/>
    <x v="0"/>
    <m/>
    <x v="0"/>
    <x v="0"/>
    <n v="0.14127037200000001"/>
    <m/>
    <x v="13"/>
    <x v="1"/>
    <x v="0"/>
    <x v="4"/>
    <x v="1"/>
  </r>
  <r>
    <s v="Singapore"/>
    <x v="4"/>
    <s v="SG1"/>
    <m/>
    <x v="5"/>
    <x v="0"/>
    <x v="1"/>
    <x v="2"/>
    <x v="0"/>
    <x v="0"/>
    <x v="0"/>
    <m/>
    <x v="0"/>
    <x v="0"/>
    <n v="29.624153975999999"/>
    <m/>
    <x v="13"/>
    <x v="2"/>
    <x v="0"/>
    <x v="2"/>
    <x v="2"/>
  </r>
  <r>
    <s v="Singapore"/>
    <x v="0"/>
    <s v="SG2"/>
    <m/>
    <x v="5"/>
    <x v="4"/>
    <x v="2"/>
    <x v="0"/>
    <x v="0"/>
    <x v="0"/>
    <x v="0"/>
    <m/>
    <x v="0"/>
    <x v="0"/>
    <n v="2.7226327770000003"/>
    <m/>
    <x v="13"/>
    <x v="1"/>
    <x v="0"/>
    <x v="0"/>
    <x v="1"/>
  </r>
  <r>
    <s v="Singapore"/>
    <x v="3"/>
    <s v="SG1"/>
    <m/>
    <x v="4"/>
    <x v="0"/>
    <x v="1"/>
    <x v="5"/>
    <x v="0"/>
    <x v="0"/>
    <x v="0"/>
    <m/>
    <x v="0"/>
    <x v="0"/>
    <n v="11.594670750000001"/>
    <m/>
    <x v="13"/>
    <x v="2"/>
    <x v="0"/>
    <x v="5"/>
    <x v="1"/>
  </r>
  <r>
    <s v="Singapore"/>
    <x v="5"/>
    <s v="SG4"/>
    <m/>
    <x v="3"/>
    <x v="3"/>
    <x v="2"/>
    <x v="3"/>
    <x v="0"/>
    <x v="0"/>
    <x v="0"/>
    <m/>
    <x v="0"/>
    <x v="0"/>
    <n v="0.162395496"/>
    <m/>
    <x v="13"/>
    <x v="3"/>
    <x v="0"/>
    <x v="4"/>
    <x v="2"/>
  </r>
  <r>
    <s v="Singapore"/>
    <x v="3"/>
    <s v="SG2"/>
    <m/>
    <x v="0"/>
    <x v="2"/>
    <x v="2"/>
    <x v="3"/>
    <x v="0"/>
    <x v="0"/>
    <x v="0"/>
    <m/>
    <x v="0"/>
    <x v="0"/>
    <n v="0.64010995199999998"/>
    <m/>
    <x v="13"/>
    <x v="2"/>
    <x v="0"/>
    <x v="2"/>
    <x v="1"/>
  </r>
  <r>
    <s v="Singapore"/>
    <x v="5"/>
    <s v="SG4"/>
    <m/>
    <x v="1"/>
    <x v="1"/>
    <x v="2"/>
    <x v="5"/>
    <x v="0"/>
    <x v="0"/>
    <x v="0"/>
    <m/>
    <x v="0"/>
    <x v="0"/>
    <n v="11.594701908000001"/>
    <m/>
    <x v="13"/>
    <x v="1"/>
    <x v="0"/>
    <x v="5"/>
    <x v="2"/>
  </r>
  <r>
    <s v="Singapore"/>
    <x v="0"/>
    <s v="SG1"/>
    <m/>
    <x v="0"/>
    <x v="3"/>
    <x v="1"/>
    <x v="2"/>
    <x v="0"/>
    <x v="0"/>
    <x v="0"/>
    <m/>
    <x v="0"/>
    <x v="0"/>
    <n v="95.950733841000002"/>
    <m/>
    <x v="13"/>
    <x v="1"/>
    <x v="0"/>
    <x v="2"/>
    <x v="1"/>
  </r>
  <r>
    <s v="Singapore"/>
    <x v="3"/>
    <s v="SG3"/>
    <m/>
    <x v="3"/>
    <x v="3"/>
    <x v="0"/>
    <x v="3"/>
    <x v="0"/>
    <x v="0"/>
    <x v="0"/>
    <m/>
    <x v="0"/>
    <x v="0"/>
    <n v="0.64010995199999998"/>
    <m/>
    <x v="13"/>
    <x v="0"/>
    <x v="0"/>
    <x v="4"/>
    <x v="1"/>
  </r>
  <r>
    <s v="Singapore"/>
    <x v="0"/>
    <s v="SG4"/>
    <m/>
    <x v="3"/>
    <x v="0"/>
    <x v="4"/>
    <x v="5"/>
    <x v="0"/>
    <x v="0"/>
    <x v="0"/>
    <m/>
    <x v="0"/>
    <x v="0"/>
    <n v="21.831647229000001"/>
    <m/>
    <x v="13"/>
    <x v="2"/>
    <x v="0"/>
    <x v="0"/>
    <x v="1"/>
  </r>
  <r>
    <s v="Singapore"/>
    <x v="1"/>
    <s v="SG1"/>
    <m/>
    <x v="1"/>
    <x v="1"/>
    <x v="2"/>
    <x v="3"/>
    <x v="0"/>
    <x v="0"/>
    <x v="0"/>
    <m/>
    <x v="0"/>
    <x v="0"/>
    <n v="1.294443531"/>
    <m/>
    <x v="13"/>
    <x v="2"/>
    <x v="0"/>
    <x v="0"/>
    <x v="0"/>
  </r>
  <r>
    <s v="Singapore"/>
    <x v="1"/>
    <s v="SG1"/>
    <m/>
    <x v="0"/>
    <x v="0"/>
    <x v="1"/>
    <x v="4"/>
    <x v="0"/>
    <x v="0"/>
    <x v="0"/>
    <m/>
    <x v="0"/>
    <x v="0"/>
    <n v="2.177071776"/>
    <m/>
    <x v="13"/>
    <x v="0"/>
    <x v="0"/>
    <x v="0"/>
    <x v="1"/>
  </r>
  <r>
    <s v="Singapore"/>
    <x v="5"/>
    <s v="SG1"/>
    <m/>
    <x v="1"/>
    <x v="0"/>
    <x v="3"/>
    <x v="1"/>
    <x v="0"/>
    <x v="0"/>
    <x v="0"/>
    <m/>
    <x v="0"/>
    <x v="0"/>
    <n v="23.749905078000001"/>
    <m/>
    <x v="13"/>
    <x v="3"/>
    <x v="0"/>
    <x v="1"/>
    <x v="0"/>
  </r>
  <r>
    <s v="Singapore"/>
    <x v="1"/>
    <s v="SG3"/>
    <m/>
    <x v="3"/>
    <x v="0"/>
    <x v="3"/>
    <x v="3"/>
    <x v="0"/>
    <x v="0"/>
    <x v="0"/>
    <m/>
    <x v="0"/>
    <x v="0"/>
    <n v="6.6319179840000002"/>
    <m/>
    <x v="13"/>
    <x v="0"/>
    <x v="0"/>
    <x v="1"/>
    <x v="1"/>
  </r>
  <r>
    <s v="Singapore"/>
    <x v="0"/>
    <s v="SG2"/>
    <m/>
    <x v="0"/>
    <x v="0"/>
    <x v="0"/>
    <x v="3"/>
    <x v="0"/>
    <x v="0"/>
    <x v="0"/>
    <m/>
    <x v="0"/>
    <x v="0"/>
    <n v="2.4181723800000001"/>
    <m/>
    <x v="13"/>
    <x v="0"/>
    <x v="0"/>
    <x v="4"/>
    <x v="1"/>
  </r>
  <r>
    <s v="Singapore"/>
    <x v="0"/>
    <s v="SG4"/>
    <m/>
    <x v="4"/>
    <x v="0"/>
    <x v="4"/>
    <x v="2"/>
    <x v="0"/>
    <x v="0"/>
    <x v="0"/>
    <m/>
    <x v="0"/>
    <x v="0"/>
    <n v="0.80876820599999999"/>
    <m/>
    <x v="13"/>
    <x v="2"/>
    <x v="0"/>
    <x v="3"/>
    <x v="2"/>
  </r>
  <r>
    <s v="Singapore"/>
    <x v="2"/>
    <s v="SG3"/>
    <m/>
    <x v="0"/>
    <x v="4"/>
    <x v="4"/>
    <x v="4"/>
    <x v="0"/>
    <x v="0"/>
    <x v="0"/>
    <m/>
    <x v="0"/>
    <x v="0"/>
    <n v="11.594701908000001"/>
    <m/>
    <x v="13"/>
    <x v="2"/>
    <x v="0"/>
    <x v="5"/>
    <x v="1"/>
  </r>
  <r>
    <s v="Singapore"/>
    <x v="2"/>
    <s v="SG2"/>
    <m/>
    <x v="4"/>
    <x v="3"/>
    <x v="2"/>
    <x v="0"/>
    <x v="0"/>
    <x v="0"/>
    <x v="0"/>
    <m/>
    <x v="0"/>
    <x v="0"/>
    <n v="0.64010995199999998"/>
    <m/>
    <x v="13"/>
    <x v="1"/>
    <x v="0"/>
    <x v="3"/>
    <x v="0"/>
  </r>
  <r>
    <s v="Singapore"/>
    <x v="4"/>
    <s v="SG3"/>
    <m/>
    <x v="4"/>
    <x v="1"/>
    <x v="2"/>
    <x v="2"/>
    <x v="0"/>
    <x v="0"/>
    <x v="0"/>
    <m/>
    <x v="0"/>
    <x v="0"/>
    <n v="12.168071424000001"/>
    <m/>
    <x v="13"/>
    <x v="3"/>
    <x v="0"/>
    <x v="5"/>
    <x v="1"/>
  </r>
  <r>
    <s v="Singapore"/>
    <x v="2"/>
    <s v="SG4"/>
    <m/>
    <x v="1"/>
    <x v="3"/>
    <x v="3"/>
    <x v="5"/>
    <x v="0"/>
    <x v="0"/>
    <x v="0"/>
    <m/>
    <x v="0"/>
    <x v="0"/>
    <n v="9.4097160000000003E-3"/>
    <m/>
    <x v="13"/>
    <x v="1"/>
    <x v="0"/>
    <x v="0"/>
    <x v="1"/>
  </r>
  <r>
    <s v="Singapore"/>
    <x v="0"/>
    <s v="SG4"/>
    <m/>
    <x v="1"/>
    <x v="4"/>
    <x v="4"/>
    <x v="3"/>
    <x v="0"/>
    <x v="0"/>
    <x v="0"/>
    <m/>
    <x v="0"/>
    <x v="0"/>
    <n v="2.745767592"/>
    <m/>
    <x v="13"/>
    <x v="3"/>
    <x v="0"/>
    <x v="3"/>
    <x v="0"/>
  </r>
  <r>
    <s v="Singapore"/>
    <x v="1"/>
    <s v="SG3"/>
    <m/>
    <x v="4"/>
    <x v="2"/>
    <x v="1"/>
    <x v="1"/>
    <x v="0"/>
    <x v="0"/>
    <x v="0"/>
    <m/>
    <x v="0"/>
    <x v="0"/>
    <n v="2.4181723800000001"/>
    <m/>
    <x v="13"/>
    <x v="3"/>
    <x v="0"/>
    <x v="4"/>
    <x v="0"/>
  </r>
  <r>
    <s v="Singapore"/>
    <x v="2"/>
    <s v="SG3"/>
    <m/>
    <x v="5"/>
    <x v="4"/>
    <x v="2"/>
    <x v="0"/>
    <x v="0"/>
    <x v="0"/>
    <x v="0"/>
    <m/>
    <x v="0"/>
    <x v="0"/>
    <n v="7.4060384939999997"/>
    <m/>
    <x v="13"/>
    <x v="2"/>
    <x v="0"/>
    <x v="4"/>
    <x v="0"/>
  </r>
  <r>
    <s v="Singapore"/>
    <x v="3"/>
    <s v="SG4"/>
    <m/>
    <x v="4"/>
    <x v="2"/>
    <x v="3"/>
    <x v="2"/>
    <x v="0"/>
    <x v="0"/>
    <x v="0"/>
    <m/>
    <x v="0"/>
    <x v="0"/>
    <n v="0.28249400700000005"/>
    <m/>
    <x v="13"/>
    <x v="0"/>
    <x v="0"/>
    <x v="1"/>
    <x v="1"/>
  </r>
  <r>
    <s v="Singapore"/>
    <x v="1"/>
    <s v="SG2"/>
    <m/>
    <x v="0"/>
    <x v="1"/>
    <x v="0"/>
    <x v="0"/>
    <x v="0"/>
    <x v="0"/>
    <x v="0"/>
    <m/>
    <x v="0"/>
    <x v="0"/>
    <n v="5.4421964909999998"/>
    <m/>
    <x v="13"/>
    <x v="2"/>
    <x v="0"/>
    <x v="2"/>
    <x v="2"/>
  </r>
  <r>
    <s v="Singapore"/>
    <x v="2"/>
    <s v="SG4"/>
    <m/>
    <x v="5"/>
    <x v="1"/>
    <x v="2"/>
    <x v="4"/>
    <x v="0"/>
    <x v="0"/>
    <x v="0"/>
    <m/>
    <x v="0"/>
    <x v="0"/>
    <n v="26.850577869000002"/>
    <m/>
    <x v="13"/>
    <x v="1"/>
    <x v="0"/>
    <x v="5"/>
    <x v="2"/>
  </r>
  <r>
    <s v="Singapore"/>
    <x v="4"/>
    <s v="SG4"/>
    <m/>
    <x v="5"/>
    <x v="1"/>
    <x v="4"/>
    <x v="3"/>
    <x v="0"/>
    <x v="0"/>
    <x v="0"/>
    <m/>
    <x v="0"/>
    <x v="0"/>
    <n v="1.3423956930000001"/>
    <m/>
    <x v="13"/>
    <x v="0"/>
    <x v="0"/>
    <x v="2"/>
    <x v="2"/>
  </r>
  <r>
    <s v="Singapore"/>
    <x v="3"/>
    <s v="SG2"/>
    <m/>
    <x v="5"/>
    <x v="4"/>
    <x v="3"/>
    <x v="1"/>
    <x v="0"/>
    <x v="0"/>
    <x v="0"/>
    <m/>
    <x v="0"/>
    <x v="0"/>
    <n v="0.161756757"/>
    <m/>
    <x v="13"/>
    <x v="1"/>
    <x v="0"/>
    <x v="3"/>
    <x v="1"/>
  </r>
  <r>
    <s v="Singapore"/>
    <x v="0"/>
    <s v="SG1"/>
    <m/>
    <x v="1"/>
    <x v="1"/>
    <x v="4"/>
    <x v="0"/>
    <x v="0"/>
    <x v="0"/>
    <x v="0"/>
    <m/>
    <x v="0"/>
    <x v="0"/>
    <n v="2.6847913860000001"/>
    <m/>
    <x v="13"/>
    <x v="2"/>
    <x v="0"/>
    <x v="1"/>
    <x v="1"/>
  </r>
  <r>
    <s v="Singapore"/>
    <x v="2"/>
    <s v="SG2"/>
    <m/>
    <x v="3"/>
    <x v="0"/>
    <x v="4"/>
    <x v="4"/>
    <x v="0"/>
    <x v="0"/>
    <x v="0"/>
    <m/>
    <x v="0"/>
    <x v="0"/>
    <n v="1.3423956930000001"/>
    <m/>
    <x v="13"/>
    <x v="1"/>
    <x v="0"/>
    <x v="5"/>
    <x v="2"/>
  </r>
  <r>
    <s v="Singapore"/>
    <x v="3"/>
    <s v="SG2"/>
    <m/>
    <x v="0"/>
    <x v="0"/>
    <x v="1"/>
    <x v="3"/>
    <x v="0"/>
    <x v="0"/>
    <x v="0"/>
    <m/>
    <x v="0"/>
    <x v="0"/>
    <n v="17.586603414000002"/>
    <m/>
    <x v="13"/>
    <x v="1"/>
    <x v="0"/>
    <x v="5"/>
    <x v="0"/>
  </r>
  <r>
    <s v="Singapore"/>
    <x v="5"/>
    <s v="SG4"/>
    <m/>
    <x v="5"/>
    <x v="4"/>
    <x v="4"/>
    <x v="0"/>
    <x v="0"/>
    <x v="0"/>
    <x v="0"/>
    <m/>
    <x v="0"/>
    <x v="0"/>
    <n v="0.64377101700000006"/>
    <m/>
    <x v="13"/>
    <x v="0"/>
    <x v="0"/>
    <x v="4"/>
    <x v="1"/>
  </r>
  <r>
    <s v="Singapore"/>
    <x v="4"/>
    <s v="SG1"/>
    <m/>
    <x v="3"/>
    <x v="2"/>
    <x v="2"/>
    <x v="0"/>
    <x v="0"/>
    <x v="0"/>
    <x v="0"/>
    <m/>
    <x v="0"/>
    <x v="0"/>
    <n v="6.0897220470000004"/>
    <m/>
    <x v="13"/>
    <x v="3"/>
    <x v="0"/>
    <x v="4"/>
    <x v="1"/>
  </r>
  <r>
    <s v="Singapore"/>
    <x v="3"/>
    <s v="SG4"/>
    <m/>
    <x v="0"/>
    <x v="3"/>
    <x v="3"/>
    <x v="3"/>
    <x v="0"/>
    <x v="0"/>
    <x v="0"/>
    <m/>
    <x v="0"/>
    <x v="0"/>
    <n v="5.9329349910000007"/>
    <m/>
    <x v="13"/>
    <x v="0"/>
    <x v="0"/>
    <x v="4"/>
    <x v="2"/>
  </r>
  <r>
    <s v="Singapore"/>
    <x v="4"/>
    <s v="SG3"/>
    <m/>
    <x v="4"/>
    <x v="4"/>
    <x v="0"/>
    <x v="0"/>
    <x v="0"/>
    <x v="0"/>
    <x v="0"/>
    <m/>
    <x v="0"/>
    <x v="0"/>
    <n v="5.8055299290000004"/>
    <m/>
    <x v="13"/>
    <x v="0"/>
    <x v="0"/>
    <x v="4"/>
    <x v="1"/>
  </r>
  <r>
    <s v="Singapore"/>
    <x v="4"/>
    <s v="SG1"/>
    <m/>
    <x v="1"/>
    <x v="4"/>
    <x v="2"/>
    <x v="5"/>
    <x v="0"/>
    <x v="0"/>
    <x v="0"/>
    <m/>
    <x v="0"/>
    <x v="0"/>
    <n v="7.7895000000000006E-2"/>
    <m/>
    <x v="13"/>
    <x v="0"/>
    <x v="0"/>
    <x v="5"/>
    <x v="1"/>
  </r>
  <r>
    <s v="Singapore"/>
    <x v="3"/>
    <s v="SG1"/>
    <m/>
    <x v="1"/>
    <x v="1"/>
    <x v="1"/>
    <x v="0"/>
    <x v="0"/>
    <x v="0"/>
    <x v="0"/>
    <m/>
    <x v="0"/>
    <x v="0"/>
    <n v="7.8836438970000007"/>
    <m/>
    <x v="13"/>
    <x v="1"/>
    <x v="0"/>
    <x v="1"/>
    <x v="1"/>
  </r>
  <r>
    <s v="Singapore"/>
    <x v="1"/>
    <s v="SG2"/>
    <m/>
    <x v="5"/>
    <x v="4"/>
    <x v="1"/>
    <x v="2"/>
    <x v="0"/>
    <x v="0"/>
    <x v="0"/>
    <m/>
    <x v="0"/>
    <x v="0"/>
    <n v="2.177071776"/>
    <m/>
    <x v="13"/>
    <x v="2"/>
    <x v="0"/>
    <x v="1"/>
    <x v="0"/>
  </r>
  <r>
    <s v="Singapore"/>
    <x v="0"/>
    <s v="SG2"/>
    <m/>
    <x v="0"/>
    <x v="1"/>
    <x v="3"/>
    <x v="0"/>
    <x v="0"/>
    <x v="0"/>
    <x v="0"/>
    <m/>
    <x v="0"/>
    <x v="0"/>
    <n v="23.298534711000002"/>
    <m/>
    <x v="13"/>
    <x v="0"/>
    <x v="0"/>
    <x v="5"/>
    <x v="2"/>
  </r>
  <r>
    <s v="Singapore"/>
    <x v="1"/>
    <s v="SG1"/>
    <m/>
    <x v="0"/>
    <x v="1"/>
    <x v="1"/>
    <x v="2"/>
    <x v="0"/>
    <x v="0"/>
    <x v="0"/>
    <m/>
    <x v="0"/>
    <x v="0"/>
    <n v="10.885374459000001"/>
    <m/>
    <x v="13"/>
    <x v="0"/>
    <x v="0"/>
    <x v="3"/>
    <x v="2"/>
  </r>
  <r>
    <s v="Singapore"/>
    <x v="1"/>
    <s v="SG4"/>
    <m/>
    <x v="3"/>
    <x v="4"/>
    <x v="0"/>
    <x v="4"/>
    <x v="0"/>
    <x v="0"/>
    <x v="0"/>
    <m/>
    <x v="0"/>
    <x v="0"/>
    <n v="1.7051215500000001"/>
    <m/>
    <x v="13"/>
    <x v="0"/>
    <x v="0"/>
    <x v="0"/>
    <x v="0"/>
  </r>
  <r>
    <s v="Singapore"/>
    <x v="1"/>
    <s v="SG2"/>
    <m/>
    <x v="0"/>
    <x v="4"/>
    <x v="3"/>
    <x v="3"/>
    <x v="0"/>
    <x v="0"/>
    <x v="0"/>
    <m/>
    <x v="0"/>
    <x v="0"/>
    <n v="0.9196751070000001"/>
    <m/>
    <x v="13"/>
    <x v="1"/>
    <x v="0"/>
    <x v="4"/>
    <x v="1"/>
  </r>
  <r>
    <s v="Singapore"/>
    <x v="4"/>
    <s v="SG4"/>
    <m/>
    <x v="1"/>
    <x v="1"/>
    <x v="1"/>
    <x v="1"/>
    <x v="0"/>
    <x v="0"/>
    <x v="0"/>
    <m/>
    <x v="0"/>
    <x v="0"/>
    <n v="1.8150937110000001"/>
    <m/>
    <x v="13"/>
    <x v="1"/>
    <x v="0"/>
    <x v="3"/>
    <x v="0"/>
  </r>
  <r>
    <s v="Singapore"/>
    <x v="4"/>
    <s v="SG1"/>
    <m/>
    <x v="0"/>
    <x v="4"/>
    <x v="1"/>
    <x v="0"/>
    <x v="0"/>
    <x v="0"/>
    <x v="0"/>
    <m/>
    <x v="0"/>
    <x v="0"/>
    <n v="13.328021448000001"/>
    <m/>
    <x v="13"/>
    <x v="1"/>
    <x v="0"/>
    <x v="0"/>
    <x v="0"/>
  </r>
  <r>
    <s v="Singapore"/>
    <x v="5"/>
    <s v="SG4"/>
    <m/>
    <x v="1"/>
    <x v="0"/>
    <x v="3"/>
    <x v="5"/>
    <x v="0"/>
    <x v="0"/>
    <x v="0"/>
    <m/>
    <x v="0"/>
    <x v="0"/>
    <n v="11.042722359000001"/>
    <m/>
    <x v="13"/>
    <x v="3"/>
    <x v="0"/>
    <x v="0"/>
    <x v="2"/>
  </r>
  <r>
    <s v="Singapore"/>
    <x v="3"/>
    <s v="SG4"/>
    <m/>
    <x v="2"/>
    <x v="4"/>
    <x v="0"/>
    <x v="5"/>
    <x v="0"/>
    <x v="0"/>
    <x v="0"/>
    <m/>
    <x v="0"/>
    <x v="0"/>
    <n v="1.5941055960000001"/>
    <m/>
    <x v="13"/>
    <x v="0"/>
    <x v="0"/>
    <x v="2"/>
    <x v="0"/>
  </r>
  <r>
    <s v="Singapore"/>
    <x v="1"/>
    <s v="SG4"/>
    <m/>
    <x v="1"/>
    <x v="1"/>
    <x v="4"/>
    <x v="1"/>
    <x v="0"/>
    <x v="0"/>
    <x v="0"/>
    <m/>
    <x v="0"/>
    <x v="0"/>
    <n v="5.4579157020000002"/>
    <m/>
    <x v="13"/>
    <x v="0"/>
    <x v="0"/>
    <x v="0"/>
    <x v="2"/>
  </r>
  <r>
    <s v="Singapore"/>
    <x v="1"/>
    <s v="SG4"/>
    <m/>
    <x v="0"/>
    <x v="2"/>
    <x v="2"/>
    <x v="4"/>
    <x v="0"/>
    <x v="0"/>
    <x v="0"/>
    <m/>
    <x v="0"/>
    <x v="0"/>
    <n v="9.4097160000000003E-3"/>
    <m/>
    <x v="13"/>
    <x v="2"/>
    <x v="0"/>
    <x v="2"/>
    <x v="1"/>
  </r>
  <r>
    <s v="Singapore"/>
    <x v="5"/>
    <s v="SG1"/>
    <m/>
    <x v="0"/>
    <x v="2"/>
    <x v="2"/>
    <x v="3"/>
    <x v="0"/>
    <x v="0"/>
    <x v="0"/>
    <m/>
    <x v="0"/>
    <x v="0"/>
    <n v="1.8150937110000001"/>
    <m/>
    <x v="13"/>
    <x v="1"/>
    <x v="0"/>
    <x v="2"/>
    <x v="2"/>
  </r>
  <r>
    <s v="Singapore"/>
    <x v="4"/>
    <s v="SG4"/>
    <m/>
    <x v="3"/>
    <x v="2"/>
    <x v="3"/>
    <x v="2"/>
    <x v="0"/>
    <x v="0"/>
    <x v="0"/>
    <m/>
    <x v="0"/>
    <x v="0"/>
    <n v="18.148974156000001"/>
    <m/>
    <x v="13"/>
    <x v="2"/>
    <x v="0"/>
    <x v="1"/>
    <x v="0"/>
  </r>
  <r>
    <s v="Singapore"/>
    <x v="4"/>
    <s v="SG3"/>
    <m/>
    <x v="5"/>
    <x v="3"/>
    <x v="3"/>
    <x v="5"/>
    <x v="0"/>
    <x v="0"/>
    <x v="0"/>
    <m/>
    <x v="0"/>
    <x v="0"/>
    <n v="5.8828173480000006"/>
    <m/>
    <x v="13"/>
    <x v="2"/>
    <x v="0"/>
    <x v="0"/>
    <x v="0"/>
  </r>
  <r>
    <s v="Singapore"/>
    <x v="0"/>
    <s v="SG1"/>
    <m/>
    <x v="3"/>
    <x v="0"/>
    <x v="2"/>
    <x v="4"/>
    <x v="0"/>
    <x v="0"/>
    <x v="0"/>
    <m/>
    <x v="0"/>
    <x v="0"/>
    <n v="37.030208049000002"/>
    <m/>
    <x v="13"/>
    <x v="2"/>
    <x v="0"/>
    <x v="5"/>
    <x v="1"/>
  </r>
  <r>
    <s v="Singapore"/>
    <x v="0"/>
    <s v="SG4"/>
    <m/>
    <x v="4"/>
    <x v="2"/>
    <x v="2"/>
    <x v="1"/>
    <x v="0"/>
    <x v="0"/>
    <x v="0"/>
    <m/>
    <x v="0"/>
    <x v="0"/>
    <n v="7.6161368880000007"/>
    <m/>
    <x v="13"/>
    <x v="0"/>
    <x v="0"/>
    <x v="3"/>
    <x v="1"/>
  </r>
  <r>
    <s v="Singapore"/>
    <x v="0"/>
    <s v="SG1"/>
    <m/>
    <x v="3"/>
    <x v="3"/>
    <x v="4"/>
    <x v="5"/>
    <x v="0"/>
    <x v="0"/>
    <x v="0"/>
    <m/>
    <x v="0"/>
    <x v="0"/>
    <n v="8.1197748E-2"/>
    <m/>
    <x v="13"/>
    <x v="1"/>
    <x v="0"/>
    <x v="3"/>
    <x v="0"/>
  </r>
  <r>
    <s v="Singapore"/>
    <x v="5"/>
    <s v="SG2"/>
    <m/>
    <x v="4"/>
    <x v="0"/>
    <x v="1"/>
    <x v="4"/>
    <x v="0"/>
    <x v="0"/>
    <x v="0"/>
    <m/>
    <x v="0"/>
    <x v="0"/>
    <n v="2.6847913860000001"/>
    <m/>
    <x v="13"/>
    <x v="0"/>
    <x v="0"/>
    <x v="3"/>
    <x v="2"/>
  </r>
  <r>
    <s v="Singapore"/>
    <x v="1"/>
    <s v="SG3"/>
    <m/>
    <x v="2"/>
    <x v="4"/>
    <x v="3"/>
    <x v="5"/>
    <x v="0"/>
    <x v="0"/>
    <x v="0"/>
    <m/>
    <x v="0"/>
    <x v="0"/>
    <n v="10.183633983000002"/>
    <m/>
    <x v="13"/>
    <x v="1"/>
    <x v="0"/>
    <x v="1"/>
    <x v="1"/>
  </r>
  <r>
    <s v="Singapore"/>
    <x v="3"/>
    <s v="SG4"/>
    <m/>
    <x v="5"/>
    <x v="0"/>
    <x v="1"/>
    <x v="5"/>
    <x v="0"/>
    <x v="0"/>
    <x v="0"/>
    <m/>
    <x v="0"/>
    <x v="0"/>
    <n v="0.48277763099999998"/>
    <m/>
    <x v="13"/>
    <x v="1"/>
    <x v="0"/>
    <x v="1"/>
    <x v="2"/>
  </r>
  <r>
    <s v="Singapore"/>
    <x v="5"/>
    <s v="SG2"/>
    <m/>
    <x v="1"/>
    <x v="2"/>
    <x v="0"/>
    <x v="1"/>
    <x v="0"/>
    <x v="0"/>
    <x v="0"/>
    <m/>
    <x v="0"/>
    <x v="0"/>
    <n v="0.55582756199999994"/>
    <m/>
    <x v="17"/>
    <x v="1"/>
    <x v="0"/>
    <x v="5"/>
    <x v="0"/>
  </r>
  <r>
    <s v="Singapore"/>
    <x v="5"/>
    <s v="SG3"/>
    <m/>
    <x v="2"/>
    <x v="1"/>
    <x v="4"/>
    <x v="4"/>
    <x v="0"/>
    <x v="0"/>
    <x v="0"/>
    <m/>
    <x v="0"/>
    <x v="0"/>
    <n v="0.106108569"/>
    <m/>
    <x v="17"/>
    <x v="1"/>
    <x v="0"/>
    <x v="2"/>
    <x v="2"/>
  </r>
  <r>
    <s v="Singapore"/>
    <x v="3"/>
    <s v="SG2"/>
    <m/>
    <x v="2"/>
    <x v="2"/>
    <x v="1"/>
    <x v="3"/>
    <x v="0"/>
    <x v="0"/>
    <x v="0"/>
    <m/>
    <x v="0"/>
    <x v="0"/>
    <n v="1.8866168999999999E-2"/>
    <m/>
    <x v="17"/>
    <x v="1"/>
    <x v="0"/>
    <x v="1"/>
    <x v="1"/>
  </r>
  <r>
    <s v="Singapore"/>
    <x v="1"/>
    <s v="SG4"/>
    <m/>
    <x v="0"/>
    <x v="3"/>
    <x v="3"/>
    <x v="1"/>
    <x v="0"/>
    <x v="0"/>
    <x v="0"/>
    <m/>
    <x v="0"/>
    <x v="0"/>
    <n v="2.1218597999999998E-2"/>
    <m/>
    <x v="17"/>
    <x v="2"/>
    <x v="0"/>
    <x v="2"/>
    <x v="1"/>
  </r>
  <r>
    <s v="Singapore"/>
    <x v="3"/>
    <s v="SG2"/>
    <m/>
    <x v="5"/>
    <x v="2"/>
    <x v="4"/>
    <x v="3"/>
    <x v="0"/>
    <x v="0"/>
    <x v="0"/>
    <m/>
    <x v="0"/>
    <x v="0"/>
    <n v="2.1218597999999998E-2"/>
    <m/>
    <x v="17"/>
    <x v="1"/>
    <x v="0"/>
    <x v="1"/>
    <x v="1"/>
  </r>
  <r>
    <s v="Singapore"/>
    <x v="3"/>
    <s v="SG2"/>
    <m/>
    <x v="4"/>
    <x v="2"/>
    <x v="2"/>
    <x v="5"/>
    <x v="0"/>
    <x v="0"/>
    <x v="0"/>
    <m/>
    <x v="0"/>
    <x v="0"/>
    <n v="5.9200200000000001E-2"/>
    <m/>
    <x v="17"/>
    <x v="1"/>
    <x v="0"/>
    <x v="0"/>
    <x v="1"/>
  </r>
  <r>
    <s v="Singapore"/>
    <x v="4"/>
    <s v="SG3"/>
    <m/>
    <x v="0"/>
    <x v="2"/>
    <x v="2"/>
    <x v="3"/>
    <x v="0"/>
    <x v="0"/>
    <x v="0"/>
    <m/>
    <x v="0"/>
    <x v="0"/>
    <n v="3.4125332129999997"/>
    <m/>
    <x v="17"/>
    <x v="1"/>
    <x v="0"/>
    <x v="5"/>
    <x v="1"/>
  </r>
  <r>
    <s v="Singapore"/>
    <x v="2"/>
    <s v="SG1"/>
    <m/>
    <x v="1"/>
    <x v="1"/>
    <x v="1"/>
    <x v="4"/>
    <x v="0"/>
    <x v="0"/>
    <x v="0"/>
    <m/>
    <x v="0"/>
    <x v="0"/>
    <n v="0.28497106799999999"/>
    <m/>
    <x v="17"/>
    <x v="1"/>
    <x v="0"/>
    <x v="3"/>
    <x v="2"/>
  </r>
  <r>
    <s v="Singapore"/>
    <x v="0"/>
    <s v="SG4"/>
    <m/>
    <x v="1"/>
    <x v="4"/>
    <x v="1"/>
    <x v="3"/>
    <x v="0"/>
    <x v="0"/>
    <x v="0"/>
    <m/>
    <x v="0"/>
    <x v="0"/>
    <n v="0.28406748600000004"/>
    <m/>
    <x v="17"/>
    <x v="2"/>
    <x v="0"/>
    <x v="4"/>
    <x v="1"/>
  </r>
  <r>
    <s v="Singapore"/>
    <x v="3"/>
    <s v="SG1"/>
    <m/>
    <x v="5"/>
    <x v="4"/>
    <x v="1"/>
    <x v="1"/>
    <x v="0"/>
    <x v="0"/>
    <x v="0"/>
    <m/>
    <x v="0"/>
    <x v="0"/>
    <n v="0.38477014199999998"/>
    <m/>
    <x v="17"/>
    <x v="2"/>
    <x v="0"/>
    <x v="1"/>
    <x v="1"/>
  </r>
  <r>
    <s v="Singapore"/>
    <x v="0"/>
    <s v="SG2"/>
    <m/>
    <x v="5"/>
    <x v="4"/>
    <x v="0"/>
    <x v="1"/>
    <x v="0"/>
    <x v="0"/>
    <x v="0"/>
    <m/>
    <x v="0"/>
    <x v="0"/>
    <n v="5.9200199999999998E-3"/>
    <m/>
    <x v="17"/>
    <x v="3"/>
    <x v="0"/>
    <x v="1"/>
    <x v="1"/>
  </r>
  <r>
    <s v="Singapore"/>
    <x v="4"/>
    <s v="SG4"/>
    <m/>
    <x v="0"/>
    <x v="2"/>
    <x v="0"/>
    <x v="0"/>
    <x v="0"/>
    <x v="0"/>
    <x v="0"/>
    <m/>
    <x v="0"/>
    <x v="0"/>
    <n v="2.1218597999999998E-2"/>
    <m/>
    <x v="17"/>
    <x v="0"/>
    <x v="0"/>
    <x v="2"/>
    <x v="1"/>
  </r>
  <r>
    <s v="Singapore"/>
    <x v="4"/>
    <s v="SG4"/>
    <m/>
    <x v="3"/>
    <x v="1"/>
    <x v="4"/>
    <x v="0"/>
    <x v="0"/>
    <x v="0"/>
    <x v="0"/>
    <m/>
    <x v="0"/>
    <x v="0"/>
    <n v="6.4808640000000001E-2"/>
    <m/>
    <x v="17"/>
    <x v="2"/>
    <x v="0"/>
    <x v="3"/>
    <x v="0"/>
  </r>
  <r>
    <s v="Singapore"/>
    <x v="5"/>
    <s v="SG2"/>
    <m/>
    <x v="3"/>
    <x v="0"/>
    <x v="0"/>
    <x v="4"/>
    <x v="0"/>
    <x v="0"/>
    <x v="0"/>
    <m/>
    <x v="0"/>
    <x v="0"/>
    <n v="1.5104619450000001"/>
    <m/>
    <x v="17"/>
    <x v="0"/>
    <x v="0"/>
    <x v="1"/>
    <x v="0"/>
  </r>
  <r>
    <s v="Singapore"/>
    <x v="3"/>
    <s v="SG2"/>
    <m/>
    <x v="3"/>
    <x v="4"/>
    <x v="3"/>
    <x v="2"/>
    <x v="0"/>
    <x v="0"/>
    <x v="0"/>
    <m/>
    <x v="0"/>
    <x v="0"/>
    <n v="13.643028828"/>
    <m/>
    <x v="17"/>
    <x v="0"/>
    <x v="0"/>
    <x v="2"/>
    <x v="2"/>
  </r>
  <r>
    <s v="Singapore"/>
    <x v="2"/>
    <s v="SG4"/>
    <m/>
    <x v="2"/>
    <x v="1"/>
    <x v="0"/>
    <x v="4"/>
    <x v="0"/>
    <x v="0"/>
    <x v="0"/>
    <m/>
    <x v="0"/>
    <x v="0"/>
    <n v="0.121235778"/>
    <m/>
    <x v="17"/>
    <x v="3"/>
    <x v="0"/>
    <x v="0"/>
    <x v="2"/>
  </r>
  <r>
    <s v="Singapore"/>
    <x v="5"/>
    <s v="SG2"/>
    <m/>
    <x v="2"/>
    <x v="2"/>
    <x v="3"/>
    <x v="1"/>
    <x v="0"/>
    <x v="0"/>
    <x v="0"/>
    <m/>
    <x v="0"/>
    <x v="0"/>
    <n v="4.6721420999999999E-2"/>
    <m/>
    <x v="17"/>
    <x v="0"/>
    <x v="0"/>
    <x v="3"/>
    <x v="1"/>
  </r>
  <r>
    <s v="Singapore"/>
    <x v="5"/>
    <s v="SG3"/>
    <m/>
    <x v="2"/>
    <x v="0"/>
    <x v="4"/>
    <x v="5"/>
    <x v="0"/>
    <x v="0"/>
    <x v="0"/>
    <m/>
    <x v="0"/>
    <x v="0"/>
    <n v="0.14818744800000003"/>
    <m/>
    <x v="17"/>
    <x v="3"/>
    <x v="0"/>
    <x v="1"/>
    <x v="2"/>
  </r>
  <r>
    <s v="Singapore"/>
    <x v="3"/>
    <s v="SG1"/>
    <m/>
    <x v="2"/>
    <x v="4"/>
    <x v="4"/>
    <x v="4"/>
    <x v="0"/>
    <x v="0"/>
    <x v="0"/>
    <m/>
    <x v="0"/>
    <x v="0"/>
    <n v="0.106108569"/>
    <m/>
    <x v="17"/>
    <x v="2"/>
    <x v="0"/>
    <x v="0"/>
    <x v="1"/>
  </r>
  <r>
    <s v="Singapore"/>
    <x v="5"/>
    <s v="SG2"/>
    <m/>
    <x v="0"/>
    <x v="0"/>
    <x v="0"/>
    <x v="0"/>
    <x v="0"/>
    <x v="0"/>
    <x v="0"/>
    <m/>
    <x v="0"/>
    <x v="0"/>
    <n v="10.013807304"/>
    <m/>
    <x v="17"/>
    <x v="3"/>
    <x v="0"/>
    <x v="0"/>
    <x v="1"/>
  </r>
  <r>
    <s v="Singapore"/>
    <x v="2"/>
    <s v="SG1"/>
    <m/>
    <x v="2"/>
    <x v="4"/>
    <x v="0"/>
    <x v="0"/>
    <x v="0"/>
    <x v="0"/>
    <x v="0"/>
    <m/>
    <x v="0"/>
    <x v="0"/>
    <n v="5.9200199999999998E-3"/>
    <m/>
    <x v="17"/>
    <x v="0"/>
    <x v="0"/>
    <x v="2"/>
    <x v="2"/>
  </r>
  <r>
    <s v="Singapore"/>
    <x v="4"/>
    <s v="SG4"/>
    <m/>
    <x v="1"/>
    <x v="2"/>
    <x v="4"/>
    <x v="1"/>
    <x v="0"/>
    <x v="0"/>
    <x v="0"/>
    <m/>
    <x v="0"/>
    <x v="0"/>
    <n v="0.89582365799999997"/>
    <m/>
    <x v="17"/>
    <x v="0"/>
    <x v="0"/>
    <x v="4"/>
    <x v="0"/>
  </r>
  <r>
    <s v="Singapore"/>
    <x v="5"/>
    <s v="SG4"/>
    <m/>
    <x v="2"/>
    <x v="1"/>
    <x v="3"/>
    <x v="4"/>
    <x v="0"/>
    <x v="0"/>
    <x v="0"/>
    <m/>
    <x v="0"/>
    <x v="0"/>
    <n v="9.4689162000000007E-2"/>
    <m/>
    <x v="17"/>
    <x v="0"/>
    <x v="0"/>
    <x v="4"/>
    <x v="0"/>
  </r>
  <r>
    <s v="Singapore"/>
    <x v="5"/>
    <s v="SG3"/>
    <m/>
    <x v="5"/>
    <x v="1"/>
    <x v="1"/>
    <x v="2"/>
    <x v="0"/>
    <x v="0"/>
    <x v="0"/>
    <m/>
    <x v="0"/>
    <x v="0"/>
    <n v="0.30939894000000001"/>
    <m/>
    <x v="17"/>
    <x v="1"/>
    <x v="0"/>
    <x v="2"/>
    <x v="2"/>
  </r>
  <r>
    <s v="Singapore"/>
    <x v="5"/>
    <s v="SG2"/>
    <m/>
    <x v="3"/>
    <x v="1"/>
    <x v="2"/>
    <x v="2"/>
    <x v="0"/>
    <x v="0"/>
    <x v="0"/>
    <m/>
    <x v="0"/>
    <x v="0"/>
    <n v="11.375785800000001"/>
    <m/>
    <x v="17"/>
    <x v="2"/>
    <x v="0"/>
    <x v="4"/>
    <x v="1"/>
  </r>
  <r>
    <s v="Singapore"/>
    <x v="4"/>
    <s v="SG4"/>
    <m/>
    <x v="1"/>
    <x v="3"/>
    <x v="2"/>
    <x v="0"/>
    <x v="0"/>
    <x v="0"/>
    <x v="0"/>
    <m/>
    <x v="0"/>
    <x v="0"/>
    <n v="0.27783588600000003"/>
    <m/>
    <x v="17"/>
    <x v="3"/>
    <x v="0"/>
    <x v="0"/>
    <x v="2"/>
  </r>
  <r>
    <s v="Singapore"/>
    <x v="1"/>
    <s v="SG3"/>
    <m/>
    <x v="0"/>
    <x v="2"/>
    <x v="4"/>
    <x v="1"/>
    <x v="0"/>
    <x v="0"/>
    <x v="0"/>
    <m/>
    <x v="0"/>
    <x v="0"/>
    <n v="0.37875664800000003"/>
    <m/>
    <x v="17"/>
    <x v="0"/>
    <x v="0"/>
    <x v="5"/>
    <x v="0"/>
  </r>
  <r>
    <s v="Singapore"/>
    <x v="0"/>
    <s v="SG3"/>
    <m/>
    <x v="4"/>
    <x v="0"/>
    <x v="4"/>
    <x v="5"/>
    <x v="0"/>
    <x v="0"/>
    <x v="0"/>
    <m/>
    <x v="0"/>
    <x v="0"/>
    <n v="2.9085993000000004E-2"/>
    <m/>
    <x v="17"/>
    <x v="3"/>
    <x v="0"/>
    <x v="3"/>
    <x v="1"/>
  </r>
  <r>
    <s v="Singapore"/>
    <x v="5"/>
    <s v="SG3"/>
    <m/>
    <x v="0"/>
    <x v="2"/>
    <x v="0"/>
    <x v="0"/>
    <x v="0"/>
    <x v="0"/>
    <x v="0"/>
    <m/>
    <x v="0"/>
    <x v="0"/>
    <n v="8.8800299999999999E-2"/>
    <m/>
    <x v="17"/>
    <x v="2"/>
    <x v="0"/>
    <x v="2"/>
    <x v="1"/>
  </r>
  <r>
    <s v="Singapore"/>
    <x v="1"/>
    <s v="SG2"/>
    <m/>
    <x v="2"/>
    <x v="2"/>
    <x v="4"/>
    <x v="3"/>
    <x v="0"/>
    <x v="0"/>
    <x v="0"/>
    <m/>
    <x v="0"/>
    <x v="0"/>
    <n v="2.8712097000000002E-2"/>
    <m/>
    <x v="17"/>
    <x v="0"/>
    <x v="0"/>
    <x v="1"/>
    <x v="0"/>
  </r>
  <r>
    <s v="Singapore"/>
    <x v="2"/>
    <s v="SG4"/>
    <m/>
    <x v="5"/>
    <x v="0"/>
    <x v="0"/>
    <x v="0"/>
    <x v="0"/>
    <x v="0"/>
    <x v="0"/>
    <m/>
    <x v="0"/>
    <x v="0"/>
    <n v="0.74350777500000009"/>
    <m/>
    <x v="17"/>
    <x v="0"/>
    <x v="0"/>
    <x v="3"/>
    <x v="2"/>
  </r>
  <r>
    <s v="Singapore"/>
    <x v="0"/>
    <s v="SG2"/>
    <m/>
    <x v="0"/>
    <x v="3"/>
    <x v="4"/>
    <x v="5"/>
    <x v="0"/>
    <x v="0"/>
    <x v="0"/>
    <m/>
    <x v="0"/>
    <x v="0"/>
    <n v="0.53876855700000004"/>
    <m/>
    <x v="17"/>
    <x v="0"/>
    <x v="0"/>
    <x v="1"/>
    <x v="1"/>
  </r>
  <r>
    <s v="Singapore"/>
    <x v="2"/>
    <s v="SG1"/>
    <m/>
    <x v="4"/>
    <x v="4"/>
    <x v="3"/>
    <x v="4"/>
    <x v="0"/>
    <x v="0"/>
    <x v="0"/>
    <m/>
    <x v="0"/>
    <x v="0"/>
    <n v="20.855622879000002"/>
    <m/>
    <x v="17"/>
    <x v="0"/>
    <x v="0"/>
    <x v="5"/>
    <x v="2"/>
  </r>
  <r>
    <s v="Singapore"/>
    <x v="3"/>
    <s v="SG1"/>
    <m/>
    <x v="1"/>
    <x v="4"/>
    <x v="1"/>
    <x v="0"/>
    <x v="0"/>
    <x v="0"/>
    <x v="0"/>
    <m/>
    <x v="0"/>
    <x v="0"/>
    <n v="22.209406821000002"/>
    <m/>
    <x v="17"/>
    <x v="0"/>
    <x v="0"/>
    <x v="0"/>
    <x v="0"/>
  </r>
  <r>
    <s v="Singapore"/>
    <x v="1"/>
    <s v="SG3"/>
    <m/>
    <x v="2"/>
    <x v="1"/>
    <x v="0"/>
    <x v="3"/>
    <x v="0"/>
    <x v="0"/>
    <x v="0"/>
    <m/>
    <x v="0"/>
    <x v="0"/>
    <n v="5.9044410000000007E-3"/>
    <m/>
    <x v="17"/>
    <x v="0"/>
    <x v="0"/>
    <x v="2"/>
    <x v="2"/>
  </r>
  <r>
    <s v="Singapore"/>
    <x v="2"/>
    <s v="SG1"/>
    <m/>
    <x v="2"/>
    <x v="1"/>
    <x v="0"/>
    <x v="3"/>
    <x v="0"/>
    <x v="0"/>
    <x v="0"/>
    <m/>
    <x v="0"/>
    <x v="0"/>
    <n v="0.14141058300000001"/>
    <m/>
    <x v="17"/>
    <x v="2"/>
    <x v="0"/>
    <x v="2"/>
    <x v="1"/>
  </r>
  <r>
    <s v="Singapore"/>
    <x v="4"/>
    <s v="SG2"/>
    <m/>
    <x v="2"/>
    <x v="2"/>
    <x v="4"/>
    <x v="0"/>
    <x v="0"/>
    <x v="0"/>
    <x v="0"/>
    <m/>
    <x v="0"/>
    <x v="0"/>
    <n v="1.8051387300000001"/>
    <m/>
    <x v="17"/>
    <x v="1"/>
    <x v="0"/>
    <x v="0"/>
    <x v="0"/>
  </r>
  <r>
    <s v="Singapore"/>
    <x v="3"/>
    <s v="SG1"/>
    <m/>
    <x v="1"/>
    <x v="3"/>
    <x v="2"/>
    <x v="2"/>
    <x v="0"/>
    <x v="0"/>
    <x v="0"/>
    <m/>
    <x v="0"/>
    <x v="0"/>
    <n v="0.146551653"/>
    <m/>
    <x v="17"/>
    <x v="3"/>
    <x v="0"/>
    <x v="1"/>
    <x v="2"/>
  </r>
  <r>
    <s v="Singapore"/>
    <x v="4"/>
    <s v="SG1"/>
    <m/>
    <x v="5"/>
    <x v="1"/>
    <x v="1"/>
    <x v="0"/>
    <x v="0"/>
    <x v="0"/>
    <x v="0"/>
    <m/>
    <x v="0"/>
    <x v="0"/>
    <n v="2.0341344510000003"/>
    <m/>
    <x v="17"/>
    <x v="0"/>
    <x v="0"/>
    <x v="2"/>
    <x v="2"/>
  </r>
  <r>
    <s v="Singapore"/>
    <x v="2"/>
    <s v="SG4"/>
    <m/>
    <x v="2"/>
    <x v="1"/>
    <x v="0"/>
    <x v="4"/>
    <x v="0"/>
    <x v="0"/>
    <x v="0"/>
    <m/>
    <x v="0"/>
    <x v="0"/>
    <n v="9.3131262000000006E-2"/>
    <m/>
    <x v="17"/>
    <x v="0"/>
    <x v="0"/>
    <x v="4"/>
    <x v="1"/>
  </r>
  <r>
    <s v="Singapore"/>
    <x v="4"/>
    <s v="SG4"/>
    <m/>
    <x v="3"/>
    <x v="0"/>
    <x v="3"/>
    <x v="4"/>
    <x v="0"/>
    <x v="0"/>
    <x v="0"/>
    <m/>
    <x v="0"/>
    <x v="0"/>
    <n v="7.3283615999999996E-2"/>
    <m/>
    <x v="17"/>
    <x v="1"/>
    <x v="0"/>
    <x v="2"/>
    <x v="2"/>
  </r>
  <r>
    <s v="Singapore"/>
    <x v="0"/>
    <s v="SG2"/>
    <m/>
    <x v="5"/>
    <x v="3"/>
    <x v="1"/>
    <x v="2"/>
    <x v="0"/>
    <x v="0"/>
    <x v="0"/>
    <m/>
    <x v="0"/>
    <x v="0"/>
    <n v="18.011676429000001"/>
    <m/>
    <x v="17"/>
    <x v="0"/>
    <x v="0"/>
    <x v="2"/>
    <x v="0"/>
  </r>
  <r>
    <s v="Singapore"/>
    <x v="0"/>
    <s v="SG3"/>
    <m/>
    <x v="2"/>
    <x v="2"/>
    <x v="3"/>
    <x v="3"/>
    <x v="0"/>
    <x v="0"/>
    <x v="0"/>
    <m/>
    <x v="0"/>
    <x v="0"/>
    <n v="13.650117273000001"/>
    <m/>
    <x v="17"/>
    <x v="0"/>
    <x v="0"/>
    <x v="0"/>
    <x v="1"/>
  </r>
  <r>
    <s v="Singapore"/>
    <x v="3"/>
    <s v="SG4"/>
    <m/>
    <x v="5"/>
    <x v="4"/>
    <x v="0"/>
    <x v="4"/>
    <x v="0"/>
    <x v="0"/>
    <x v="0"/>
    <m/>
    <x v="0"/>
    <x v="0"/>
    <n v="0.55582756199999994"/>
    <m/>
    <x v="17"/>
    <x v="3"/>
    <x v="0"/>
    <x v="5"/>
    <x v="1"/>
  </r>
  <r>
    <s v="Singapore"/>
    <x v="4"/>
    <s v="SG2"/>
    <m/>
    <x v="0"/>
    <x v="3"/>
    <x v="0"/>
    <x v="0"/>
    <x v="0"/>
    <x v="0"/>
    <x v="0"/>
    <m/>
    <x v="0"/>
    <x v="0"/>
    <n v="0.12432042"/>
    <m/>
    <x v="17"/>
    <x v="0"/>
    <x v="0"/>
    <x v="0"/>
    <x v="2"/>
  </r>
  <r>
    <s v="Singapore"/>
    <x v="5"/>
    <s v="SG2"/>
    <m/>
    <x v="4"/>
    <x v="4"/>
    <x v="0"/>
    <x v="0"/>
    <x v="0"/>
    <x v="0"/>
    <x v="0"/>
    <m/>
    <x v="0"/>
    <x v="0"/>
    <n v="19.986563943"/>
    <m/>
    <x v="17"/>
    <x v="3"/>
    <x v="0"/>
    <x v="2"/>
    <x v="1"/>
  </r>
  <r>
    <s v="Singapore"/>
    <x v="5"/>
    <s v="SG1"/>
    <m/>
    <x v="5"/>
    <x v="2"/>
    <x v="2"/>
    <x v="1"/>
    <x v="0"/>
    <x v="0"/>
    <x v="0"/>
    <m/>
    <x v="0"/>
    <x v="0"/>
    <n v="0.50348212200000009"/>
    <m/>
    <x v="17"/>
    <x v="1"/>
    <x v="0"/>
    <x v="0"/>
    <x v="0"/>
  </r>
  <r>
    <s v="Singapore"/>
    <x v="1"/>
    <s v="SG3"/>
    <m/>
    <x v="3"/>
    <x v="0"/>
    <x v="2"/>
    <x v="3"/>
    <x v="0"/>
    <x v="0"/>
    <x v="0"/>
    <m/>
    <x v="0"/>
    <x v="0"/>
    <n v="0.55582756199999994"/>
    <m/>
    <x v="17"/>
    <x v="2"/>
    <x v="0"/>
    <x v="0"/>
    <x v="0"/>
  </r>
  <r>
    <s v="Singapore"/>
    <x v="2"/>
    <s v="SG4"/>
    <m/>
    <x v="1"/>
    <x v="3"/>
    <x v="1"/>
    <x v="1"/>
    <x v="0"/>
    <x v="0"/>
    <x v="0"/>
    <m/>
    <x v="0"/>
    <x v="0"/>
    <n v="6.3398117340000004"/>
    <m/>
    <x v="17"/>
    <x v="2"/>
    <x v="0"/>
    <x v="5"/>
    <x v="1"/>
  </r>
  <r>
    <s v="Singapore"/>
    <x v="4"/>
    <s v="SG2"/>
    <m/>
    <x v="3"/>
    <x v="3"/>
    <x v="4"/>
    <x v="5"/>
    <x v="0"/>
    <x v="0"/>
    <x v="0"/>
    <m/>
    <x v="0"/>
    <x v="0"/>
    <n v="0.55582756199999994"/>
    <m/>
    <x v="17"/>
    <x v="0"/>
    <x v="0"/>
    <x v="2"/>
    <x v="0"/>
  </r>
  <r>
    <s v="Singapore"/>
    <x v="2"/>
    <s v="SG2"/>
    <m/>
    <x v="1"/>
    <x v="4"/>
    <x v="2"/>
    <x v="0"/>
    <x v="0"/>
    <x v="0"/>
    <x v="0"/>
    <m/>
    <x v="0"/>
    <x v="0"/>
    <n v="0.76399415999999998"/>
    <m/>
    <x v="17"/>
    <x v="1"/>
    <x v="0"/>
    <x v="3"/>
    <x v="1"/>
  </r>
  <r>
    <s v="Singapore"/>
    <x v="5"/>
    <s v="SG4"/>
    <m/>
    <x v="1"/>
    <x v="3"/>
    <x v="4"/>
    <x v="4"/>
    <x v="0"/>
    <x v="0"/>
    <x v="0"/>
    <m/>
    <x v="0"/>
    <x v="0"/>
    <n v="2.9085993000000004E-2"/>
    <m/>
    <x v="17"/>
    <x v="3"/>
    <x v="0"/>
    <x v="2"/>
    <x v="1"/>
  </r>
  <r>
    <s v="Singapore"/>
    <x v="4"/>
    <s v="SG3"/>
    <m/>
    <x v="2"/>
    <x v="1"/>
    <x v="4"/>
    <x v="4"/>
    <x v="0"/>
    <x v="0"/>
    <x v="0"/>
    <m/>
    <x v="0"/>
    <x v="0"/>
    <n v="1.7760060000000001E-2"/>
    <m/>
    <x v="17"/>
    <x v="3"/>
    <x v="0"/>
    <x v="2"/>
    <x v="2"/>
  </r>
  <r>
    <s v="Singapore"/>
    <x v="1"/>
    <s v="SG1"/>
    <m/>
    <x v="3"/>
    <x v="2"/>
    <x v="3"/>
    <x v="1"/>
    <x v="0"/>
    <x v="0"/>
    <x v="0"/>
    <m/>
    <x v="0"/>
    <x v="0"/>
    <n v="38.867283729"/>
    <m/>
    <x v="17"/>
    <x v="3"/>
    <x v="0"/>
    <x v="4"/>
    <x v="0"/>
  </r>
  <r>
    <s v="Singapore"/>
    <x v="4"/>
    <s v="SG4"/>
    <m/>
    <x v="3"/>
    <x v="1"/>
    <x v="4"/>
    <x v="0"/>
    <x v="0"/>
    <x v="0"/>
    <x v="0"/>
    <m/>
    <x v="0"/>
    <x v="0"/>
    <n v="4.73991075"/>
    <m/>
    <x v="17"/>
    <x v="2"/>
    <x v="0"/>
    <x v="4"/>
    <x v="2"/>
  </r>
  <r>
    <s v="Singapore"/>
    <x v="5"/>
    <s v="SG3"/>
    <m/>
    <x v="5"/>
    <x v="4"/>
    <x v="4"/>
    <x v="3"/>
    <x v="0"/>
    <x v="0"/>
    <x v="0"/>
    <m/>
    <x v="0"/>
    <x v="0"/>
    <n v="0.55582756199999994"/>
    <m/>
    <x v="17"/>
    <x v="0"/>
    <x v="0"/>
    <x v="1"/>
    <x v="2"/>
  </r>
  <r>
    <s v="Singapore"/>
    <x v="3"/>
    <s v="SG2"/>
    <m/>
    <x v="0"/>
    <x v="4"/>
    <x v="4"/>
    <x v="4"/>
    <x v="0"/>
    <x v="0"/>
    <x v="0"/>
    <m/>
    <x v="0"/>
    <x v="0"/>
    <n v="0.186278103"/>
    <m/>
    <x v="17"/>
    <x v="3"/>
    <x v="0"/>
    <x v="4"/>
    <x v="2"/>
  </r>
  <r>
    <s v="Singapore"/>
    <x v="4"/>
    <s v="SG4"/>
    <m/>
    <x v="2"/>
    <x v="2"/>
    <x v="2"/>
    <x v="0"/>
    <x v="0"/>
    <x v="0"/>
    <x v="0"/>
    <m/>
    <x v="0"/>
    <x v="0"/>
    <n v="5.656734900000001E-2"/>
    <m/>
    <x v="17"/>
    <x v="1"/>
    <x v="0"/>
    <x v="2"/>
    <x v="2"/>
  </r>
  <r>
    <s v="Singapore"/>
    <x v="2"/>
    <s v="SG2"/>
    <m/>
    <x v="2"/>
    <x v="0"/>
    <x v="2"/>
    <x v="2"/>
    <x v="0"/>
    <x v="0"/>
    <x v="0"/>
    <m/>
    <x v="0"/>
    <x v="0"/>
    <n v="0.1184004"/>
    <m/>
    <x v="17"/>
    <x v="2"/>
    <x v="0"/>
    <x v="1"/>
    <x v="0"/>
  </r>
  <r>
    <s v="Singapore"/>
    <x v="4"/>
    <s v="SG3"/>
    <m/>
    <x v="2"/>
    <x v="4"/>
    <x v="1"/>
    <x v="4"/>
    <x v="0"/>
    <x v="0"/>
    <x v="0"/>
    <m/>
    <x v="0"/>
    <x v="0"/>
    <n v="0.21902516100000002"/>
    <m/>
    <x v="17"/>
    <x v="2"/>
    <x v="0"/>
    <x v="4"/>
    <x v="1"/>
  </r>
  <r>
    <s v="Singapore"/>
    <x v="3"/>
    <s v="SG4"/>
    <m/>
    <x v="0"/>
    <x v="2"/>
    <x v="2"/>
    <x v="1"/>
    <x v="0"/>
    <x v="0"/>
    <x v="0"/>
    <m/>
    <x v="0"/>
    <x v="0"/>
    <n v="3.0176523000000004E-2"/>
    <m/>
    <x v="17"/>
    <x v="3"/>
    <x v="0"/>
    <x v="4"/>
    <x v="1"/>
  </r>
  <r>
    <s v="Singapore"/>
    <x v="0"/>
    <s v="SG1"/>
    <m/>
    <x v="2"/>
    <x v="0"/>
    <x v="1"/>
    <x v="5"/>
    <x v="0"/>
    <x v="0"/>
    <x v="0"/>
    <m/>
    <x v="0"/>
    <x v="0"/>
    <n v="0.94798215000000008"/>
    <m/>
    <x v="17"/>
    <x v="0"/>
    <x v="0"/>
    <x v="5"/>
    <x v="1"/>
  </r>
  <r>
    <s v="Singapore"/>
    <x v="4"/>
    <s v="SG3"/>
    <m/>
    <x v="0"/>
    <x v="0"/>
    <x v="1"/>
    <x v="5"/>
    <x v="0"/>
    <x v="0"/>
    <x v="0"/>
    <m/>
    <x v="0"/>
    <x v="0"/>
    <n v="6.0337466999999999E-2"/>
    <m/>
    <x v="17"/>
    <x v="2"/>
    <x v="0"/>
    <x v="1"/>
    <x v="1"/>
  </r>
  <r>
    <s v="Singapore"/>
    <x v="5"/>
    <s v="SG3"/>
    <m/>
    <x v="5"/>
    <x v="0"/>
    <x v="1"/>
    <x v="1"/>
    <x v="0"/>
    <x v="0"/>
    <x v="0"/>
    <m/>
    <x v="0"/>
    <x v="0"/>
    <n v="3.0176523000000004E-2"/>
    <m/>
    <x v="17"/>
    <x v="3"/>
    <x v="0"/>
    <x v="0"/>
    <x v="2"/>
  </r>
  <r>
    <s v="Singapore"/>
    <x v="1"/>
    <s v="SG4"/>
    <m/>
    <x v="3"/>
    <x v="4"/>
    <x v="0"/>
    <x v="2"/>
    <x v="0"/>
    <x v="0"/>
    <x v="0"/>
    <m/>
    <x v="0"/>
    <x v="0"/>
    <n v="0.6154328160000001"/>
    <m/>
    <x v="17"/>
    <x v="2"/>
    <x v="0"/>
    <x v="4"/>
    <x v="0"/>
  </r>
  <r>
    <s v="Singapore"/>
    <x v="0"/>
    <s v="SG3"/>
    <m/>
    <x v="0"/>
    <x v="4"/>
    <x v="0"/>
    <x v="4"/>
    <x v="0"/>
    <x v="0"/>
    <x v="0"/>
    <m/>
    <x v="0"/>
    <x v="0"/>
    <n v="1.7230374000000003E-2"/>
    <m/>
    <x v="17"/>
    <x v="1"/>
    <x v="0"/>
    <x v="3"/>
    <x v="2"/>
  </r>
  <r>
    <s v="Singapore"/>
    <x v="5"/>
    <s v="SG1"/>
    <m/>
    <x v="2"/>
    <x v="2"/>
    <x v="3"/>
    <x v="2"/>
    <x v="0"/>
    <x v="0"/>
    <x v="0"/>
    <m/>
    <x v="0"/>
    <x v="0"/>
    <n v="4.6432742129999998"/>
    <m/>
    <x v="17"/>
    <x v="1"/>
    <x v="0"/>
    <x v="5"/>
    <x v="0"/>
  </r>
  <r>
    <s v="Singapore"/>
    <x v="3"/>
    <s v="SG4"/>
    <m/>
    <x v="5"/>
    <x v="2"/>
    <x v="3"/>
    <x v="5"/>
    <x v="0"/>
    <x v="0"/>
    <x v="0"/>
    <m/>
    <x v="0"/>
    <x v="0"/>
    <n v="4.7360159999999998E-2"/>
    <m/>
    <x v="17"/>
    <x v="1"/>
    <x v="0"/>
    <x v="3"/>
    <x v="1"/>
  </r>
  <r>
    <s v="Singapore"/>
    <x v="4"/>
    <s v="SG1"/>
    <m/>
    <x v="3"/>
    <x v="1"/>
    <x v="1"/>
    <x v="1"/>
    <x v="0"/>
    <x v="0"/>
    <x v="0"/>
    <m/>
    <x v="0"/>
    <x v="0"/>
    <n v="0.275888511"/>
    <m/>
    <x v="17"/>
    <x v="2"/>
    <x v="0"/>
    <x v="5"/>
    <x v="0"/>
  </r>
  <r>
    <s v="Singapore"/>
    <x v="1"/>
    <s v="SG4"/>
    <m/>
    <x v="4"/>
    <x v="0"/>
    <x v="1"/>
    <x v="1"/>
    <x v="0"/>
    <x v="0"/>
    <x v="0"/>
    <m/>
    <x v="0"/>
    <x v="0"/>
    <n v="1.7760060000000001E-2"/>
    <m/>
    <x v="17"/>
    <x v="1"/>
    <x v="0"/>
    <x v="5"/>
    <x v="1"/>
  </r>
  <r>
    <s v="Singapore"/>
    <x v="3"/>
    <s v="SG3"/>
    <m/>
    <x v="5"/>
    <x v="3"/>
    <x v="3"/>
    <x v="5"/>
    <x v="0"/>
    <x v="0"/>
    <x v="0"/>
    <m/>
    <x v="0"/>
    <x v="0"/>
    <n v="0.62350273800000011"/>
    <m/>
    <x v="17"/>
    <x v="3"/>
    <x v="0"/>
    <x v="0"/>
    <x v="1"/>
  </r>
  <r>
    <s v="Singapore"/>
    <x v="0"/>
    <s v="SG1"/>
    <m/>
    <x v="0"/>
    <x v="0"/>
    <x v="3"/>
    <x v="4"/>
    <x v="0"/>
    <x v="0"/>
    <x v="0"/>
    <m/>
    <x v="0"/>
    <x v="0"/>
    <n v="8.8800299999999999E-2"/>
    <m/>
    <x v="17"/>
    <x v="3"/>
    <x v="0"/>
    <x v="5"/>
    <x v="0"/>
  </r>
  <r>
    <s v="Singapore"/>
    <x v="4"/>
    <s v="SG1"/>
    <m/>
    <x v="0"/>
    <x v="2"/>
    <x v="1"/>
    <x v="0"/>
    <x v="0"/>
    <x v="0"/>
    <x v="0"/>
    <m/>
    <x v="0"/>
    <x v="0"/>
    <n v="2.4614820000000003E-2"/>
    <m/>
    <x v="17"/>
    <x v="3"/>
    <x v="0"/>
    <x v="4"/>
    <x v="0"/>
  </r>
  <r>
    <s v="Singapore"/>
    <x v="4"/>
    <s v="SG4"/>
    <m/>
    <x v="0"/>
    <x v="1"/>
    <x v="4"/>
    <x v="2"/>
    <x v="0"/>
    <x v="0"/>
    <x v="0"/>
    <m/>
    <x v="0"/>
    <x v="0"/>
    <n v="0.29955301200000001"/>
    <m/>
    <x v="17"/>
    <x v="1"/>
    <x v="0"/>
    <x v="0"/>
    <x v="0"/>
  </r>
  <r>
    <s v="Singapore"/>
    <x v="0"/>
    <s v="SG4"/>
    <m/>
    <x v="1"/>
    <x v="2"/>
    <x v="0"/>
    <x v="2"/>
    <x v="0"/>
    <x v="0"/>
    <x v="0"/>
    <m/>
    <x v="0"/>
    <x v="0"/>
    <n v="0.22750013700000002"/>
    <m/>
    <x v="17"/>
    <x v="0"/>
    <x v="0"/>
    <x v="1"/>
    <x v="1"/>
  </r>
  <r>
    <s v="Singapore"/>
    <x v="5"/>
    <s v="SG2"/>
    <m/>
    <x v="3"/>
    <x v="1"/>
    <x v="1"/>
    <x v="2"/>
    <x v="0"/>
    <x v="0"/>
    <x v="0"/>
    <m/>
    <x v="0"/>
    <x v="0"/>
    <n v="4.2655301999999999E-2"/>
    <m/>
    <x v="17"/>
    <x v="2"/>
    <x v="0"/>
    <x v="2"/>
    <x v="0"/>
  </r>
  <r>
    <s v="Singapore"/>
    <x v="5"/>
    <s v="SG4"/>
    <m/>
    <x v="3"/>
    <x v="2"/>
    <x v="0"/>
    <x v="3"/>
    <x v="0"/>
    <x v="0"/>
    <x v="0"/>
    <m/>
    <x v="0"/>
    <x v="0"/>
    <n v="0.19099853999999999"/>
    <m/>
    <x v="17"/>
    <x v="2"/>
    <x v="0"/>
    <x v="4"/>
    <x v="2"/>
  </r>
  <r>
    <s v="Singapore"/>
    <x v="4"/>
    <s v="SG4"/>
    <m/>
    <x v="1"/>
    <x v="4"/>
    <x v="3"/>
    <x v="3"/>
    <x v="0"/>
    <x v="0"/>
    <x v="0"/>
    <m/>
    <x v="0"/>
    <x v="0"/>
    <n v="0.27783588600000003"/>
    <m/>
    <x v="17"/>
    <x v="0"/>
    <x v="0"/>
    <x v="2"/>
    <x v="0"/>
  </r>
  <r>
    <s v="Singapore"/>
    <x v="1"/>
    <s v="SG4"/>
    <m/>
    <x v="5"/>
    <x v="4"/>
    <x v="3"/>
    <x v="2"/>
    <x v="0"/>
    <x v="0"/>
    <x v="0"/>
    <m/>
    <x v="0"/>
    <x v="0"/>
    <n v="0.75438191700000012"/>
    <m/>
    <x v="17"/>
    <x v="0"/>
    <x v="0"/>
    <x v="4"/>
    <x v="1"/>
  </r>
  <r>
    <s v="Singapore"/>
    <x v="0"/>
    <s v="SG2"/>
    <m/>
    <x v="1"/>
    <x v="2"/>
    <x v="2"/>
    <x v="0"/>
    <x v="0"/>
    <x v="0"/>
    <x v="0"/>
    <m/>
    <x v="0"/>
    <x v="0"/>
    <n v="0.97664751000000005"/>
    <m/>
    <x v="17"/>
    <x v="2"/>
    <x v="0"/>
    <x v="0"/>
    <x v="2"/>
  </r>
  <r>
    <s v="Singapore"/>
    <x v="2"/>
    <s v="SG1"/>
    <m/>
    <x v="0"/>
    <x v="1"/>
    <x v="1"/>
    <x v="4"/>
    <x v="0"/>
    <x v="0"/>
    <x v="0"/>
    <m/>
    <x v="0"/>
    <x v="0"/>
    <n v="6.0337466999999999E-2"/>
    <m/>
    <x v="17"/>
    <x v="0"/>
    <x v="0"/>
    <x v="0"/>
    <x v="2"/>
  </r>
  <r>
    <s v="Singapore"/>
    <x v="1"/>
    <s v="SG2"/>
    <m/>
    <x v="1"/>
    <x v="0"/>
    <x v="2"/>
    <x v="4"/>
    <x v="0"/>
    <x v="0"/>
    <x v="0"/>
    <m/>
    <x v="0"/>
    <x v="0"/>
    <n v="8.8426871370000004"/>
    <m/>
    <x v="17"/>
    <x v="1"/>
    <x v="0"/>
    <x v="3"/>
    <x v="2"/>
  </r>
  <r>
    <s v="Singapore"/>
    <x v="3"/>
    <s v="SG2"/>
    <m/>
    <x v="3"/>
    <x v="4"/>
    <x v="0"/>
    <x v="4"/>
    <x v="0"/>
    <x v="0"/>
    <x v="0"/>
    <m/>
    <x v="0"/>
    <x v="0"/>
    <n v="-3.2320193399999999"/>
    <m/>
    <x v="13"/>
    <x v="0"/>
    <x v="0"/>
    <x v="4"/>
    <x v="2"/>
  </r>
  <r>
    <s v="Singapore"/>
    <x v="0"/>
    <s v="SG3"/>
    <m/>
    <x v="3"/>
    <x v="2"/>
    <x v="1"/>
    <x v="4"/>
    <x v="0"/>
    <x v="0"/>
    <x v="0"/>
    <m/>
    <x v="0"/>
    <x v="0"/>
    <n v="-3.023915058"/>
    <m/>
    <x v="13"/>
    <x v="0"/>
    <x v="0"/>
    <x v="5"/>
    <x v="0"/>
  </r>
  <r>
    <s v="Singapore"/>
    <x v="3"/>
    <s v="SG3"/>
    <m/>
    <x v="2"/>
    <x v="2"/>
    <x v="3"/>
    <x v="1"/>
    <x v="0"/>
    <x v="0"/>
    <x v="0"/>
    <m/>
    <x v="0"/>
    <x v="0"/>
    <n v="-11.635456572000001"/>
    <m/>
    <x v="13"/>
    <x v="0"/>
    <x v="0"/>
    <x v="2"/>
    <x v="0"/>
  </r>
  <r>
    <s v="Singapore"/>
    <x v="0"/>
    <s v="SG1"/>
    <m/>
    <x v="3"/>
    <x v="2"/>
    <x v="3"/>
    <x v="2"/>
    <x v="0"/>
    <x v="0"/>
    <x v="0"/>
    <m/>
    <x v="0"/>
    <x v="0"/>
    <n v="-23.943848049"/>
    <m/>
    <x v="13"/>
    <x v="1"/>
    <x v="0"/>
    <x v="2"/>
    <x v="0"/>
  </r>
  <r>
    <s v="Singapore"/>
    <x v="2"/>
    <s v="SG1"/>
    <m/>
    <x v="4"/>
    <x v="1"/>
    <x v="3"/>
    <x v="4"/>
    <x v="0"/>
    <x v="0"/>
    <x v="0"/>
    <m/>
    <x v="0"/>
    <x v="0"/>
    <n v="0.1885059"/>
    <m/>
    <x v="13"/>
    <x v="3"/>
    <x v="0"/>
    <x v="2"/>
    <x v="0"/>
  </r>
  <r>
    <s v="Singapore"/>
    <x v="3"/>
    <s v="SG1"/>
    <m/>
    <x v="5"/>
    <x v="1"/>
    <x v="4"/>
    <x v="5"/>
    <x v="0"/>
    <x v="0"/>
    <x v="0"/>
    <m/>
    <x v="0"/>
    <x v="0"/>
    <n v="-5.6906192250000007"/>
    <m/>
    <x v="13"/>
    <x v="1"/>
    <x v="0"/>
    <x v="4"/>
    <x v="2"/>
  </r>
  <r>
    <s v="Singapore"/>
    <x v="1"/>
    <s v="SG2"/>
    <m/>
    <x v="0"/>
    <x v="2"/>
    <x v="1"/>
    <x v="5"/>
    <x v="0"/>
    <x v="0"/>
    <x v="0"/>
    <m/>
    <x v="0"/>
    <x v="0"/>
    <n v="-0.44789625000000005"/>
    <m/>
    <x v="13"/>
    <x v="1"/>
    <x v="0"/>
    <x v="2"/>
    <x v="0"/>
  </r>
  <r>
    <s v="Singapore"/>
    <x v="0"/>
    <s v="SG4"/>
    <m/>
    <x v="0"/>
    <x v="4"/>
    <x v="0"/>
    <x v="1"/>
    <x v="0"/>
    <x v="0"/>
    <x v="0"/>
    <m/>
    <x v="0"/>
    <x v="0"/>
    <n v="-2.1409129170000001"/>
    <m/>
    <x v="13"/>
    <x v="0"/>
    <x v="0"/>
    <x v="5"/>
    <x v="1"/>
  </r>
  <r>
    <s v="Singapore"/>
    <x v="3"/>
    <s v="SG3"/>
    <m/>
    <x v="3"/>
    <x v="0"/>
    <x v="0"/>
    <x v="4"/>
    <x v="0"/>
    <x v="0"/>
    <x v="0"/>
    <m/>
    <x v="0"/>
    <x v="0"/>
    <n v="-4.7887664940000008"/>
    <m/>
    <x v="13"/>
    <x v="0"/>
    <x v="0"/>
    <x v="1"/>
    <x v="1"/>
  </r>
  <r>
    <s v="Singapore"/>
    <x v="0"/>
    <s v="SG2"/>
    <m/>
    <x v="5"/>
    <x v="4"/>
    <x v="3"/>
    <x v="1"/>
    <x v="0"/>
    <x v="0"/>
    <x v="0"/>
    <m/>
    <x v="0"/>
    <x v="0"/>
    <n v="-0.33681798000000002"/>
    <m/>
    <x v="13"/>
    <x v="2"/>
    <x v="0"/>
    <x v="5"/>
    <x v="1"/>
  </r>
  <r>
    <s v="Singapore"/>
    <x v="4"/>
    <s v="SG1"/>
    <m/>
    <x v="2"/>
    <x v="0"/>
    <x v="2"/>
    <x v="4"/>
    <x v="0"/>
    <x v="0"/>
    <x v="0"/>
    <m/>
    <x v="0"/>
    <x v="0"/>
    <n v="-4.7887664940000008"/>
    <m/>
    <x v="13"/>
    <x v="1"/>
    <x v="0"/>
    <x v="1"/>
    <x v="1"/>
  </r>
  <r>
    <s v="Singapore"/>
    <x v="4"/>
    <s v="SG4"/>
    <m/>
    <x v="3"/>
    <x v="4"/>
    <x v="3"/>
    <x v="0"/>
    <x v="0"/>
    <x v="0"/>
    <x v="0"/>
    <m/>
    <x v="0"/>
    <x v="0"/>
    <n v="-3.0734874360000002"/>
    <m/>
    <x v="13"/>
    <x v="2"/>
    <x v="0"/>
    <x v="0"/>
    <x v="0"/>
  </r>
  <r>
    <s v="Singapore"/>
    <x v="2"/>
    <s v="SG4"/>
    <m/>
    <x v="2"/>
    <x v="1"/>
    <x v="1"/>
    <x v="0"/>
    <x v="0"/>
    <x v="0"/>
    <x v="0"/>
    <m/>
    <x v="0"/>
    <x v="0"/>
    <n v="-3.023915058"/>
    <m/>
    <x v="13"/>
    <x v="1"/>
    <x v="0"/>
    <x v="5"/>
    <x v="2"/>
  </r>
  <r>
    <s v="Singapore"/>
    <x v="4"/>
    <s v="SG1"/>
    <m/>
    <x v="4"/>
    <x v="3"/>
    <x v="4"/>
    <x v="4"/>
    <x v="0"/>
    <x v="0"/>
    <x v="0"/>
    <m/>
    <x v="0"/>
    <x v="0"/>
    <n v="-1.9418911920000002"/>
    <m/>
    <x v="13"/>
    <x v="1"/>
    <x v="0"/>
    <x v="0"/>
    <x v="1"/>
  </r>
  <r>
    <s v="Singapore"/>
    <x v="3"/>
    <s v="SG4"/>
    <m/>
    <x v="0"/>
    <x v="0"/>
    <x v="1"/>
    <x v="3"/>
    <x v="0"/>
    <x v="0"/>
    <x v="0"/>
    <m/>
    <x v="0"/>
    <x v="0"/>
    <n v="-11.451219318000001"/>
    <m/>
    <x v="13"/>
    <x v="0"/>
    <x v="0"/>
    <x v="2"/>
    <x v="0"/>
  </r>
  <r>
    <s v="Singapore"/>
    <x v="2"/>
    <s v="SG2"/>
    <m/>
    <x v="3"/>
    <x v="3"/>
    <x v="0"/>
    <x v="2"/>
    <x v="0"/>
    <x v="0"/>
    <x v="0"/>
    <m/>
    <x v="0"/>
    <x v="0"/>
    <n v="-5.011748721"/>
    <m/>
    <x v="13"/>
    <x v="3"/>
    <x v="0"/>
    <x v="4"/>
    <x v="0"/>
  </r>
  <r>
    <s v="Singapore"/>
    <x v="3"/>
    <s v="SG1"/>
    <m/>
    <x v="3"/>
    <x v="1"/>
    <x v="2"/>
    <x v="2"/>
    <x v="0"/>
    <x v="0"/>
    <x v="0"/>
    <m/>
    <x v="0"/>
    <x v="0"/>
    <n v="-9.5966640000000006E-2"/>
    <m/>
    <x v="13"/>
    <x v="1"/>
    <x v="0"/>
    <x v="0"/>
    <x v="1"/>
  </r>
  <r>
    <s v="Singapore"/>
    <x v="4"/>
    <s v="SG3"/>
    <m/>
    <x v="5"/>
    <x v="4"/>
    <x v="3"/>
    <x v="0"/>
    <x v="0"/>
    <x v="0"/>
    <x v="0"/>
    <m/>
    <x v="0"/>
    <x v="0"/>
    <n v="-47.753373960000005"/>
    <m/>
    <x v="13"/>
    <x v="2"/>
    <x v="0"/>
    <x v="0"/>
    <x v="0"/>
  </r>
  <r>
    <s v="Singapore"/>
    <x v="3"/>
    <s v="SG4"/>
    <m/>
    <x v="0"/>
    <x v="1"/>
    <x v="1"/>
    <x v="3"/>
    <x v="0"/>
    <x v="0"/>
    <x v="0"/>
    <m/>
    <x v="0"/>
    <x v="0"/>
    <n v="-1.9418911920000002"/>
    <m/>
    <x v="13"/>
    <x v="1"/>
    <x v="0"/>
    <x v="2"/>
    <x v="2"/>
  </r>
  <r>
    <s v="Singapore"/>
    <x v="0"/>
    <s v="SG3"/>
    <m/>
    <x v="4"/>
    <x v="3"/>
    <x v="0"/>
    <x v="4"/>
    <x v="0"/>
    <x v="0"/>
    <x v="0"/>
    <m/>
    <x v="0"/>
    <x v="0"/>
    <n v="-0.35057423700000001"/>
    <m/>
    <x v="13"/>
    <x v="1"/>
    <x v="0"/>
    <x v="1"/>
    <x v="2"/>
  </r>
  <r>
    <s v="Singapore"/>
    <x v="2"/>
    <s v="SG4"/>
    <m/>
    <x v="5"/>
    <x v="2"/>
    <x v="0"/>
    <x v="2"/>
    <x v="0"/>
    <x v="0"/>
    <x v="0"/>
    <m/>
    <x v="0"/>
    <x v="0"/>
    <n v="-27.744220467000002"/>
    <m/>
    <x v="13"/>
    <x v="2"/>
    <x v="0"/>
    <x v="4"/>
    <x v="0"/>
  </r>
  <r>
    <s v="Singapore"/>
    <x v="1"/>
    <s v="SG1"/>
    <m/>
    <x v="2"/>
    <x v="4"/>
    <x v="3"/>
    <x v="0"/>
    <x v="0"/>
    <x v="0"/>
    <x v="0"/>
    <m/>
    <x v="0"/>
    <x v="0"/>
    <n v="-3.1096462950000001"/>
    <m/>
    <x v="13"/>
    <x v="0"/>
    <x v="0"/>
    <x v="3"/>
    <x v="1"/>
  </r>
  <r>
    <s v="Singapore"/>
    <x v="0"/>
    <s v="SG4"/>
    <m/>
    <x v="4"/>
    <x v="4"/>
    <x v="3"/>
    <x v="5"/>
    <x v="0"/>
    <x v="0"/>
    <x v="0"/>
    <m/>
    <x v="0"/>
    <x v="0"/>
    <n v="-15.463730979000001"/>
    <m/>
    <x v="13"/>
    <x v="1"/>
    <x v="0"/>
    <x v="0"/>
    <x v="1"/>
  </r>
  <r>
    <s v="Singapore"/>
    <x v="4"/>
    <s v="SG4"/>
    <m/>
    <x v="1"/>
    <x v="4"/>
    <x v="1"/>
    <x v="1"/>
    <x v="0"/>
    <x v="0"/>
    <x v="0"/>
    <m/>
    <x v="0"/>
    <x v="0"/>
    <n v="-0.33681798000000002"/>
    <m/>
    <x v="13"/>
    <x v="3"/>
    <x v="0"/>
    <x v="4"/>
    <x v="1"/>
  </r>
  <r>
    <s v="Singapore"/>
    <x v="2"/>
    <s v="SG2"/>
    <m/>
    <x v="1"/>
    <x v="1"/>
    <x v="1"/>
    <x v="1"/>
    <x v="0"/>
    <x v="0"/>
    <x v="0"/>
    <m/>
    <x v="0"/>
    <x v="0"/>
    <n v="-10.719458109000001"/>
    <m/>
    <x v="13"/>
    <x v="0"/>
    <x v="0"/>
    <x v="3"/>
    <x v="2"/>
  </r>
  <r>
    <s v="Singapore"/>
    <x v="4"/>
    <s v="SG2"/>
    <m/>
    <x v="1"/>
    <x v="1"/>
    <x v="0"/>
    <x v="4"/>
    <x v="0"/>
    <x v="0"/>
    <x v="0"/>
    <m/>
    <x v="0"/>
    <x v="0"/>
    <n v="-1.9418911920000002"/>
    <m/>
    <x v="13"/>
    <x v="2"/>
    <x v="0"/>
    <x v="5"/>
    <x v="2"/>
  </r>
  <r>
    <s v="Singapore"/>
    <x v="4"/>
    <s v="SG1"/>
    <m/>
    <x v="0"/>
    <x v="0"/>
    <x v="2"/>
    <x v="1"/>
    <x v="0"/>
    <x v="0"/>
    <x v="0"/>
    <m/>
    <x v="0"/>
    <x v="0"/>
    <n v="-3.5052750000000001E-2"/>
    <m/>
    <x v="13"/>
    <x v="2"/>
    <x v="0"/>
    <x v="2"/>
    <x v="2"/>
  </r>
  <r>
    <s v="Singapore"/>
    <x v="5"/>
    <s v="SG1"/>
    <m/>
    <x v="4"/>
    <x v="0"/>
    <x v="3"/>
    <x v="1"/>
    <x v="0"/>
    <x v="0"/>
    <x v="0"/>
    <m/>
    <x v="0"/>
    <x v="0"/>
    <n v="-4.7887664940000008"/>
    <m/>
    <x v="13"/>
    <x v="3"/>
    <x v="0"/>
    <x v="2"/>
    <x v="0"/>
  </r>
  <r>
    <s v="Singapore"/>
    <x v="1"/>
    <s v="SG4"/>
    <m/>
    <x v="5"/>
    <x v="4"/>
    <x v="4"/>
    <x v="0"/>
    <x v="0"/>
    <x v="0"/>
    <x v="0"/>
    <m/>
    <x v="0"/>
    <x v="0"/>
    <n v="-19.546020981000002"/>
    <m/>
    <x v="13"/>
    <x v="3"/>
    <x v="0"/>
    <x v="2"/>
    <x v="0"/>
  </r>
  <r>
    <s v="Singapore"/>
    <x v="3"/>
    <s v="SG3"/>
    <m/>
    <x v="5"/>
    <x v="2"/>
    <x v="0"/>
    <x v="1"/>
    <x v="0"/>
    <x v="0"/>
    <x v="0"/>
    <m/>
    <x v="0"/>
    <x v="0"/>
    <n v="-12.280224645000001"/>
    <m/>
    <x v="13"/>
    <x v="3"/>
    <x v="0"/>
    <x v="0"/>
    <x v="0"/>
  </r>
  <r>
    <s v="Singapore"/>
    <x v="1"/>
    <s v="SG3"/>
    <m/>
    <x v="5"/>
    <x v="0"/>
    <x v="4"/>
    <x v="4"/>
    <x v="0"/>
    <x v="0"/>
    <x v="0"/>
    <m/>
    <x v="0"/>
    <x v="0"/>
    <n v="-285.59767095900003"/>
    <m/>
    <x v="13"/>
    <x v="2"/>
    <x v="0"/>
    <x v="3"/>
    <x v="2"/>
  </r>
  <r>
    <s v="Singapore"/>
    <x v="5"/>
    <s v="SG3"/>
    <m/>
    <x v="0"/>
    <x v="0"/>
    <x v="1"/>
    <x v="4"/>
    <x v="0"/>
    <x v="0"/>
    <x v="0"/>
    <m/>
    <x v="0"/>
    <x v="0"/>
    <n v="-26.134426817999998"/>
    <m/>
    <x v="13"/>
    <x v="1"/>
    <x v="0"/>
    <x v="1"/>
    <x v="1"/>
  </r>
  <r>
    <s v="Singapore"/>
    <x v="1"/>
    <s v="SG4"/>
    <m/>
    <x v="5"/>
    <x v="0"/>
    <x v="3"/>
    <x v="4"/>
    <x v="0"/>
    <x v="0"/>
    <x v="0"/>
    <m/>
    <x v="0"/>
    <x v="0"/>
    <n v="-0.16856478000000003"/>
    <m/>
    <x v="13"/>
    <x v="3"/>
    <x v="0"/>
    <x v="5"/>
    <x v="1"/>
  </r>
  <r>
    <s v="Singapore"/>
    <x v="5"/>
    <s v="SG4"/>
    <m/>
    <x v="0"/>
    <x v="3"/>
    <x v="2"/>
    <x v="1"/>
    <x v="0"/>
    <x v="0"/>
    <x v="0"/>
    <m/>
    <x v="0"/>
    <x v="0"/>
    <n v="-0.44789625000000005"/>
    <m/>
    <x v="13"/>
    <x v="2"/>
    <x v="0"/>
    <x v="0"/>
    <x v="2"/>
  </r>
  <r>
    <s v="Singapore"/>
    <x v="3"/>
    <s v="SG3"/>
    <m/>
    <x v="2"/>
    <x v="4"/>
    <x v="4"/>
    <x v="3"/>
    <x v="0"/>
    <x v="0"/>
    <x v="0"/>
    <m/>
    <x v="0"/>
    <x v="0"/>
    <n v="-8.5039373610000002"/>
    <m/>
    <x v="13"/>
    <x v="2"/>
    <x v="0"/>
    <x v="4"/>
    <x v="0"/>
  </r>
  <r>
    <s v="Singapore"/>
    <x v="2"/>
    <s v="SG2"/>
    <m/>
    <x v="2"/>
    <x v="4"/>
    <x v="2"/>
    <x v="0"/>
    <x v="0"/>
    <x v="0"/>
    <x v="0"/>
    <m/>
    <x v="0"/>
    <x v="0"/>
    <n v="-1.1179490400000001"/>
    <m/>
    <x v="13"/>
    <x v="3"/>
    <x v="0"/>
    <x v="2"/>
    <x v="0"/>
  </r>
  <r>
    <s v="Singapore"/>
    <x v="3"/>
    <s v="SG3"/>
    <m/>
    <x v="1"/>
    <x v="0"/>
    <x v="3"/>
    <x v="3"/>
    <x v="0"/>
    <x v="0"/>
    <x v="0"/>
    <m/>
    <x v="0"/>
    <x v="0"/>
    <n v="-2.5438170150000001"/>
    <m/>
    <x v="13"/>
    <x v="2"/>
    <x v="0"/>
    <x v="1"/>
    <x v="1"/>
  </r>
  <r>
    <s v="Singapore"/>
    <x v="1"/>
    <s v="SG1"/>
    <m/>
    <x v="1"/>
    <x v="4"/>
    <x v="2"/>
    <x v="2"/>
    <x v="0"/>
    <x v="0"/>
    <x v="0"/>
    <m/>
    <x v="0"/>
    <x v="0"/>
    <n v="-0.73319447700000007"/>
    <m/>
    <x v="13"/>
    <x v="1"/>
    <x v="0"/>
    <x v="4"/>
    <x v="2"/>
  </r>
  <r>
    <s v="Singapore"/>
    <x v="3"/>
    <s v="SG2"/>
    <m/>
    <x v="4"/>
    <x v="4"/>
    <x v="1"/>
    <x v="1"/>
    <x v="0"/>
    <x v="0"/>
    <x v="0"/>
    <m/>
    <x v="0"/>
    <x v="0"/>
    <n v="-1.9418911920000002"/>
    <m/>
    <x v="13"/>
    <x v="2"/>
    <x v="0"/>
    <x v="3"/>
    <x v="1"/>
  </r>
  <r>
    <s v="Singapore"/>
    <x v="4"/>
    <s v="SG1"/>
    <m/>
    <x v="1"/>
    <x v="3"/>
    <x v="3"/>
    <x v="2"/>
    <x v="0"/>
    <x v="0"/>
    <x v="0"/>
    <m/>
    <x v="0"/>
    <x v="0"/>
    <n v="-10.393701219"/>
    <m/>
    <x v="13"/>
    <x v="2"/>
    <x v="0"/>
    <x v="4"/>
    <x v="2"/>
  </r>
  <r>
    <s v="Singapore"/>
    <x v="0"/>
    <s v="SG4"/>
    <m/>
    <x v="0"/>
    <x v="3"/>
    <x v="3"/>
    <x v="0"/>
    <x v="0"/>
    <x v="0"/>
    <x v="0"/>
    <m/>
    <x v="0"/>
    <x v="0"/>
    <n v="-4.5941068889999999"/>
    <m/>
    <x v="13"/>
    <x v="1"/>
    <x v="0"/>
    <x v="1"/>
    <x v="2"/>
  </r>
  <r>
    <s v="Singapore"/>
    <x v="4"/>
    <s v="SG1"/>
    <m/>
    <x v="2"/>
    <x v="3"/>
    <x v="3"/>
    <x v="1"/>
    <x v="0"/>
    <x v="0"/>
    <x v="0"/>
    <m/>
    <x v="0"/>
    <x v="0"/>
    <n v="-0.94720320000000002"/>
    <m/>
    <x v="13"/>
    <x v="0"/>
    <x v="0"/>
    <x v="3"/>
    <x v="1"/>
  </r>
  <r>
    <s v="Singapore"/>
    <x v="0"/>
    <s v="SG4"/>
    <m/>
    <x v="4"/>
    <x v="1"/>
    <x v="3"/>
    <x v="0"/>
    <x v="0"/>
    <x v="0"/>
    <x v="0"/>
    <m/>
    <x v="0"/>
    <x v="0"/>
    <n v="-4.5941068889999999"/>
    <m/>
    <x v="13"/>
    <x v="1"/>
    <x v="0"/>
    <x v="5"/>
    <x v="0"/>
  </r>
  <r>
    <s v="Singapore"/>
    <x v="2"/>
    <s v="SG3"/>
    <m/>
    <x v="1"/>
    <x v="2"/>
    <x v="3"/>
    <x v="1"/>
    <x v="0"/>
    <x v="0"/>
    <x v="0"/>
    <m/>
    <x v="0"/>
    <x v="0"/>
    <n v="-4.5941068889999999"/>
    <m/>
    <x v="13"/>
    <x v="3"/>
    <x v="0"/>
    <x v="5"/>
    <x v="0"/>
  </r>
  <r>
    <s v="Singapore"/>
    <x v="2"/>
    <s v="SG3"/>
    <m/>
    <x v="5"/>
    <x v="3"/>
    <x v="3"/>
    <x v="3"/>
    <x v="0"/>
    <x v="0"/>
    <x v="0"/>
    <m/>
    <x v="0"/>
    <x v="0"/>
    <n v="0.1885059"/>
    <m/>
    <x v="13"/>
    <x v="1"/>
    <x v="0"/>
    <x v="1"/>
    <x v="0"/>
  </r>
  <r>
    <s v="Singapore"/>
    <x v="5"/>
    <s v="SG4"/>
    <m/>
    <x v="5"/>
    <x v="4"/>
    <x v="2"/>
    <x v="4"/>
    <x v="0"/>
    <x v="0"/>
    <x v="0"/>
    <m/>
    <x v="0"/>
    <x v="0"/>
    <n v="-23.943848049"/>
    <m/>
    <x v="13"/>
    <x v="2"/>
    <x v="0"/>
    <x v="0"/>
    <x v="2"/>
  </r>
  <r>
    <s v="Singapore"/>
    <x v="0"/>
    <s v="SG1"/>
    <m/>
    <x v="3"/>
    <x v="0"/>
    <x v="2"/>
    <x v="5"/>
    <x v="0"/>
    <x v="0"/>
    <x v="0"/>
    <m/>
    <x v="0"/>
    <x v="0"/>
    <n v="-0.59323274100000012"/>
    <m/>
    <x v="13"/>
    <x v="1"/>
    <x v="0"/>
    <x v="0"/>
    <x v="0"/>
  </r>
  <r>
    <s v="Singapore"/>
    <x v="4"/>
    <s v="SG3"/>
    <m/>
    <x v="1"/>
    <x v="4"/>
    <x v="3"/>
    <x v="4"/>
    <x v="0"/>
    <x v="0"/>
    <x v="0"/>
    <m/>
    <x v="0"/>
    <x v="0"/>
    <n v="-81.413376939000017"/>
    <m/>
    <x v="13"/>
    <x v="2"/>
    <x v="0"/>
    <x v="5"/>
    <x v="2"/>
  </r>
  <r>
    <s v="Singapore"/>
    <x v="0"/>
    <s v="SG3"/>
    <m/>
    <x v="3"/>
    <x v="2"/>
    <x v="4"/>
    <x v="4"/>
    <x v="0"/>
    <x v="0"/>
    <x v="0"/>
    <m/>
    <x v="0"/>
    <x v="0"/>
    <n v="-3.059840232"/>
    <m/>
    <x v="13"/>
    <x v="1"/>
    <x v="0"/>
    <x v="1"/>
    <x v="1"/>
  </r>
  <r>
    <s v="Singapore"/>
    <x v="4"/>
    <s v="SG2"/>
    <m/>
    <x v="0"/>
    <x v="2"/>
    <x v="1"/>
    <x v="3"/>
    <x v="0"/>
    <x v="0"/>
    <x v="0"/>
    <m/>
    <x v="0"/>
    <x v="0"/>
    <n v="-34.741575054000002"/>
    <m/>
    <x v="13"/>
    <x v="1"/>
    <x v="0"/>
    <x v="4"/>
    <x v="0"/>
  </r>
  <r>
    <s v="Singapore"/>
    <x v="2"/>
    <s v="SG2"/>
    <m/>
    <x v="1"/>
    <x v="0"/>
    <x v="3"/>
    <x v="0"/>
    <x v="0"/>
    <x v="0"/>
    <x v="0"/>
    <m/>
    <x v="0"/>
    <x v="0"/>
    <n v="-4.5941068889999999"/>
    <m/>
    <x v="13"/>
    <x v="3"/>
    <x v="0"/>
    <x v="2"/>
    <x v="2"/>
  </r>
  <r>
    <s v="Singapore"/>
    <x v="4"/>
    <s v="SG1"/>
    <m/>
    <x v="5"/>
    <x v="2"/>
    <x v="0"/>
    <x v="3"/>
    <x v="0"/>
    <x v="0"/>
    <x v="0"/>
    <m/>
    <x v="0"/>
    <x v="0"/>
    <n v="0.1885059"/>
    <m/>
    <x v="13"/>
    <x v="1"/>
    <x v="0"/>
    <x v="2"/>
    <x v="2"/>
  </r>
  <r>
    <s v="Singapore"/>
    <x v="1"/>
    <s v="SG2"/>
    <m/>
    <x v="0"/>
    <x v="0"/>
    <x v="2"/>
    <x v="3"/>
    <x v="0"/>
    <x v="0"/>
    <x v="0"/>
    <m/>
    <x v="0"/>
    <x v="0"/>
    <n v="-3.5052750000000001E-2"/>
    <m/>
    <x v="13"/>
    <x v="0"/>
    <x v="0"/>
    <x v="1"/>
    <x v="0"/>
  </r>
  <r>
    <s v="Singapore"/>
    <x v="5"/>
    <s v="SG3"/>
    <m/>
    <x v="2"/>
    <x v="4"/>
    <x v="4"/>
    <x v="0"/>
    <x v="0"/>
    <x v="0"/>
    <x v="0"/>
    <m/>
    <x v="0"/>
    <x v="0"/>
    <n v="-0.10154392200000002"/>
    <m/>
    <x v="13"/>
    <x v="0"/>
    <x v="0"/>
    <x v="4"/>
    <x v="2"/>
  </r>
  <r>
    <s v="Singapore"/>
    <x v="2"/>
    <s v="SG1"/>
    <m/>
    <x v="5"/>
    <x v="2"/>
    <x v="0"/>
    <x v="5"/>
    <x v="0"/>
    <x v="0"/>
    <x v="0"/>
    <m/>
    <x v="0"/>
    <x v="0"/>
    <n v="-62.834671647"/>
    <m/>
    <x v="13"/>
    <x v="3"/>
    <x v="0"/>
    <x v="0"/>
    <x v="0"/>
  </r>
  <r>
    <s v="Singapore"/>
    <x v="1"/>
    <s v="SG2"/>
    <m/>
    <x v="0"/>
    <x v="1"/>
    <x v="4"/>
    <x v="4"/>
    <x v="0"/>
    <x v="0"/>
    <x v="0"/>
    <m/>
    <x v="0"/>
    <x v="0"/>
    <n v="-5.1545769930000001"/>
    <m/>
    <x v="13"/>
    <x v="1"/>
    <x v="0"/>
    <x v="1"/>
    <x v="0"/>
  </r>
  <r>
    <s v="Singapore"/>
    <x v="5"/>
    <s v="SG3"/>
    <m/>
    <x v="3"/>
    <x v="4"/>
    <x v="4"/>
    <x v="0"/>
    <x v="0"/>
    <x v="0"/>
    <x v="0"/>
    <m/>
    <x v="0"/>
    <x v="0"/>
    <n v="-3.452493348"/>
    <m/>
    <x v="13"/>
    <x v="1"/>
    <x v="0"/>
    <x v="2"/>
    <x v="0"/>
  </r>
  <r>
    <s v="Singapore"/>
    <x v="5"/>
    <s v="SG1"/>
    <m/>
    <x v="4"/>
    <x v="2"/>
    <x v="3"/>
    <x v="4"/>
    <x v="0"/>
    <x v="0"/>
    <x v="0"/>
    <m/>
    <x v="0"/>
    <x v="0"/>
    <n v="-3.7940473440000004"/>
    <m/>
    <x v="13"/>
    <x v="1"/>
    <x v="0"/>
    <x v="4"/>
    <x v="2"/>
  </r>
  <r>
    <s v="Singapore"/>
    <x v="4"/>
    <s v="SG2"/>
    <m/>
    <x v="5"/>
    <x v="1"/>
    <x v="3"/>
    <x v="3"/>
    <x v="0"/>
    <x v="0"/>
    <x v="0"/>
    <m/>
    <x v="0"/>
    <x v="0"/>
    <n v="-3.3761874060000001"/>
    <m/>
    <x v="13"/>
    <x v="2"/>
    <x v="0"/>
    <x v="0"/>
    <x v="0"/>
  </r>
  <r>
    <s v="Singapore"/>
    <x v="5"/>
    <s v="SG2"/>
    <m/>
    <x v="3"/>
    <x v="3"/>
    <x v="2"/>
    <x v="5"/>
    <x v="0"/>
    <x v="0"/>
    <x v="0"/>
    <m/>
    <x v="0"/>
    <x v="0"/>
    <n v="-0.49182903"/>
    <m/>
    <x v="13"/>
    <x v="2"/>
    <x v="0"/>
    <x v="2"/>
    <x v="0"/>
  </r>
  <r>
    <s v="Singapore"/>
    <x v="0"/>
    <s v="SG3"/>
    <m/>
    <x v="5"/>
    <x v="3"/>
    <x v="1"/>
    <x v="0"/>
    <x v="0"/>
    <x v="0"/>
    <x v="0"/>
    <m/>
    <x v="0"/>
    <x v="0"/>
    <n v="-22.902438636000003"/>
    <m/>
    <x v="13"/>
    <x v="3"/>
    <x v="0"/>
    <x v="1"/>
    <x v="1"/>
  </r>
  <r>
    <s v="Singapore"/>
    <x v="0"/>
    <s v="SG2"/>
    <m/>
    <x v="5"/>
    <x v="0"/>
    <x v="4"/>
    <x v="3"/>
    <x v="0"/>
    <x v="0"/>
    <x v="0"/>
    <m/>
    <x v="0"/>
    <x v="0"/>
    <n v="-40.622491764000003"/>
    <m/>
    <x v="13"/>
    <x v="2"/>
    <x v="0"/>
    <x v="5"/>
    <x v="2"/>
  </r>
  <r>
    <s v="Singapore"/>
    <x v="2"/>
    <s v="SG3"/>
    <m/>
    <x v="4"/>
    <x v="0"/>
    <x v="1"/>
    <x v="5"/>
    <x v="0"/>
    <x v="0"/>
    <x v="0"/>
    <m/>
    <x v="0"/>
    <x v="0"/>
    <n v="-2.1509457930000004"/>
    <m/>
    <x v="13"/>
    <x v="2"/>
    <x v="0"/>
    <x v="3"/>
    <x v="1"/>
  </r>
  <r>
    <s v="Singapore"/>
    <x v="3"/>
    <s v="SG4"/>
    <m/>
    <x v="4"/>
    <x v="1"/>
    <x v="0"/>
    <x v="0"/>
    <x v="0"/>
    <x v="0"/>
    <x v="0"/>
    <m/>
    <x v="0"/>
    <x v="0"/>
    <n v="-0.33711398100000001"/>
    <m/>
    <x v="13"/>
    <x v="3"/>
    <x v="0"/>
    <x v="3"/>
    <x v="0"/>
  </r>
  <r>
    <s v="Singapore"/>
    <x v="0"/>
    <s v="SG2"/>
    <m/>
    <x v="3"/>
    <x v="2"/>
    <x v="3"/>
    <x v="2"/>
    <x v="0"/>
    <x v="0"/>
    <x v="0"/>
    <m/>
    <x v="0"/>
    <x v="0"/>
    <n v="-2.3168621430000003"/>
    <m/>
    <x v="13"/>
    <x v="3"/>
    <x v="0"/>
    <x v="5"/>
    <x v="0"/>
  </r>
  <r>
    <s v="Singapore"/>
    <x v="0"/>
    <s v="SG3"/>
    <m/>
    <x v="4"/>
    <x v="4"/>
    <x v="3"/>
    <x v="3"/>
    <x v="0"/>
    <x v="0"/>
    <x v="0"/>
    <m/>
    <x v="0"/>
    <x v="0"/>
    <n v="-20.618307972"/>
    <m/>
    <x v="13"/>
    <x v="3"/>
    <x v="0"/>
    <x v="0"/>
    <x v="1"/>
  </r>
  <r>
    <s v="Singapore"/>
    <x v="3"/>
    <s v="SG3"/>
    <m/>
    <x v="0"/>
    <x v="4"/>
    <x v="3"/>
    <x v="2"/>
    <x v="0"/>
    <x v="0"/>
    <x v="0"/>
    <m/>
    <x v="0"/>
    <x v="0"/>
    <n v="-4.6269629999999999E-2"/>
    <m/>
    <x v="13"/>
    <x v="1"/>
    <x v="0"/>
    <x v="5"/>
    <x v="2"/>
  </r>
  <r>
    <s v="Singapore"/>
    <x v="4"/>
    <s v="SG3"/>
    <m/>
    <x v="4"/>
    <x v="0"/>
    <x v="1"/>
    <x v="1"/>
    <x v="0"/>
    <x v="0"/>
    <x v="0"/>
    <m/>
    <x v="0"/>
    <x v="0"/>
    <n v="-2.473727094"/>
    <m/>
    <x v="13"/>
    <x v="3"/>
    <x v="0"/>
    <x v="3"/>
    <x v="2"/>
  </r>
  <r>
    <s v="Singapore"/>
    <x v="3"/>
    <s v="SG1"/>
    <m/>
    <x v="2"/>
    <x v="2"/>
    <x v="3"/>
    <x v="0"/>
    <x v="0"/>
    <x v="0"/>
    <x v="0"/>
    <m/>
    <x v="0"/>
    <x v="0"/>
    <n v="-8.7242399999999998E-2"/>
    <m/>
    <x v="13"/>
    <x v="0"/>
    <x v="0"/>
    <x v="1"/>
    <x v="1"/>
  </r>
  <r>
    <s v="Singapore"/>
    <x v="5"/>
    <s v="SG2"/>
    <m/>
    <x v="0"/>
    <x v="1"/>
    <x v="4"/>
    <x v="4"/>
    <x v="0"/>
    <x v="0"/>
    <x v="0"/>
    <m/>
    <x v="0"/>
    <x v="0"/>
    <n v="-0.98365806"/>
    <m/>
    <x v="13"/>
    <x v="2"/>
    <x v="0"/>
    <x v="1"/>
    <x v="1"/>
  </r>
  <r>
    <s v="Singapore"/>
    <x v="0"/>
    <s v="SG1"/>
    <m/>
    <x v="3"/>
    <x v="0"/>
    <x v="0"/>
    <x v="1"/>
    <x v="0"/>
    <x v="0"/>
    <x v="0"/>
    <m/>
    <x v="0"/>
    <x v="0"/>
    <n v="-26.18876637"/>
    <m/>
    <x v="13"/>
    <x v="3"/>
    <x v="0"/>
    <x v="5"/>
    <x v="2"/>
  </r>
  <r>
    <s v="Singapore"/>
    <x v="4"/>
    <s v="SG1"/>
    <m/>
    <x v="0"/>
    <x v="2"/>
    <x v="2"/>
    <x v="1"/>
    <x v="0"/>
    <x v="0"/>
    <x v="0"/>
    <m/>
    <x v="0"/>
    <x v="0"/>
    <n v="-1.7448479999999999E-2"/>
    <m/>
    <x v="13"/>
    <x v="0"/>
    <x v="0"/>
    <x v="4"/>
    <x v="0"/>
  </r>
  <r>
    <s v="Singapore"/>
    <x v="3"/>
    <s v="SG2"/>
    <m/>
    <x v="1"/>
    <x v="2"/>
    <x v="0"/>
    <x v="2"/>
    <x v="0"/>
    <x v="0"/>
    <x v="0"/>
    <m/>
    <x v="0"/>
    <x v="0"/>
    <n v="-8.659633887"/>
    <m/>
    <x v="13"/>
    <x v="3"/>
    <x v="0"/>
    <x v="2"/>
    <x v="1"/>
  </r>
  <r>
    <s v="Singapore"/>
    <x v="2"/>
    <s v="SG2"/>
    <m/>
    <x v="5"/>
    <x v="3"/>
    <x v="2"/>
    <x v="3"/>
    <x v="0"/>
    <x v="0"/>
    <x v="0"/>
    <m/>
    <x v="0"/>
    <x v="0"/>
    <n v="-5.7562223940000008"/>
    <m/>
    <x v="13"/>
    <x v="3"/>
    <x v="0"/>
    <x v="4"/>
    <x v="1"/>
  </r>
  <r>
    <s v="Singapore"/>
    <x v="1"/>
    <s v="SG4"/>
    <m/>
    <x v="2"/>
    <x v="0"/>
    <x v="0"/>
    <x v="2"/>
    <x v="0"/>
    <x v="0"/>
    <x v="0"/>
    <m/>
    <x v="0"/>
    <x v="0"/>
    <n v="-0.85684500000000008"/>
    <m/>
    <x v="13"/>
    <x v="2"/>
    <x v="0"/>
    <x v="3"/>
    <x v="1"/>
  </r>
  <r>
    <s v="Singapore"/>
    <x v="2"/>
    <s v="SG3"/>
    <m/>
    <x v="5"/>
    <x v="1"/>
    <x v="4"/>
    <x v="0"/>
    <x v="0"/>
    <x v="0"/>
    <x v="0"/>
    <m/>
    <x v="0"/>
    <x v="0"/>
    <n v="-0.12213936000000002"/>
    <m/>
    <x v="13"/>
    <x v="0"/>
    <x v="0"/>
    <x v="1"/>
    <x v="1"/>
  </r>
  <r>
    <s v="Singapore"/>
    <x v="3"/>
    <s v="SG4"/>
    <m/>
    <x v="0"/>
    <x v="2"/>
    <x v="3"/>
    <x v="3"/>
    <x v="0"/>
    <x v="0"/>
    <x v="0"/>
    <m/>
    <x v="0"/>
    <x v="0"/>
    <n v="0.41751720000000003"/>
    <m/>
    <x v="13"/>
    <x v="0"/>
    <x v="0"/>
    <x v="5"/>
    <x v="2"/>
  </r>
  <r>
    <s v="Singapore"/>
    <x v="0"/>
    <s v="SG2"/>
    <m/>
    <x v="5"/>
    <x v="3"/>
    <x v="0"/>
    <x v="4"/>
    <x v="0"/>
    <x v="0"/>
    <x v="0"/>
    <m/>
    <x v="0"/>
    <x v="0"/>
    <n v="-1.9418288760000002"/>
    <m/>
    <x v="13"/>
    <x v="1"/>
    <x v="0"/>
    <x v="0"/>
    <x v="1"/>
  </r>
  <r>
    <s v="Singapore"/>
    <x v="4"/>
    <s v="SG1"/>
    <m/>
    <x v="2"/>
    <x v="2"/>
    <x v="3"/>
    <x v="5"/>
    <x v="0"/>
    <x v="0"/>
    <x v="0"/>
    <m/>
    <x v="0"/>
    <x v="0"/>
    <n v="-0.61069680000000004"/>
    <m/>
    <x v="13"/>
    <x v="3"/>
    <x v="0"/>
    <x v="3"/>
    <x v="0"/>
  </r>
  <r>
    <s v="Singapore"/>
    <x v="3"/>
    <s v="SG1"/>
    <m/>
    <x v="0"/>
    <x v="0"/>
    <x v="2"/>
    <x v="2"/>
    <x v="0"/>
    <x v="0"/>
    <x v="0"/>
    <m/>
    <x v="0"/>
    <x v="0"/>
    <n v="-3.1424556689999998"/>
    <m/>
    <x v="13"/>
    <x v="2"/>
    <x v="0"/>
    <x v="5"/>
    <x v="1"/>
  </r>
  <r>
    <s v="Singapore"/>
    <x v="4"/>
    <s v="SG4"/>
    <m/>
    <x v="2"/>
    <x v="2"/>
    <x v="2"/>
    <x v="0"/>
    <x v="0"/>
    <x v="0"/>
    <x v="0"/>
    <m/>
    <x v="0"/>
    <x v="0"/>
    <n v="-74.47458381300001"/>
    <m/>
    <x v="13"/>
    <x v="1"/>
    <x v="0"/>
    <x v="4"/>
    <x v="1"/>
  </r>
  <r>
    <s v="Singapore"/>
    <x v="1"/>
    <s v="SG1"/>
    <m/>
    <x v="4"/>
    <x v="1"/>
    <x v="0"/>
    <x v="3"/>
    <x v="0"/>
    <x v="0"/>
    <x v="0"/>
    <m/>
    <x v="0"/>
    <x v="0"/>
    <n v="-1.9418911920000002"/>
    <m/>
    <x v="13"/>
    <x v="2"/>
    <x v="0"/>
    <x v="5"/>
    <x v="0"/>
  </r>
  <r>
    <s v="Singapore"/>
    <x v="0"/>
    <s v="SG4"/>
    <m/>
    <x v="4"/>
    <x v="1"/>
    <x v="4"/>
    <x v="4"/>
    <x v="0"/>
    <x v="0"/>
    <x v="0"/>
    <m/>
    <x v="0"/>
    <x v="0"/>
    <n v="-17.370787527000001"/>
    <m/>
    <x v="13"/>
    <x v="2"/>
    <x v="0"/>
    <x v="1"/>
    <x v="2"/>
  </r>
  <r>
    <s v="Singapore"/>
    <x v="5"/>
    <s v="SG4"/>
    <m/>
    <x v="5"/>
    <x v="3"/>
    <x v="4"/>
    <x v="1"/>
    <x v="0"/>
    <x v="0"/>
    <x v="0"/>
    <m/>
    <x v="0"/>
    <x v="0"/>
    <n v="-180.564847488"/>
    <m/>
    <x v="13"/>
    <x v="3"/>
    <x v="0"/>
    <x v="2"/>
    <x v="0"/>
  </r>
  <r>
    <s v="Singapore"/>
    <x v="5"/>
    <s v="SG3"/>
    <m/>
    <x v="2"/>
    <x v="3"/>
    <x v="4"/>
    <x v="3"/>
    <x v="0"/>
    <x v="0"/>
    <x v="0"/>
    <m/>
    <x v="0"/>
    <x v="0"/>
    <n v="-3.5052750000000001E-2"/>
    <m/>
    <x v="13"/>
    <x v="3"/>
    <x v="0"/>
    <x v="1"/>
    <x v="0"/>
  </r>
  <r>
    <s v="Singapore"/>
    <x v="3"/>
    <s v="SG2"/>
    <m/>
    <x v="5"/>
    <x v="2"/>
    <x v="4"/>
    <x v="1"/>
    <x v="0"/>
    <x v="0"/>
    <x v="0"/>
    <m/>
    <x v="0"/>
    <x v="0"/>
    <n v="-8.3176281000000005E-2"/>
    <m/>
    <x v="13"/>
    <x v="1"/>
    <x v="0"/>
    <x v="2"/>
    <x v="1"/>
  </r>
  <r>
    <s v="Singapore"/>
    <x v="5"/>
    <s v="SG4"/>
    <m/>
    <x v="0"/>
    <x v="4"/>
    <x v="1"/>
    <x v="4"/>
    <x v="0"/>
    <x v="0"/>
    <x v="0"/>
    <m/>
    <x v="0"/>
    <x v="0"/>
    <n v="-0.25174106100000004"/>
    <m/>
    <x v="13"/>
    <x v="2"/>
    <x v="0"/>
    <x v="3"/>
    <x v="0"/>
  </r>
  <r>
    <s v="Singapore"/>
    <x v="2"/>
    <s v="SG4"/>
    <m/>
    <x v="0"/>
    <x v="4"/>
    <x v="2"/>
    <x v="0"/>
    <x v="0"/>
    <x v="0"/>
    <x v="0"/>
    <m/>
    <x v="0"/>
    <x v="0"/>
    <n v="-7.6983940080000011"/>
    <m/>
    <x v="13"/>
    <x v="1"/>
    <x v="0"/>
    <x v="4"/>
    <x v="1"/>
  </r>
  <r>
    <s v="Singapore"/>
    <x v="2"/>
    <s v="SG4"/>
    <m/>
    <x v="2"/>
    <x v="2"/>
    <x v="3"/>
    <x v="1"/>
    <x v="0"/>
    <x v="0"/>
    <x v="0"/>
    <m/>
    <x v="0"/>
    <x v="0"/>
    <n v="-0.91389529800000002"/>
    <m/>
    <x v="13"/>
    <x v="1"/>
    <x v="0"/>
    <x v="0"/>
    <x v="2"/>
  </r>
  <r>
    <s v="Singapore"/>
    <x v="1"/>
    <s v="SG2"/>
    <m/>
    <x v="0"/>
    <x v="4"/>
    <x v="2"/>
    <x v="5"/>
    <x v="0"/>
    <x v="0"/>
    <x v="0"/>
    <m/>
    <x v="0"/>
    <x v="0"/>
    <n v="-126.61420964400001"/>
    <m/>
    <x v="13"/>
    <x v="2"/>
    <x v="0"/>
    <x v="5"/>
    <x v="0"/>
  </r>
  <r>
    <s v="Singapore"/>
    <x v="3"/>
    <s v="SG3"/>
    <m/>
    <x v="2"/>
    <x v="3"/>
    <x v="4"/>
    <x v="2"/>
    <x v="0"/>
    <x v="0"/>
    <x v="0"/>
    <m/>
    <x v="0"/>
    <x v="0"/>
    <n v="-1.9418911920000002"/>
    <m/>
    <x v="13"/>
    <x v="0"/>
    <x v="0"/>
    <x v="3"/>
    <x v="2"/>
  </r>
  <r>
    <s v="Singapore"/>
    <x v="3"/>
    <s v="SG3"/>
    <m/>
    <x v="5"/>
    <x v="1"/>
    <x v="0"/>
    <x v="1"/>
    <x v="0"/>
    <x v="0"/>
    <x v="0"/>
    <m/>
    <x v="0"/>
    <x v="0"/>
    <n v="-4.5941068889999999"/>
    <m/>
    <x v="13"/>
    <x v="2"/>
    <x v="0"/>
    <x v="0"/>
    <x v="2"/>
  </r>
  <r>
    <s v="Singapore"/>
    <x v="1"/>
    <s v="SG2"/>
    <m/>
    <x v="5"/>
    <x v="1"/>
    <x v="1"/>
    <x v="5"/>
    <x v="0"/>
    <x v="0"/>
    <x v="0"/>
    <m/>
    <x v="0"/>
    <x v="0"/>
    <n v="-1.599246666"/>
    <m/>
    <x v="13"/>
    <x v="3"/>
    <x v="0"/>
    <x v="5"/>
    <x v="2"/>
  </r>
  <r>
    <s v="Singapore"/>
    <x v="0"/>
    <s v="SG1"/>
    <m/>
    <x v="5"/>
    <x v="3"/>
    <x v="1"/>
    <x v="5"/>
    <x v="0"/>
    <x v="0"/>
    <x v="0"/>
    <m/>
    <x v="0"/>
    <x v="0"/>
    <n v="-1.9418911920000002"/>
    <m/>
    <x v="13"/>
    <x v="0"/>
    <x v="0"/>
    <x v="3"/>
    <x v="2"/>
  </r>
  <r>
    <s v="Singapore"/>
    <x v="0"/>
    <s v="SG1"/>
    <m/>
    <x v="3"/>
    <x v="0"/>
    <x v="0"/>
    <x v="5"/>
    <x v="0"/>
    <x v="0"/>
    <x v="0"/>
    <m/>
    <x v="0"/>
    <x v="0"/>
    <n v="-142.67720243700001"/>
    <m/>
    <x v="13"/>
    <x v="0"/>
    <x v="0"/>
    <x v="1"/>
    <x v="1"/>
  </r>
  <r>
    <s v="Singapore"/>
    <x v="3"/>
    <s v="SG3"/>
    <m/>
    <x v="4"/>
    <x v="0"/>
    <x v="3"/>
    <x v="3"/>
    <x v="0"/>
    <x v="0"/>
    <x v="0"/>
    <m/>
    <x v="0"/>
    <x v="0"/>
    <n v="-0.72105843599999997"/>
    <m/>
    <x v="13"/>
    <x v="0"/>
    <x v="0"/>
    <x v="0"/>
    <x v="2"/>
  </r>
  <r>
    <s v="Singapore"/>
    <x v="0"/>
    <s v="SG1"/>
    <m/>
    <x v="5"/>
    <x v="2"/>
    <x v="2"/>
    <x v="1"/>
    <x v="0"/>
    <x v="0"/>
    <x v="0"/>
    <m/>
    <x v="0"/>
    <x v="0"/>
    <n v="-3.023915058"/>
    <m/>
    <x v="13"/>
    <x v="2"/>
    <x v="0"/>
    <x v="2"/>
    <x v="0"/>
  </r>
  <r>
    <s v="Singapore"/>
    <x v="4"/>
    <s v="SG1"/>
    <m/>
    <x v="4"/>
    <x v="0"/>
    <x v="1"/>
    <x v="5"/>
    <x v="0"/>
    <x v="0"/>
    <x v="0"/>
    <m/>
    <x v="0"/>
    <x v="0"/>
    <n v="-0.79962333299999999"/>
    <m/>
    <x v="13"/>
    <x v="2"/>
    <x v="0"/>
    <x v="1"/>
    <x v="2"/>
  </r>
  <r>
    <s v="Singapore"/>
    <x v="3"/>
    <s v="SG1"/>
    <m/>
    <x v="4"/>
    <x v="2"/>
    <x v="4"/>
    <x v="4"/>
    <x v="0"/>
    <x v="0"/>
    <x v="0"/>
    <m/>
    <x v="0"/>
    <x v="0"/>
    <n v="-64.318960872000005"/>
    <m/>
    <x v="13"/>
    <x v="0"/>
    <x v="0"/>
    <x v="5"/>
    <x v="2"/>
  </r>
  <r>
    <s v="Singapore"/>
    <x v="4"/>
    <s v="SG1"/>
    <m/>
    <x v="2"/>
    <x v="1"/>
    <x v="1"/>
    <x v="4"/>
    <x v="0"/>
    <x v="0"/>
    <x v="0"/>
    <m/>
    <x v="0"/>
    <x v="0"/>
    <n v="-110.976897447"/>
    <m/>
    <x v="13"/>
    <x v="0"/>
    <x v="0"/>
    <x v="2"/>
    <x v="2"/>
  </r>
  <r>
    <s v="Singapore"/>
    <x v="3"/>
    <s v="SG3"/>
    <m/>
    <x v="3"/>
    <x v="1"/>
    <x v="1"/>
    <x v="2"/>
    <x v="0"/>
    <x v="0"/>
    <x v="0"/>
    <m/>
    <x v="0"/>
    <x v="0"/>
    <n v="-0.71080745400000001"/>
    <m/>
    <x v="13"/>
    <x v="3"/>
    <x v="0"/>
    <x v="0"/>
    <x v="1"/>
  </r>
  <r>
    <s v="Singapore"/>
    <x v="0"/>
    <s v="SG1"/>
    <m/>
    <x v="0"/>
    <x v="4"/>
    <x v="4"/>
    <x v="1"/>
    <x v="0"/>
    <x v="0"/>
    <x v="0"/>
    <m/>
    <x v="0"/>
    <x v="0"/>
    <n v="-11.635456572000001"/>
    <m/>
    <x v="13"/>
    <x v="3"/>
    <x v="0"/>
    <x v="5"/>
    <x v="2"/>
  </r>
  <r>
    <s v="Singapore"/>
    <x v="2"/>
    <s v="SG1"/>
    <m/>
    <x v="5"/>
    <x v="3"/>
    <x v="0"/>
    <x v="4"/>
    <x v="0"/>
    <x v="0"/>
    <x v="0"/>
    <m/>
    <x v="0"/>
    <x v="0"/>
    <n v="-0.82852237800000017"/>
    <m/>
    <x v="13"/>
    <x v="2"/>
    <x v="0"/>
    <x v="1"/>
    <x v="2"/>
  </r>
  <r>
    <s v="Singapore"/>
    <x v="2"/>
    <s v="SG2"/>
    <m/>
    <x v="4"/>
    <x v="1"/>
    <x v="0"/>
    <x v="4"/>
    <x v="0"/>
    <x v="0"/>
    <x v="0"/>
    <m/>
    <x v="0"/>
    <x v="0"/>
    <n v="-1.9418911920000002"/>
    <m/>
    <x v="13"/>
    <x v="0"/>
    <x v="0"/>
    <x v="5"/>
    <x v="0"/>
  </r>
  <r>
    <s v="Singapore"/>
    <x v="4"/>
    <s v="SG1"/>
    <m/>
    <x v="1"/>
    <x v="2"/>
    <x v="1"/>
    <x v="0"/>
    <x v="0"/>
    <x v="0"/>
    <x v="0"/>
    <m/>
    <x v="0"/>
    <x v="0"/>
    <n v="-0.73620122399999999"/>
    <m/>
    <x v="13"/>
    <x v="2"/>
    <x v="0"/>
    <x v="1"/>
    <x v="0"/>
  </r>
  <r>
    <s v="Singapore"/>
    <x v="1"/>
    <s v="SG4"/>
    <m/>
    <x v="5"/>
    <x v="3"/>
    <x v="1"/>
    <x v="4"/>
    <x v="0"/>
    <x v="0"/>
    <x v="0"/>
    <m/>
    <x v="0"/>
    <x v="0"/>
    <n v="-2.3168465640000004"/>
    <m/>
    <x v="13"/>
    <x v="2"/>
    <x v="0"/>
    <x v="4"/>
    <x v="2"/>
  </r>
  <r>
    <s v="Singapore"/>
    <x v="3"/>
    <s v="SG3"/>
    <m/>
    <x v="0"/>
    <x v="0"/>
    <x v="3"/>
    <x v="3"/>
    <x v="0"/>
    <x v="0"/>
    <x v="0"/>
    <m/>
    <x v="0"/>
    <x v="0"/>
    <n v="-7.0261290000000004E-2"/>
    <m/>
    <x v="13"/>
    <x v="2"/>
    <x v="0"/>
    <x v="1"/>
    <x v="0"/>
  </r>
  <r>
    <s v="Singapore"/>
    <x v="1"/>
    <s v="SG1"/>
    <m/>
    <x v="2"/>
    <x v="2"/>
    <x v="1"/>
    <x v="4"/>
    <x v="0"/>
    <x v="0"/>
    <x v="0"/>
    <m/>
    <x v="0"/>
    <x v="0"/>
    <n v="-309.62879256600002"/>
    <m/>
    <x v="13"/>
    <x v="1"/>
    <x v="0"/>
    <x v="5"/>
    <x v="2"/>
  </r>
  <r>
    <s v="Singapore"/>
    <x v="2"/>
    <s v="SG2"/>
    <m/>
    <x v="3"/>
    <x v="1"/>
    <x v="0"/>
    <x v="4"/>
    <x v="0"/>
    <x v="0"/>
    <x v="0"/>
    <m/>
    <x v="0"/>
    <x v="0"/>
    <n v="-3.4896959999999998E-2"/>
    <m/>
    <x v="13"/>
    <x v="3"/>
    <x v="0"/>
    <x v="1"/>
    <x v="0"/>
  </r>
  <r>
    <s v="Singapore"/>
    <x v="2"/>
    <s v="SG3"/>
    <m/>
    <x v="4"/>
    <x v="1"/>
    <x v="1"/>
    <x v="2"/>
    <x v="0"/>
    <x v="0"/>
    <x v="0"/>
    <m/>
    <x v="0"/>
    <x v="0"/>
    <n v="-31.007428964999999"/>
    <m/>
    <x v="13"/>
    <x v="0"/>
    <x v="0"/>
    <x v="3"/>
    <x v="0"/>
  </r>
  <r>
    <s v="Singapore"/>
    <x v="2"/>
    <s v="SG1"/>
    <m/>
    <x v="3"/>
    <x v="0"/>
    <x v="4"/>
    <x v="5"/>
    <x v="0"/>
    <x v="0"/>
    <x v="0"/>
    <m/>
    <x v="0"/>
    <x v="0"/>
    <n v="-12.330653868000001"/>
    <m/>
    <x v="13"/>
    <x v="2"/>
    <x v="0"/>
    <x v="3"/>
    <x v="2"/>
  </r>
  <r>
    <s v="Singapore"/>
    <x v="2"/>
    <s v="SG3"/>
    <m/>
    <x v="3"/>
    <x v="1"/>
    <x v="3"/>
    <x v="2"/>
    <x v="0"/>
    <x v="0"/>
    <x v="0"/>
    <m/>
    <x v="0"/>
    <x v="0"/>
    <n v="-16.901625941999999"/>
    <m/>
    <x v="13"/>
    <x v="1"/>
    <x v="0"/>
    <x v="1"/>
    <x v="1"/>
  </r>
  <r>
    <s v="Singapore"/>
    <x v="5"/>
    <s v="SG2"/>
    <m/>
    <x v="4"/>
    <x v="0"/>
    <x v="2"/>
    <x v="4"/>
    <x v="0"/>
    <x v="0"/>
    <x v="0"/>
    <m/>
    <x v="0"/>
    <x v="0"/>
    <n v="-0.56209032000000003"/>
    <m/>
    <x v="13"/>
    <x v="3"/>
    <x v="0"/>
    <x v="1"/>
    <x v="1"/>
  </r>
  <r>
    <s v="Singapore"/>
    <x v="5"/>
    <s v="SG3"/>
    <m/>
    <x v="3"/>
    <x v="2"/>
    <x v="0"/>
    <x v="5"/>
    <x v="0"/>
    <x v="0"/>
    <x v="0"/>
    <m/>
    <x v="0"/>
    <x v="0"/>
    <n v="-2.3168465640000004"/>
    <m/>
    <x v="13"/>
    <x v="2"/>
    <x v="0"/>
    <x v="1"/>
    <x v="0"/>
  </r>
  <r>
    <s v="Singapore"/>
    <x v="5"/>
    <s v="SG1"/>
    <m/>
    <x v="3"/>
    <x v="1"/>
    <x v="3"/>
    <x v="2"/>
    <x v="0"/>
    <x v="0"/>
    <x v="0"/>
    <m/>
    <x v="0"/>
    <x v="0"/>
    <n v="-4.093413408"/>
    <m/>
    <x v="13"/>
    <x v="0"/>
    <x v="0"/>
    <x v="2"/>
    <x v="0"/>
  </r>
  <r>
    <s v="Singapore"/>
    <x v="3"/>
    <s v="SG2"/>
    <m/>
    <x v="3"/>
    <x v="0"/>
    <x v="4"/>
    <x v="4"/>
    <x v="0"/>
    <x v="0"/>
    <x v="0"/>
    <m/>
    <x v="0"/>
    <x v="0"/>
    <n v="-0.25174106100000004"/>
    <m/>
    <x v="13"/>
    <x v="2"/>
    <x v="0"/>
    <x v="0"/>
    <x v="2"/>
  </r>
  <r>
    <s v="Singapore"/>
    <x v="5"/>
    <s v="SG3"/>
    <m/>
    <x v="5"/>
    <x v="0"/>
    <x v="0"/>
    <x v="0"/>
    <x v="0"/>
    <x v="0"/>
    <x v="0"/>
    <m/>
    <x v="0"/>
    <x v="0"/>
    <n v="0.1885059"/>
    <m/>
    <x v="13"/>
    <x v="0"/>
    <x v="0"/>
    <x v="5"/>
    <x v="2"/>
  </r>
  <r>
    <s v="Singapore"/>
    <x v="3"/>
    <s v="SG3"/>
    <m/>
    <x v="4"/>
    <x v="1"/>
    <x v="1"/>
    <x v="2"/>
    <x v="0"/>
    <x v="0"/>
    <x v="0"/>
    <m/>
    <x v="0"/>
    <x v="0"/>
    <n v="-0.44789625000000005"/>
    <m/>
    <x v="13"/>
    <x v="0"/>
    <x v="0"/>
    <x v="4"/>
    <x v="1"/>
  </r>
  <r>
    <s v="Singapore"/>
    <x v="2"/>
    <s v="SG4"/>
    <m/>
    <x v="4"/>
    <x v="1"/>
    <x v="1"/>
    <x v="4"/>
    <x v="0"/>
    <x v="0"/>
    <x v="0"/>
    <m/>
    <x v="0"/>
    <x v="0"/>
    <n v="-2.9128367880000003"/>
    <m/>
    <x v="13"/>
    <x v="2"/>
    <x v="0"/>
    <x v="2"/>
    <x v="2"/>
  </r>
  <r>
    <s v="Singapore"/>
    <x v="1"/>
    <s v="SG2"/>
    <m/>
    <x v="5"/>
    <x v="2"/>
    <x v="2"/>
    <x v="3"/>
    <x v="0"/>
    <x v="0"/>
    <x v="0"/>
    <m/>
    <x v="0"/>
    <x v="0"/>
    <n v="-4.5940757310000002"/>
    <m/>
    <x v="13"/>
    <x v="1"/>
    <x v="0"/>
    <x v="0"/>
    <x v="2"/>
  </r>
  <r>
    <s v="Singapore"/>
    <x v="0"/>
    <s v="SG4"/>
    <m/>
    <x v="2"/>
    <x v="1"/>
    <x v="2"/>
    <x v="2"/>
    <x v="0"/>
    <x v="0"/>
    <x v="0"/>
    <m/>
    <x v="0"/>
    <x v="0"/>
    <n v="-0.14052258000000001"/>
    <m/>
    <x v="13"/>
    <x v="1"/>
    <x v="0"/>
    <x v="4"/>
    <x v="1"/>
  </r>
  <r>
    <s v="Singapore"/>
    <x v="2"/>
    <s v="SG2"/>
    <m/>
    <x v="3"/>
    <x v="2"/>
    <x v="2"/>
    <x v="5"/>
    <x v="0"/>
    <x v="0"/>
    <x v="0"/>
    <m/>
    <x v="0"/>
    <x v="0"/>
    <n v="-11.635456572000001"/>
    <m/>
    <x v="13"/>
    <x v="3"/>
    <x v="0"/>
    <x v="1"/>
    <x v="2"/>
  </r>
  <r>
    <s v="Singapore"/>
    <x v="2"/>
    <s v="SG4"/>
    <m/>
    <x v="3"/>
    <x v="4"/>
    <x v="3"/>
    <x v="5"/>
    <x v="0"/>
    <x v="0"/>
    <x v="0"/>
    <m/>
    <x v="0"/>
    <x v="0"/>
    <n v="-4.5941068889999999"/>
    <m/>
    <x v="13"/>
    <x v="2"/>
    <x v="0"/>
    <x v="3"/>
    <x v="2"/>
  </r>
  <r>
    <s v="Singapore"/>
    <x v="0"/>
    <s v="SG4"/>
    <m/>
    <x v="3"/>
    <x v="4"/>
    <x v="2"/>
    <x v="1"/>
    <x v="0"/>
    <x v="0"/>
    <x v="0"/>
    <m/>
    <x v="0"/>
    <x v="0"/>
    <n v="-6.0602309999999999"/>
    <m/>
    <x v="13"/>
    <x v="3"/>
    <x v="0"/>
    <x v="5"/>
    <x v="0"/>
  </r>
  <r>
    <s v="Singapore"/>
    <x v="3"/>
    <s v="SG3"/>
    <m/>
    <x v="2"/>
    <x v="3"/>
    <x v="0"/>
    <x v="5"/>
    <x v="0"/>
    <x v="0"/>
    <x v="0"/>
    <m/>
    <x v="0"/>
    <x v="0"/>
    <n v="-59.838440472000002"/>
    <m/>
    <x v="13"/>
    <x v="1"/>
    <x v="0"/>
    <x v="2"/>
    <x v="2"/>
  </r>
  <r>
    <s v="Singapore"/>
    <x v="3"/>
    <s v="SG2"/>
    <m/>
    <x v="4"/>
    <x v="3"/>
    <x v="1"/>
    <x v="0"/>
    <x v="0"/>
    <x v="0"/>
    <x v="0"/>
    <m/>
    <x v="0"/>
    <x v="0"/>
    <n v="-11.635456572000001"/>
    <m/>
    <x v="13"/>
    <x v="2"/>
    <x v="0"/>
    <x v="5"/>
    <x v="0"/>
  </r>
  <r>
    <s v="Singapore"/>
    <x v="0"/>
    <s v="SG2"/>
    <m/>
    <x v="3"/>
    <x v="3"/>
    <x v="1"/>
    <x v="2"/>
    <x v="0"/>
    <x v="0"/>
    <x v="0"/>
    <m/>
    <x v="0"/>
    <x v="0"/>
    <n v="-172.3956561"/>
    <m/>
    <x v="13"/>
    <x v="2"/>
    <x v="0"/>
    <x v="5"/>
    <x v="1"/>
  </r>
  <r>
    <s v="Singapore"/>
    <x v="0"/>
    <s v="SG3"/>
    <m/>
    <x v="2"/>
    <x v="1"/>
    <x v="2"/>
    <x v="0"/>
    <x v="0"/>
    <x v="0"/>
    <x v="0"/>
    <m/>
    <x v="0"/>
    <x v="0"/>
    <n v="-4.6269629999999999E-2"/>
    <m/>
    <x v="13"/>
    <x v="3"/>
    <x v="0"/>
    <x v="2"/>
    <x v="2"/>
  </r>
  <r>
    <s v="Singapore"/>
    <x v="3"/>
    <s v="SG2"/>
    <m/>
    <x v="2"/>
    <x v="4"/>
    <x v="1"/>
    <x v="5"/>
    <x v="0"/>
    <x v="0"/>
    <x v="0"/>
    <m/>
    <x v="0"/>
    <x v="0"/>
    <n v="-0.10517382900000001"/>
    <m/>
    <x v="13"/>
    <x v="3"/>
    <x v="0"/>
    <x v="0"/>
    <x v="2"/>
  </r>
  <r>
    <s v="Singapore"/>
    <x v="2"/>
    <s v="SG4"/>
    <m/>
    <x v="1"/>
    <x v="4"/>
    <x v="3"/>
    <x v="4"/>
    <x v="0"/>
    <x v="0"/>
    <x v="0"/>
    <m/>
    <x v="0"/>
    <x v="0"/>
    <n v="-3.9602129580000001"/>
    <m/>
    <x v="13"/>
    <x v="2"/>
    <x v="0"/>
    <x v="3"/>
    <x v="2"/>
  </r>
  <r>
    <s v="Singapore"/>
    <x v="0"/>
    <s v="SG1"/>
    <m/>
    <x v="4"/>
    <x v="4"/>
    <x v="2"/>
    <x v="3"/>
    <x v="0"/>
    <x v="0"/>
    <x v="0"/>
    <m/>
    <x v="0"/>
    <x v="0"/>
    <n v="-138.79352910599999"/>
    <m/>
    <x v="13"/>
    <x v="2"/>
    <x v="0"/>
    <x v="4"/>
    <x v="1"/>
  </r>
  <r>
    <s v="Singapore"/>
    <x v="4"/>
    <s v="SG1"/>
    <m/>
    <x v="4"/>
    <x v="2"/>
    <x v="0"/>
    <x v="5"/>
    <x v="0"/>
    <x v="0"/>
    <x v="0"/>
    <m/>
    <x v="0"/>
    <x v="0"/>
    <n v="0.1885059"/>
    <m/>
    <x v="13"/>
    <x v="0"/>
    <x v="0"/>
    <x v="3"/>
    <x v="1"/>
  </r>
  <r>
    <s v="Singapore"/>
    <x v="5"/>
    <s v="SG3"/>
    <m/>
    <x v="3"/>
    <x v="3"/>
    <x v="3"/>
    <x v="0"/>
    <x v="0"/>
    <x v="0"/>
    <x v="0"/>
    <m/>
    <x v="0"/>
    <x v="0"/>
    <n v="-0.25174106100000004"/>
    <m/>
    <x v="13"/>
    <x v="1"/>
    <x v="0"/>
    <x v="3"/>
    <x v="1"/>
  </r>
  <r>
    <s v="Singapore"/>
    <x v="3"/>
    <s v="SG3"/>
    <m/>
    <x v="5"/>
    <x v="2"/>
    <x v="4"/>
    <x v="4"/>
    <x v="0"/>
    <x v="0"/>
    <x v="0"/>
    <m/>
    <x v="0"/>
    <x v="0"/>
    <n v="-16.926038235"/>
    <m/>
    <x v="13"/>
    <x v="0"/>
    <x v="0"/>
    <x v="0"/>
    <x v="0"/>
  </r>
  <r>
    <s v="Singapore"/>
    <x v="0"/>
    <s v="SG3"/>
    <m/>
    <x v="3"/>
    <x v="2"/>
    <x v="2"/>
    <x v="0"/>
    <x v="0"/>
    <x v="0"/>
    <x v="0"/>
    <m/>
    <x v="0"/>
    <x v="0"/>
    <n v="0.1885059"/>
    <m/>
    <x v="13"/>
    <x v="1"/>
    <x v="0"/>
    <x v="2"/>
    <x v="2"/>
  </r>
  <r>
    <s v="Singapore"/>
    <x v="5"/>
    <s v="SG2"/>
    <m/>
    <x v="1"/>
    <x v="0"/>
    <x v="4"/>
    <x v="0"/>
    <x v="0"/>
    <x v="0"/>
    <x v="0"/>
    <m/>
    <x v="0"/>
    <x v="0"/>
    <n v="-4.5941068889999999"/>
    <m/>
    <x v="13"/>
    <x v="3"/>
    <x v="0"/>
    <x v="5"/>
    <x v="1"/>
  </r>
  <r>
    <s v="Singapore"/>
    <x v="3"/>
    <s v="SG4"/>
    <m/>
    <x v="1"/>
    <x v="1"/>
    <x v="2"/>
    <x v="4"/>
    <x v="0"/>
    <x v="0"/>
    <x v="0"/>
    <m/>
    <x v="0"/>
    <x v="0"/>
    <n v="-11.635456572000001"/>
    <m/>
    <x v="13"/>
    <x v="2"/>
    <x v="0"/>
    <x v="4"/>
    <x v="0"/>
  </r>
  <r>
    <s v="Singapore"/>
    <x v="5"/>
    <s v="SG3"/>
    <m/>
    <x v="1"/>
    <x v="2"/>
    <x v="4"/>
    <x v="3"/>
    <x v="0"/>
    <x v="0"/>
    <x v="0"/>
    <m/>
    <x v="0"/>
    <x v="0"/>
    <n v="-1.4421168719999999"/>
    <m/>
    <x v="13"/>
    <x v="0"/>
    <x v="0"/>
    <x v="4"/>
    <x v="0"/>
  </r>
  <r>
    <s v="Singapore"/>
    <x v="2"/>
    <s v="SG1"/>
    <m/>
    <x v="2"/>
    <x v="1"/>
    <x v="3"/>
    <x v="1"/>
    <x v="0"/>
    <x v="0"/>
    <x v="0"/>
    <m/>
    <x v="0"/>
    <x v="0"/>
    <n v="-3.0734874360000002"/>
    <m/>
    <x v="13"/>
    <x v="0"/>
    <x v="0"/>
    <x v="5"/>
    <x v="1"/>
  </r>
  <r>
    <s v="Singapore"/>
    <x v="1"/>
    <s v="SG2"/>
    <m/>
    <x v="2"/>
    <x v="0"/>
    <x v="0"/>
    <x v="5"/>
    <x v="0"/>
    <x v="0"/>
    <x v="0"/>
    <m/>
    <x v="0"/>
    <x v="0"/>
    <n v="-3.0793607189999999"/>
    <m/>
    <x v="13"/>
    <x v="1"/>
    <x v="0"/>
    <x v="0"/>
    <x v="1"/>
  </r>
  <r>
    <s v="Singapore"/>
    <x v="3"/>
    <s v="SG1"/>
    <m/>
    <x v="2"/>
    <x v="1"/>
    <x v="2"/>
    <x v="4"/>
    <x v="0"/>
    <x v="0"/>
    <x v="0"/>
    <m/>
    <x v="0"/>
    <x v="0"/>
    <n v="-0.25174106100000004"/>
    <m/>
    <x v="13"/>
    <x v="0"/>
    <x v="0"/>
    <x v="1"/>
    <x v="0"/>
  </r>
  <r>
    <s v="Singapore"/>
    <x v="2"/>
    <s v="SG2"/>
    <m/>
    <x v="1"/>
    <x v="2"/>
    <x v="4"/>
    <x v="0"/>
    <x v="0"/>
    <x v="0"/>
    <x v="0"/>
    <m/>
    <x v="0"/>
    <x v="0"/>
    <n v="-3.2982924059999998"/>
    <m/>
    <x v="13"/>
    <x v="3"/>
    <x v="0"/>
    <x v="2"/>
    <x v="0"/>
  </r>
  <r>
    <s v="Singapore"/>
    <x v="0"/>
    <s v="SG3"/>
    <m/>
    <x v="0"/>
    <x v="4"/>
    <x v="4"/>
    <x v="5"/>
    <x v="0"/>
    <x v="0"/>
    <x v="0"/>
    <m/>
    <x v="0"/>
    <x v="0"/>
    <n v="-5.9281989749999999"/>
    <m/>
    <x v="13"/>
    <x v="3"/>
    <x v="0"/>
    <x v="5"/>
    <x v="0"/>
  </r>
  <r>
    <s v="Singapore"/>
    <x v="1"/>
    <s v="SG3"/>
    <m/>
    <x v="0"/>
    <x v="0"/>
    <x v="0"/>
    <x v="0"/>
    <x v="0"/>
    <x v="0"/>
    <x v="0"/>
    <m/>
    <x v="0"/>
    <x v="0"/>
    <n v="-1.2971075400000001"/>
    <m/>
    <x v="13"/>
    <x v="2"/>
    <x v="0"/>
    <x v="0"/>
    <x v="2"/>
  </r>
  <r>
    <s v="Singapore"/>
    <x v="2"/>
    <s v="SG4"/>
    <m/>
    <x v="1"/>
    <x v="1"/>
    <x v="0"/>
    <x v="2"/>
    <x v="0"/>
    <x v="0"/>
    <x v="0"/>
    <m/>
    <x v="0"/>
    <x v="0"/>
    <n v="-4.7983320000000003E-2"/>
    <m/>
    <x v="13"/>
    <x v="0"/>
    <x v="0"/>
    <x v="2"/>
    <x v="0"/>
  </r>
  <r>
    <s v="Singapore"/>
    <x v="2"/>
    <s v="SG4"/>
    <m/>
    <x v="3"/>
    <x v="2"/>
    <x v="1"/>
    <x v="4"/>
    <x v="0"/>
    <x v="0"/>
    <x v="0"/>
    <m/>
    <x v="0"/>
    <x v="0"/>
    <n v="-3.3852076470000001"/>
    <m/>
    <x v="13"/>
    <x v="2"/>
    <x v="0"/>
    <x v="2"/>
    <x v="0"/>
  </r>
  <r>
    <s v="Singapore"/>
    <x v="0"/>
    <s v="SG3"/>
    <m/>
    <x v="1"/>
    <x v="3"/>
    <x v="1"/>
    <x v="0"/>
    <x v="0"/>
    <x v="0"/>
    <x v="0"/>
    <m/>
    <x v="0"/>
    <x v="0"/>
    <n v="-0.23712795900000003"/>
    <m/>
    <x v="13"/>
    <x v="3"/>
    <x v="0"/>
    <x v="3"/>
    <x v="0"/>
  </r>
  <r>
    <s v="Singapore"/>
    <x v="0"/>
    <s v="SG4"/>
    <m/>
    <x v="5"/>
    <x v="2"/>
    <x v="3"/>
    <x v="4"/>
    <x v="0"/>
    <x v="0"/>
    <x v="0"/>
    <m/>
    <x v="0"/>
    <x v="0"/>
    <n v="-4.7983320000000003E-2"/>
    <m/>
    <x v="13"/>
    <x v="2"/>
    <x v="0"/>
    <x v="2"/>
    <x v="1"/>
  </r>
  <r>
    <s v="Singapore"/>
    <x v="4"/>
    <s v="SG1"/>
    <m/>
    <x v="1"/>
    <x v="2"/>
    <x v="0"/>
    <x v="4"/>
    <x v="0"/>
    <x v="0"/>
    <x v="0"/>
    <m/>
    <x v="0"/>
    <x v="0"/>
    <n v="-138.874275063"/>
    <m/>
    <x v="13"/>
    <x v="2"/>
    <x v="0"/>
    <x v="4"/>
    <x v="1"/>
  </r>
  <r>
    <s v="Singapore"/>
    <x v="5"/>
    <s v="SG4"/>
    <m/>
    <x v="1"/>
    <x v="1"/>
    <x v="1"/>
    <x v="4"/>
    <x v="0"/>
    <x v="0"/>
    <x v="0"/>
    <m/>
    <x v="0"/>
    <x v="0"/>
    <n v="-5.1957834480000002"/>
    <m/>
    <x v="13"/>
    <x v="2"/>
    <x v="0"/>
    <x v="1"/>
    <x v="1"/>
  </r>
  <r>
    <s v="Singapore"/>
    <x v="2"/>
    <s v="SG3"/>
    <m/>
    <x v="2"/>
    <x v="4"/>
    <x v="3"/>
    <x v="2"/>
    <x v="0"/>
    <x v="0"/>
    <x v="0"/>
    <m/>
    <x v="0"/>
    <x v="0"/>
    <n v="0.20564280000000001"/>
    <m/>
    <x v="13"/>
    <x v="2"/>
    <x v="0"/>
    <x v="5"/>
    <x v="1"/>
  </r>
  <r>
    <s v="Singapore"/>
    <x v="5"/>
    <s v="SG1"/>
    <m/>
    <x v="0"/>
    <x v="3"/>
    <x v="3"/>
    <x v="5"/>
    <x v="0"/>
    <x v="0"/>
    <x v="0"/>
    <m/>
    <x v="0"/>
    <x v="0"/>
    <n v="-1.01543922"/>
    <m/>
    <x v="13"/>
    <x v="1"/>
    <x v="0"/>
    <x v="3"/>
    <x v="2"/>
  </r>
  <r>
    <s v="Singapore"/>
    <x v="5"/>
    <s v="SG1"/>
    <m/>
    <x v="1"/>
    <x v="2"/>
    <x v="1"/>
    <x v="1"/>
    <x v="0"/>
    <x v="0"/>
    <x v="0"/>
    <m/>
    <x v="0"/>
    <x v="0"/>
    <n v="-37.750331745000004"/>
    <m/>
    <x v="13"/>
    <x v="3"/>
    <x v="0"/>
    <x v="0"/>
    <x v="2"/>
  </r>
  <r>
    <s v="Singapore"/>
    <x v="4"/>
    <s v="SG4"/>
    <m/>
    <x v="4"/>
    <x v="2"/>
    <x v="1"/>
    <x v="3"/>
    <x v="0"/>
    <x v="0"/>
    <x v="0"/>
    <m/>
    <x v="0"/>
    <x v="0"/>
    <n v="-0.28045315800000004"/>
    <m/>
    <x v="13"/>
    <x v="2"/>
    <x v="0"/>
    <x v="4"/>
    <x v="2"/>
  </r>
  <r>
    <s v="Singapore"/>
    <x v="4"/>
    <s v="SG3"/>
    <m/>
    <x v="4"/>
    <x v="2"/>
    <x v="2"/>
    <x v="1"/>
    <x v="0"/>
    <x v="0"/>
    <x v="0"/>
    <m/>
    <x v="0"/>
    <x v="0"/>
    <n v="-2.3168465640000004"/>
    <m/>
    <x v="13"/>
    <x v="0"/>
    <x v="0"/>
    <x v="0"/>
    <x v="2"/>
  </r>
  <r>
    <s v="Singapore"/>
    <x v="1"/>
    <s v="SG1"/>
    <m/>
    <x v="1"/>
    <x v="3"/>
    <x v="3"/>
    <x v="4"/>
    <x v="0"/>
    <x v="0"/>
    <x v="0"/>
    <m/>
    <x v="0"/>
    <x v="0"/>
    <n v="0.1885059"/>
    <m/>
    <x v="13"/>
    <x v="3"/>
    <x v="0"/>
    <x v="1"/>
    <x v="1"/>
  </r>
  <r>
    <s v="Singapore"/>
    <x v="1"/>
    <s v="SG4"/>
    <m/>
    <x v="0"/>
    <x v="0"/>
    <x v="4"/>
    <x v="3"/>
    <x v="0"/>
    <x v="0"/>
    <x v="0"/>
    <m/>
    <x v="0"/>
    <x v="0"/>
    <n v="-62.253980001000009"/>
    <m/>
    <x v="13"/>
    <x v="2"/>
    <x v="0"/>
    <x v="1"/>
    <x v="0"/>
  </r>
  <r>
    <s v="Singapore"/>
    <x v="0"/>
    <s v="SG3"/>
    <m/>
    <x v="2"/>
    <x v="1"/>
    <x v="2"/>
    <x v="4"/>
    <x v="0"/>
    <x v="0"/>
    <x v="0"/>
    <m/>
    <x v="0"/>
    <x v="0"/>
    <n v="-4.1128559999999998"/>
    <m/>
    <x v="13"/>
    <x v="2"/>
    <x v="0"/>
    <x v="1"/>
    <x v="0"/>
  </r>
  <r>
    <s v="Singapore"/>
    <x v="0"/>
    <s v="SG3"/>
    <m/>
    <x v="3"/>
    <x v="2"/>
    <x v="3"/>
    <x v="4"/>
    <x v="0"/>
    <x v="0"/>
    <x v="0"/>
    <m/>
    <x v="0"/>
    <x v="0"/>
    <n v="-17.370787527000001"/>
    <m/>
    <x v="13"/>
    <x v="2"/>
    <x v="0"/>
    <x v="5"/>
    <x v="1"/>
  </r>
  <r>
    <s v="Singapore"/>
    <x v="0"/>
    <s v="SG2"/>
    <m/>
    <x v="2"/>
    <x v="0"/>
    <x v="2"/>
    <x v="1"/>
    <x v="0"/>
    <x v="0"/>
    <x v="0"/>
    <m/>
    <x v="0"/>
    <x v="0"/>
    <n v="-0.10517382900000001"/>
    <m/>
    <x v="13"/>
    <x v="0"/>
    <x v="0"/>
    <x v="4"/>
    <x v="1"/>
  </r>
  <r>
    <s v="Singapore"/>
    <x v="2"/>
    <s v="SG3"/>
    <m/>
    <x v="0"/>
    <x v="0"/>
    <x v="4"/>
    <x v="4"/>
    <x v="0"/>
    <x v="0"/>
    <x v="0"/>
    <m/>
    <x v="0"/>
    <x v="0"/>
    <n v="-188.03764199700001"/>
    <m/>
    <x v="13"/>
    <x v="1"/>
    <x v="0"/>
    <x v="2"/>
    <x v="0"/>
  </r>
  <r>
    <s v="Singapore"/>
    <x v="3"/>
    <s v="SG3"/>
    <m/>
    <x v="3"/>
    <x v="3"/>
    <x v="4"/>
    <x v="3"/>
    <x v="0"/>
    <x v="0"/>
    <x v="0"/>
    <m/>
    <x v="0"/>
    <x v="0"/>
    <n v="-0.52586914500000004"/>
    <m/>
    <x v="13"/>
    <x v="2"/>
    <x v="0"/>
    <x v="0"/>
    <x v="1"/>
  </r>
  <r>
    <s v="Singapore"/>
    <x v="4"/>
    <s v="SG1"/>
    <m/>
    <x v="3"/>
    <x v="1"/>
    <x v="1"/>
    <x v="1"/>
    <x v="0"/>
    <x v="0"/>
    <x v="0"/>
    <m/>
    <x v="0"/>
    <x v="0"/>
    <n v="-1.4754870900000001"/>
    <m/>
    <x v="13"/>
    <x v="1"/>
    <x v="0"/>
    <x v="0"/>
    <x v="0"/>
  </r>
  <r>
    <s v="Singapore"/>
    <x v="0"/>
    <s v="SG4"/>
    <m/>
    <x v="2"/>
    <x v="4"/>
    <x v="4"/>
    <x v="1"/>
    <x v="0"/>
    <x v="0"/>
    <x v="0"/>
    <m/>
    <x v="0"/>
    <x v="0"/>
    <n v="-7.422536655"/>
    <m/>
    <x v="13"/>
    <x v="2"/>
    <x v="0"/>
    <x v="5"/>
    <x v="1"/>
  </r>
  <r>
    <s v="Singapore"/>
    <x v="1"/>
    <s v="SG2"/>
    <m/>
    <x v="4"/>
    <x v="0"/>
    <x v="4"/>
    <x v="1"/>
    <x v="0"/>
    <x v="0"/>
    <x v="0"/>
    <m/>
    <x v="0"/>
    <x v="0"/>
    <n v="-0.90915928200000007"/>
    <m/>
    <x v="13"/>
    <x v="2"/>
    <x v="0"/>
    <x v="1"/>
    <x v="2"/>
  </r>
  <r>
    <s v="Singapore"/>
    <x v="5"/>
    <s v="SG1"/>
    <m/>
    <x v="4"/>
    <x v="2"/>
    <x v="1"/>
    <x v="0"/>
    <x v="0"/>
    <x v="0"/>
    <x v="0"/>
    <m/>
    <x v="0"/>
    <x v="0"/>
    <n v="-2.9327155920000001"/>
    <m/>
    <x v="13"/>
    <x v="1"/>
    <x v="0"/>
    <x v="4"/>
    <x v="2"/>
  </r>
  <r>
    <s v="Singapore"/>
    <x v="5"/>
    <s v="SG4"/>
    <m/>
    <x v="1"/>
    <x v="0"/>
    <x v="0"/>
    <x v="2"/>
    <x v="0"/>
    <x v="0"/>
    <x v="0"/>
    <m/>
    <x v="0"/>
    <x v="0"/>
    <n v="-1.9418911920000002"/>
    <m/>
    <x v="13"/>
    <x v="1"/>
    <x v="0"/>
    <x v="5"/>
    <x v="1"/>
  </r>
  <r>
    <s v="Singapore"/>
    <x v="3"/>
    <s v="SG2"/>
    <m/>
    <x v="2"/>
    <x v="4"/>
    <x v="2"/>
    <x v="3"/>
    <x v="0"/>
    <x v="0"/>
    <x v="0"/>
    <m/>
    <x v="0"/>
    <x v="0"/>
    <n v="-8.7636392910000005"/>
    <m/>
    <x v="13"/>
    <x v="2"/>
    <x v="0"/>
    <x v="2"/>
    <x v="2"/>
  </r>
  <r>
    <s v="Singapore"/>
    <x v="3"/>
    <s v="SG1"/>
    <m/>
    <x v="0"/>
    <x v="2"/>
    <x v="0"/>
    <x v="5"/>
    <x v="0"/>
    <x v="0"/>
    <x v="0"/>
    <m/>
    <x v="0"/>
    <x v="0"/>
    <n v="-0.47640582000000004"/>
    <m/>
    <x v="13"/>
    <x v="3"/>
    <x v="0"/>
    <x v="5"/>
    <x v="1"/>
  </r>
  <r>
    <s v="Singapore"/>
    <x v="2"/>
    <s v="SG3"/>
    <m/>
    <x v="2"/>
    <x v="0"/>
    <x v="4"/>
    <x v="5"/>
    <x v="0"/>
    <x v="0"/>
    <x v="0"/>
    <m/>
    <x v="0"/>
    <x v="0"/>
    <n v="-12.384354681000001"/>
    <m/>
    <x v="13"/>
    <x v="3"/>
    <x v="0"/>
    <x v="4"/>
    <x v="1"/>
  </r>
  <r>
    <s v="Singapore"/>
    <x v="2"/>
    <s v="SG2"/>
    <m/>
    <x v="3"/>
    <x v="2"/>
    <x v="3"/>
    <x v="0"/>
    <x v="0"/>
    <x v="0"/>
    <x v="0"/>
    <m/>
    <x v="0"/>
    <x v="0"/>
    <n v="-12.865730202"/>
    <m/>
    <x v="13"/>
    <x v="1"/>
    <x v="0"/>
    <x v="0"/>
    <x v="0"/>
  </r>
  <r>
    <s v="Singapore"/>
    <x v="3"/>
    <s v="SG3"/>
    <m/>
    <x v="0"/>
    <x v="0"/>
    <x v="4"/>
    <x v="3"/>
    <x v="0"/>
    <x v="0"/>
    <x v="0"/>
    <m/>
    <x v="0"/>
    <x v="0"/>
    <n v="-52.112331423000008"/>
    <m/>
    <x v="13"/>
    <x v="0"/>
    <x v="0"/>
    <x v="5"/>
    <x v="0"/>
  </r>
  <r>
    <s v="Singapore"/>
    <x v="0"/>
    <s v="SG4"/>
    <m/>
    <x v="2"/>
    <x v="4"/>
    <x v="0"/>
    <x v="5"/>
    <x v="0"/>
    <x v="0"/>
    <x v="0"/>
    <m/>
    <x v="0"/>
    <x v="0"/>
    <n v="-43.098914024999999"/>
    <m/>
    <x v="13"/>
    <x v="3"/>
    <x v="0"/>
    <x v="3"/>
    <x v="0"/>
  </r>
  <r>
    <s v="Singapore"/>
    <x v="5"/>
    <s v="SG3"/>
    <m/>
    <x v="0"/>
    <x v="0"/>
    <x v="3"/>
    <x v="0"/>
    <x v="0"/>
    <x v="0"/>
    <x v="0"/>
    <m/>
    <x v="0"/>
    <x v="0"/>
    <n v="-1.9418911920000002"/>
    <m/>
    <x v="13"/>
    <x v="3"/>
    <x v="0"/>
    <x v="3"/>
    <x v="2"/>
  </r>
  <r>
    <s v="Singapore"/>
    <x v="5"/>
    <s v="SG1"/>
    <m/>
    <x v="4"/>
    <x v="1"/>
    <x v="0"/>
    <x v="1"/>
    <x v="0"/>
    <x v="0"/>
    <x v="0"/>
    <m/>
    <x v="0"/>
    <x v="0"/>
    <n v="-2.1509302140000002"/>
    <m/>
    <x v="13"/>
    <x v="2"/>
    <x v="0"/>
    <x v="4"/>
    <x v="0"/>
  </r>
  <r>
    <s v="Singapore"/>
    <x v="5"/>
    <s v="SG4"/>
    <m/>
    <x v="5"/>
    <x v="4"/>
    <x v="0"/>
    <x v="1"/>
    <x v="0"/>
    <x v="0"/>
    <x v="0"/>
    <m/>
    <x v="0"/>
    <x v="0"/>
    <n v="-52.913403602999999"/>
    <m/>
    <x v="13"/>
    <x v="0"/>
    <x v="0"/>
    <x v="1"/>
    <x v="2"/>
  </r>
  <r>
    <s v="Singapore"/>
    <x v="5"/>
    <s v="SG3"/>
    <m/>
    <x v="4"/>
    <x v="0"/>
    <x v="2"/>
    <x v="3"/>
    <x v="0"/>
    <x v="0"/>
    <x v="0"/>
    <m/>
    <x v="0"/>
    <x v="0"/>
    <n v="-0.44789625000000005"/>
    <m/>
    <x v="13"/>
    <x v="3"/>
    <x v="0"/>
    <x v="0"/>
    <x v="0"/>
  </r>
  <r>
    <s v="Singapore"/>
    <x v="1"/>
    <s v="SG1"/>
    <m/>
    <x v="0"/>
    <x v="3"/>
    <x v="2"/>
    <x v="3"/>
    <x v="0"/>
    <x v="0"/>
    <x v="0"/>
    <m/>
    <x v="0"/>
    <x v="0"/>
    <n v="0.1885059"/>
    <m/>
    <x v="13"/>
    <x v="0"/>
    <x v="0"/>
    <x v="3"/>
    <x v="0"/>
  </r>
  <r>
    <s v="Singapore"/>
    <x v="0"/>
    <s v="SG3"/>
    <m/>
    <x v="4"/>
    <x v="3"/>
    <x v="0"/>
    <x v="0"/>
    <x v="0"/>
    <x v="0"/>
    <x v="0"/>
    <m/>
    <x v="0"/>
    <x v="0"/>
    <n v="-68.503963221000006"/>
    <m/>
    <x v="13"/>
    <x v="0"/>
    <x v="0"/>
    <x v="0"/>
    <x v="0"/>
  </r>
  <r>
    <s v="Singapore"/>
    <x v="4"/>
    <s v="SG2"/>
    <m/>
    <x v="5"/>
    <x v="4"/>
    <x v="2"/>
    <x v="1"/>
    <x v="0"/>
    <x v="0"/>
    <x v="0"/>
    <m/>
    <x v="0"/>
    <x v="0"/>
    <n v="-1.4227677540000001"/>
    <m/>
    <x v="13"/>
    <x v="2"/>
    <x v="0"/>
    <x v="4"/>
    <x v="0"/>
  </r>
  <r>
    <s v="Singapore"/>
    <x v="0"/>
    <s v="SG2"/>
    <m/>
    <x v="3"/>
    <x v="3"/>
    <x v="0"/>
    <x v="1"/>
    <x v="0"/>
    <x v="0"/>
    <x v="0"/>
    <m/>
    <x v="0"/>
    <x v="0"/>
    <n v="-7.0261290000000004E-2"/>
    <m/>
    <x v="13"/>
    <x v="3"/>
    <x v="0"/>
    <x v="4"/>
    <x v="0"/>
  </r>
  <r>
    <s v="Singapore"/>
    <x v="1"/>
    <s v="SG2"/>
    <m/>
    <x v="0"/>
    <x v="3"/>
    <x v="4"/>
    <x v="4"/>
    <x v="0"/>
    <x v="0"/>
    <x v="0"/>
    <m/>
    <x v="0"/>
    <x v="0"/>
    <n v="-9.5966640000000006E-2"/>
    <m/>
    <x v="13"/>
    <x v="1"/>
    <x v="0"/>
    <x v="2"/>
    <x v="2"/>
  </r>
  <r>
    <s v="Singapore"/>
    <x v="3"/>
    <s v="SG1"/>
    <m/>
    <x v="5"/>
    <x v="1"/>
    <x v="3"/>
    <x v="0"/>
    <x v="0"/>
    <x v="0"/>
    <x v="0"/>
    <m/>
    <x v="0"/>
    <x v="0"/>
    <n v="-185.10963126300001"/>
    <m/>
    <x v="13"/>
    <x v="1"/>
    <x v="0"/>
    <x v="0"/>
    <x v="1"/>
  </r>
  <r>
    <s v="Singapore"/>
    <x v="4"/>
    <s v="SG3"/>
    <m/>
    <x v="2"/>
    <x v="1"/>
    <x v="2"/>
    <x v="3"/>
    <x v="0"/>
    <x v="0"/>
    <x v="0"/>
    <m/>
    <x v="0"/>
    <x v="0"/>
    <n v="-4.2530670000000001E-3"/>
    <m/>
    <x v="15"/>
    <x v="3"/>
    <x v="0"/>
    <x v="2"/>
    <x v="1"/>
  </r>
  <r>
    <s v="Singapore"/>
    <x v="1"/>
    <s v="SG4"/>
    <m/>
    <x v="1"/>
    <x v="2"/>
    <x v="1"/>
    <x v="3"/>
    <x v="0"/>
    <x v="0"/>
    <x v="0"/>
    <m/>
    <x v="0"/>
    <x v="0"/>
    <n v="-0.35842605300000002"/>
    <m/>
    <x v="15"/>
    <x v="3"/>
    <x v="0"/>
    <x v="5"/>
    <x v="1"/>
  </r>
  <r>
    <s v="Singapore"/>
    <x v="1"/>
    <s v="SG3"/>
    <m/>
    <x v="3"/>
    <x v="2"/>
    <x v="0"/>
    <x v="4"/>
    <x v="0"/>
    <x v="0"/>
    <x v="0"/>
    <m/>
    <x v="0"/>
    <x v="0"/>
    <n v="-0.131112864"/>
    <m/>
    <x v="15"/>
    <x v="1"/>
    <x v="0"/>
    <x v="1"/>
    <x v="2"/>
  </r>
  <r>
    <s v="Singapore"/>
    <x v="4"/>
    <s v="SG2"/>
    <m/>
    <x v="4"/>
    <x v="1"/>
    <x v="3"/>
    <x v="1"/>
    <x v="0"/>
    <x v="0"/>
    <x v="0"/>
    <m/>
    <x v="0"/>
    <x v="0"/>
    <n v="-4.3917201000000003E-2"/>
    <m/>
    <x v="15"/>
    <x v="1"/>
    <x v="0"/>
    <x v="1"/>
    <x v="1"/>
  </r>
  <r>
    <s v="Singapore"/>
    <x v="1"/>
    <s v="SG1"/>
    <m/>
    <x v="5"/>
    <x v="1"/>
    <x v="4"/>
    <x v="2"/>
    <x v="0"/>
    <x v="0"/>
    <x v="0"/>
    <m/>
    <x v="0"/>
    <x v="0"/>
    <n v="-8.7242400000000012E-4"/>
    <m/>
    <x v="15"/>
    <x v="0"/>
    <x v="0"/>
    <x v="1"/>
    <x v="0"/>
  </r>
  <r>
    <s v="Singapore"/>
    <x v="3"/>
    <s v="SG1"/>
    <m/>
    <x v="3"/>
    <x v="0"/>
    <x v="2"/>
    <x v="2"/>
    <x v="0"/>
    <x v="0"/>
    <x v="0"/>
    <m/>
    <x v="0"/>
    <x v="0"/>
    <n v="-7.1678979000000004E-2"/>
    <m/>
    <x v="15"/>
    <x v="1"/>
    <x v="0"/>
    <x v="0"/>
    <x v="2"/>
  </r>
  <r>
    <s v="Singapore"/>
    <x v="0"/>
    <s v="SG4"/>
    <m/>
    <x v="1"/>
    <x v="1"/>
    <x v="3"/>
    <x v="1"/>
    <x v="0"/>
    <x v="0"/>
    <x v="0"/>
    <m/>
    <x v="0"/>
    <x v="0"/>
    <n v="-7.1694558000000005E-2"/>
    <m/>
    <x v="15"/>
    <x v="3"/>
    <x v="0"/>
    <x v="4"/>
    <x v="1"/>
  </r>
  <r>
    <s v="Singapore"/>
    <x v="5"/>
    <s v="SG1"/>
    <m/>
    <x v="4"/>
    <x v="1"/>
    <x v="3"/>
    <x v="4"/>
    <x v="0"/>
    <x v="0"/>
    <x v="0"/>
    <m/>
    <x v="0"/>
    <x v="0"/>
    <n v="-4.17345831"/>
    <m/>
    <x v="15"/>
    <x v="0"/>
    <x v="0"/>
    <x v="1"/>
    <x v="0"/>
  </r>
  <r>
    <s v="Singapore"/>
    <x v="1"/>
    <s v="SG3"/>
    <m/>
    <x v="5"/>
    <x v="3"/>
    <x v="1"/>
    <x v="3"/>
    <x v="0"/>
    <x v="0"/>
    <x v="0"/>
    <m/>
    <x v="0"/>
    <x v="0"/>
    <n v="-0.33094469700000001"/>
    <m/>
    <x v="15"/>
    <x v="3"/>
    <x v="0"/>
    <x v="0"/>
    <x v="0"/>
  </r>
  <r>
    <s v="Singapore"/>
    <x v="5"/>
    <s v="SG1"/>
    <m/>
    <x v="0"/>
    <x v="4"/>
    <x v="4"/>
    <x v="4"/>
    <x v="0"/>
    <x v="0"/>
    <x v="0"/>
    <m/>
    <x v="0"/>
    <x v="0"/>
    <n v="-4.17345831"/>
    <m/>
    <x v="15"/>
    <x v="2"/>
    <x v="0"/>
    <x v="2"/>
    <x v="1"/>
  </r>
  <r>
    <s v="Singapore"/>
    <x v="2"/>
    <s v="SG4"/>
    <m/>
    <x v="5"/>
    <x v="2"/>
    <x v="3"/>
    <x v="1"/>
    <x v="0"/>
    <x v="0"/>
    <x v="0"/>
    <m/>
    <x v="0"/>
    <x v="0"/>
    <n v="-11.692397817"/>
    <m/>
    <x v="15"/>
    <x v="1"/>
    <x v="0"/>
    <x v="3"/>
    <x v="2"/>
  </r>
  <r>
    <s v="Singapore"/>
    <x v="1"/>
    <s v="SG3"/>
    <m/>
    <x v="4"/>
    <x v="4"/>
    <x v="4"/>
    <x v="4"/>
    <x v="0"/>
    <x v="0"/>
    <x v="0"/>
    <m/>
    <x v="0"/>
    <x v="0"/>
    <n v="-2.0038644539999999"/>
    <m/>
    <x v="15"/>
    <x v="1"/>
    <x v="0"/>
    <x v="4"/>
    <x v="2"/>
  </r>
  <r>
    <s v="Singapore"/>
    <x v="1"/>
    <s v="SG4"/>
    <m/>
    <x v="3"/>
    <x v="4"/>
    <x v="3"/>
    <x v="5"/>
    <x v="0"/>
    <x v="0"/>
    <x v="0"/>
    <m/>
    <x v="0"/>
    <x v="0"/>
    <n v="-5.7570013440000007"/>
    <m/>
    <x v="15"/>
    <x v="2"/>
    <x v="0"/>
    <x v="0"/>
    <x v="0"/>
  </r>
  <r>
    <s v="Singapore"/>
    <x v="5"/>
    <s v="SG1"/>
    <m/>
    <x v="1"/>
    <x v="1"/>
    <x v="1"/>
    <x v="5"/>
    <x v="0"/>
    <x v="0"/>
    <x v="0"/>
    <m/>
    <x v="0"/>
    <x v="0"/>
    <n v="-60.386649903000006"/>
    <m/>
    <x v="15"/>
    <x v="1"/>
    <x v="0"/>
    <x v="4"/>
    <x v="0"/>
  </r>
  <r>
    <s v="Singapore"/>
    <x v="5"/>
    <s v="SG3"/>
    <m/>
    <x v="1"/>
    <x v="3"/>
    <x v="1"/>
    <x v="3"/>
    <x v="0"/>
    <x v="0"/>
    <x v="0"/>
    <m/>
    <x v="0"/>
    <x v="0"/>
    <n v="-4.17345831"/>
    <m/>
    <x v="15"/>
    <x v="3"/>
    <x v="0"/>
    <x v="1"/>
    <x v="0"/>
  </r>
  <r>
    <s v="Singapore"/>
    <x v="3"/>
    <s v="SG4"/>
    <m/>
    <x v="3"/>
    <x v="0"/>
    <x v="2"/>
    <x v="0"/>
    <x v="0"/>
    <x v="0"/>
    <x v="0"/>
    <m/>
    <x v="0"/>
    <x v="0"/>
    <n v="-1.1692351080000001"/>
    <m/>
    <x v="15"/>
    <x v="1"/>
    <x v="0"/>
    <x v="4"/>
    <x v="0"/>
  </r>
  <r>
    <s v="Singapore"/>
    <x v="0"/>
    <s v="SG2"/>
    <m/>
    <x v="4"/>
    <x v="4"/>
    <x v="3"/>
    <x v="1"/>
    <x v="0"/>
    <x v="0"/>
    <x v="0"/>
    <m/>
    <x v="0"/>
    <x v="0"/>
    <n v="-7.1678979000000004E-2"/>
    <m/>
    <x v="15"/>
    <x v="1"/>
    <x v="0"/>
    <x v="0"/>
    <x v="1"/>
  </r>
  <r>
    <s v="Singapore"/>
    <x v="0"/>
    <s v="SG2"/>
    <m/>
    <x v="3"/>
    <x v="0"/>
    <x v="3"/>
    <x v="2"/>
    <x v="0"/>
    <x v="0"/>
    <x v="0"/>
    <m/>
    <x v="0"/>
    <x v="0"/>
    <n v="-0.15083587800000001"/>
    <m/>
    <x v="15"/>
    <x v="0"/>
    <x v="0"/>
    <x v="4"/>
    <x v="1"/>
  </r>
  <r>
    <s v="Singapore"/>
    <x v="4"/>
    <s v="SG3"/>
    <m/>
    <x v="5"/>
    <x v="3"/>
    <x v="0"/>
    <x v="0"/>
    <x v="0"/>
    <x v="0"/>
    <x v="0"/>
    <m/>
    <x v="0"/>
    <x v="0"/>
    <n v="-0.88695920700000008"/>
    <m/>
    <x v="15"/>
    <x v="2"/>
    <x v="0"/>
    <x v="1"/>
    <x v="2"/>
  </r>
  <r>
    <s v="Singapore"/>
    <x v="4"/>
    <s v="SG4"/>
    <m/>
    <x v="5"/>
    <x v="2"/>
    <x v="0"/>
    <x v="0"/>
    <x v="0"/>
    <x v="0"/>
    <x v="0"/>
    <m/>
    <x v="0"/>
    <x v="0"/>
    <n v="-0.104550669"/>
    <m/>
    <x v="15"/>
    <x v="3"/>
    <x v="0"/>
    <x v="3"/>
    <x v="1"/>
  </r>
  <r>
    <s v="Singapore"/>
    <x v="5"/>
    <s v="SG1"/>
    <m/>
    <x v="5"/>
    <x v="1"/>
    <x v="0"/>
    <x v="2"/>
    <x v="0"/>
    <x v="0"/>
    <x v="0"/>
    <m/>
    <x v="0"/>
    <x v="0"/>
    <n v="-2.4206650199999999"/>
    <m/>
    <x v="15"/>
    <x v="0"/>
    <x v="0"/>
    <x v="3"/>
    <x v="1"/>
  </r>
  <r>
    <s v="Singapore"/>
    <x v="5"/>
    <s v="SG3"/>
    <m/>
    <x v="3"/>
    <x v="0"/>
    <x v="1"/>
    <x v="0"/>
    <x v="0"/>
    <x v="0"/>
    <x v="0"/>
    <m/>
    <x v="0"/>
    <x v="0"/>
    <n v="-0.70716196800000009"/>
    <m/>
    <x v="15"/>
    <x v="1"/>
    <x v="0"/>
    <x v="2"/>
    <x v="0"/>
  </r>
  <r>
    <s v="Singapore"/>
    <x v="4"/>
    <s v="SG3"/>
    <m/>
    <x v="2"/>
    <x v="4"/>
    <x v="4"/>
    <x v="0"/>
    <x v="0"/>
    <x v="0"/>
    <x v="0"/>
    <m/>
    <x v="0"/>
    <x v="0"/>
    <n v="-0.94703183099999999"/>
    <m/>
    <x v="15"/>
    <x v="0"/>
    <x v="0"/>
    <x v="2"/>
    <x v="2"/>
  </r>
  <r>
    <s v="Singapore"/>
    <x v="1"/>
    <s v="SG4"/>
    <m/>
    <x v="0"/>
    <x v="0"/>
    <x v="4"/>
    <x v="5"/>
    <x v="0"/>
    <x v="0"/>
    <x v="0"/>
    <m/>
    <x v="0"/>
    <x v="0"/>
    <n v="-4.17345831"/>
    <m/>
    <x v="15"/>
    <x v="3"/>
    <x v="0"/>
    <x v="1"/>
    <x v="0"/>
  </r>
  <r>
    <s v="Singapore"/>
    <x v="2"/>
    <s v="SG3"/>
    <m/>
    <x v="5"/>
    <x v="2"/>
    <x v="4"/>
    <x v="3"/>
    <x v="0"/>
    <x v="0"/>
    <x v="0"/>
    <m/>
    <x v="0"/>
    <x v="0"/>
    <n v="-0.86430734099999995"/>
    <m/>
    <x v="15"/>
    <x v="2"/>
    <x v="0"/>
    <x v="3"/>
    <x v="2"/>
  </r>
  <r>
    <s v="Singapore"/>
    <x v="2"/>
    <s v="SG3"/>
    <m/>
    <x v="4"/>
    <x v="3"/>
    <x v="3"/>
    <x v="3"/>
    <x v="0"/>
    <x v="0"/>
    <x v="0"/>
    <m/>
    <x v="0"/>
    <x v="0"/>
    <n v="-0.30336986700000002"/>
    <m/>
    <x v="15"/>
    <x v="1"/>
    <x v="0"/>
    <x v="4"/>
    <x v="0"/>
  </r>
  <r>
    <s v="Singapore"/>
    <x v="3"/>
    <s v="SG3"/>
    <m/>
    <x v="4"/>
    <x v="4"/>
    <x v="3"/>
    <x v="3"/>
    <x v="0"/>
    <x v="0"/>
    <x v="0"/>
    <m/>
    <x v="0"/>
    <x v="0"/>
    <n v="-0.30336986700000002"/>
    <m/>
    <x v="15"/>
    <x v="1"/>
    <x v="0"/>
    <x v="1"/>
    <x v="1"/>
  </r>
  <r>
    <s v="Singapore"/>
    <x v="0"/>
    <s v="SG2"/>
    <m/>
    <x v="0"/>
    <x v="1"/>
    <x v="3"/>
    <x v="3"/>
    <x v="0"/>
    <x v="0"/>
    <x v="0"/>
    <m/>
    <x v="0"/>
    <x v="0"/>
    <n v="-0.30336986700000002"/>
    <m/>
    <x v="15"/>
    <x v="2"/>
    <x v="0"/>
    <x v="1"/>
    <x v="2"/>
  </r>
  <r>
    <s v="Singapore"/>
    <x v="2"/>
    <s v="SG1"/>
    <m/>
    <x v="1"/>
    <x v="2"/>
    <x v="0"/>
    <x v="1"/>
    <x v="0"/>
    <x v="0"/>
    <x v="0"/>
    <m/>
    <x v="0"/>
    <x v="0"/>
    <n v="-0.131112864"/>
    <m/>
    <x v="15"/>
    <x v="2"/>
    <x v="0"/>
    <x v="3"/>
    <x v="1"/>
  </r>
  <r>
    <s v="Singapore"/>
    <x v="2"/>
    <s v="SG4"/>
    <m/>
    <x v="3"/>
    <x v="3"/>
    <x v="2"/>
    <x v="2"/>
    <x v="0"/>
    <x v="0"/>
    <x v="0"/>
    <m/>
    <x v="0"/>
    <x v="0"/>
    <n v="-8.7242400000000012E-4"/>
    <m/>
    <x v="15"/>
    <x v="3"/>
    <x v="0"/>
    <x v="4"/>
    <x v="0"/>
  </r>
  <r>
    <s v="Singapore"/>
    <x v="2"/>
    <s v="SG4"/>
    <m/>
    <x v="1"/>
    <x v="4"/>
    <x v="1"/>
    <x v="0"/>
    <x v="0"/>
    <x v="0"/>
    <x v="0"/>
    <m/>
    <x v="0"/>
    <x v="0"/>
    <n v="-0.35842605300000002"/>
    <m/>
    <x v="15"/>
    <x v="1"/>
    <x v="0"/>
    <x v="4"/>
    <x v="1"/>
  </r>
  <r>
    <s v="Singapore"/>
    <x v="2"/>
    <s v="SG3"/>
    <m/>
    <x v="5"/>
    <x v="4"/>
    <x v="0"/>
    <x v="1"/>
    <x v="0"/>
    <x v="0"/>
    <x v="0"/>
    <m/>
    <x v="0"/>
    <x v="0"/>
    <n v="-8.5194384660000004"/>
    <m/>
    <x v="15"/>
    <x v="2"/>
    <x v="0"/>
    <x v="5"/>
    <x v="1"/>
  </r>
  <r>
    <s v="Singapore"/>
    <x v="0"/>
    <s v="SG2"/>
    <m/>
    <x v="0"/>
    <x v="2"/>
    <x v="0"/>
    <x v="4"/>
    <x v="0"/>
    <x v="0"/>
    <x v="0"/>
    <m/>
    <x v="0"/>
    <x v="0"/>
    <n v="-5.8802156549999998"/>
    <m/>
    <x v="15"/>
    <x v="2"/>
    <x v="0"/>
    <x v="5"/>
    <x v="2"/>
  </r>
  <r>
    <s v="Singapore"/>
    <x v="5"/>
    <s v="SG2"/>
    <m/>
    <x v="5"/>
    <x v="4"/>
    <x v="0"/>
    <x v="1"/>
    <x v="0"/>
    <x v="0"/>
    <x v="0"/>
    <m/>
    <x v="0"/>
    <x v="0"/>
    <n v="-0.30336986700000002"/>
    <m/>
    <x v="15"/>
    <x v="2"/>
    <x v="0"/>
    <x v="5"/>
    <x v="2"/>
  </r>
  <r>
    <s v="Singapore"/>
    <x v="4"/>
    <s v="SG2"/>
    <m/>
    <x v="1"/>
    <x v="1"/>
    <x v="2"/>
    <x v="2"/>
    <x v="0"/>
    <x v="0"/>
    <x v="0"/>
    <m/>
    <x v="0"/>
    <x v="0"/>
    <n v="-0.131112864"/>
    <m/>
    <x v="15"/>
    <x v="3"/>
    <x v="0"/>
    <x v="3"/>
    <x v="2"/>
  </r>
  <r>
    <s v="Singapore"/>
    <x v="3"/>
    <s v="SG2"/>
    <m/>
    <x v="1"/>
    <x v="1"/>
    <x v="0"/>
    <x v="5"/>
    <x v="0"/>
    <x v="0"/>
    <x v="0"/>
    <m/>
    <x v="0"/>
    <x v="0"/>
    <n v="-1.1692351080000001"/>
    <m/>
    <x v="15"/>
    <x v="1"/>
    <x v="0"/>
    <x v="1"/>
    <x v="0"/>
  </r>
  <r>
    <s v="Singapore"/>
    <x v="3"/>
    <s v="SG3"/>
    <m/>
    <x v="3"/>
    <x v="4"/>
    <x v="2"/>
    <x v="0"/>
    <x v="0"/>
    <x v="0"/>
    <x v="0"/>
    <m/>
    <x v="0"/>
    <x v="0"/>
    <n v="-9.4221791999999999E-2"/>
    <m/>
    <x v="15"/>
    <x v="2"/>
    <x v="0"/>
    <x v="3"/>
    <x v="1"/>
  </r>
  <r>
    <s v="Singapore"/>
    <x v="3"/>
    <s v="SG4"/>
    <m/>
    <x v="2"/>
    <x v="4"/>
    <x v="1"/>
    <x v="1"/>
    <x v="0"/>
    <x v="0"/>
    <x v="0"/>
    <m/>
    <x v="0"/>
    <x v="0"/>
    <n v="-5.2251187049999999"/>
    <m/>
    <x v="15"/>
    <x v="1"/>
    <x v="0"/>
    <x v="3"/>
    <x v="0"/>
  </r>
  <r>
    <s v="Singapore"/>
    <x v="5"/>
    <s v="SG3"/>
    <m/>
    <x v="2"/>
    <x v="2"/>
    <x v="4"/>
    <x v="3"/>
    <x v="0"/>
    <x v="0"/>
    <x v="0"/>
    <m/>
    <x v="0"/>
    <x v="0"/>
    <n v="-1.919005641"/>
    <m/>
    <x v="15"/>
    <x v="2"/>
    <x v="0"/>
    <x v="1"/>
    <x v="1"/>
  </r>
  <r>
    <s v="Singapore"/>
    <x v="4"/>
    <s v="SG4"/>
    <m/>
    <x v="3"/>
    <x v="1"/>
    <x v="3"/>
    <x v="3"/>
    <x v="0"/>
    <x v="0"/>
    <x v="0"/>
    <m/>
    <x v="0"/>
    <x v="0"/>
    <n v="-3.2033695590000004"/>
    <m/>
    <x v="15"/>
    <x v="2"/>
    <x v="0"/>
    <x v="0"/>
    <x v="2"/>
  </r>
  <r>
    <s v="Singapore"/>
    <x v="4"/>
    <s v="SG1"/>
    <m/>
    <x v="4"/>
    <x v="3"/>
    <x v="1"/>
    <x v="0"/>
    <x v="0"/>
    <x v="0"/>
    <x v="0"/>
    <m/>
    <x v="0"/>
    <x v="0"/>
    <n v="-0.139650156"/>
    <m/>
    <x v="15"/>
    <x v="0"/>
    <x v="0"/>
    <x v="1"/>
    <x v="1"/>
  </r>
  <r>
    <s v="Singapore"/>
    <x v="5"/>
    <s v="SG4"/>
    <m/>
    <x v="1"/>
    <x v="0"/>
    <x v="2"/>
    <x v="5"/>
    <x v="0"/>
    <x v="0"/>
    <x v="0"/>
    <m/>
    <x v="0"/>
    <x v="0"/>
    <n v="-6.3436130100000003"/>
    <m/>
    <x v="15"/>
    <x v="3"/>
    <x v="0"/>
    <x v="1"/>
    <x v="1"/>
  </r>
  <r>
    <s v="Singapore"/>
    <x v="2"/>
    <s v="SG3"/>
    <m/>
    <x v="5"/>
    <x v="1"/>
    <x v="2"/>
    <x v="1"/>
    <x v="0"/>
    <x v="0"/>
    <x v="0"/>
    <m/>
    <x v="0"/>
    <x v="0"/>
    <n v="-4.8413300399999999"/>
    <m/>
    <x v="15"/>
    <x v="0"/>
    <x v="0"/>
    <x v="2"/>
    <x v="2"/>
  </r>
  <r>
    <s v="Singapore"/>
    <x v="4"/>
    <s v="SG2"/>
    <m/>
    <x v="4"/>
    <x v="3"/>
    <x v="2"/>
    <x v="1"/>
    <x v="0"/>
    <x v="0"/>
    <x v="0"/>
    <m/>
    <x v="0"/>
    <x v="0"/>
    <n v="-3.8396159190000003"/>
    <m/>
    <x v="15"/>
    <x v="0"/>
    <x v="0"/>
    <x v="5"/>
    <x v="1"/>
  </r>
  <r>
    <s v="Singapore"/>
    <x v="4"/>
    <s v="SG2"/>
    <m/>
    <x v="5"/>
    <x v="4"/>
    <x v="4"/>
    <x v="0"/>
    <x v="0"/>
    <x v="0"/>
    <x v="0"/>
    <m/>
    <x v="0"/>
    <x v="0"/>
    <n v="-0.28909950299999998"/>
    <m/>
    <x v="15"/>
    <x v="1"/>
    <x v="0"/>
    <x v="2"/>
    <x v="1"/>
  </r>
  <r>
    <s v="Singapore"/>
    <x v="0"/>
    <s v="SG4"/>
    <m/>
    <x v="3"/>
    <x v="0"/>
    <x v="3"/>
    <x v="0"/>
    <x v="0"/>
    <x v="0"/>
    <x v="0"/>
    <m/>
    <x v="0"/>
    <x v="0"/>
    <n v="-7.6760069849999999"/>
    <m/>
    <x v="15"/>
    <x v="1"/>
    <x v="0"/>
    <x v="5"/>
    <x v="2"/>
  </r>
  <r>
    <s v="Singapore"/>
    <x v="3"/>
    <s v="SG3"/>
    <m/>
    <x v="4"/>
    <x v="4"/>
    <x v="4"/>
    <x v="2"/>
    <x v="0"/>
    <x v="0"/>
    <x v="0"/>
    <m/>
    <x v="0"/>
    <x v="0"/>
    <n v="-0.94464824400000003"/>
    <m/>
    <x v="15"/>
    <x v="0"/>
    <x v="0"/>
    <x v="5"/>
    <x v="1"/>
  </r>
  <r>
    <s v="Singapore"/>
    <x v="4"/>
    <s v="SG1"/>
    <m/>
    <x v="0"/>
    <x v="3"/>
    <x v="2"/>
    <x v="5"/>
    <x v="0"/>
    <x v="0"/>
    <x v="0"/>
    <m/>
    <x v="0"/>
    <x v="0"/>
    <n v="-13.935384342000001"/>
    <m/>
    <x v="15"/>
    <x v="2"/>
    <x v="0"/>
    <x v="1"/>
    <x v="2"/>
  </r>
  <r>
    <s v="Singapore"/>
    <x v="3"/>
    <s v="SG2"/>
    <m/>
    <x v="3"/>
    <x v="1"/>
    <x v="2"/>
    <x v="4"/>
    <x v="0"/>
    <x v="0"/>
    <x v="0"/>
    <m/>
    <x v="0"/>
    <x v="0"/>
    <n v="-1.8791389800000002"/>
    <m/>
    <x v="15"/>
    <x v="1"/>
    <x v="0"/>
    <x v="3"/>
    <x v="1"/>
  </r>
  <r>
    <s v="Singapore"/>
    <x v="1"/>
    <s v="SG4"/>
    <m/>
    <x v="3"/>
    <x v="4"/>
    <x v="2"/>
    <x v="2"/>
    <x v="0"/>
    <x v="0"/>
    <x v="0"/>
    <m/>
    <x v="0"/>
    <x v="0"/>
    <n v="-0.40422831300000006"/>
    <m/>
    <x v="15"/>
    <x v="3"/>
    <x v="0"/>
    <x v="1"/>
    <x v="0"/>
  </r>
  <r>
    <s v="Singapore"/>
    <x v="3"/>
    <s v="SG1"/>
    <m/>
    <x v="3"/>
    <x v="0"/>
    <x v="2"/>
    <x v="1"/>
    <x v="0"/>
    <x v="0"/>
    <x v="0"/>
    <m/>
    <x v="0"/>
    <x v="0"/>
    <n v="-8.7242400000000012E-4"/>
    <m/>
    <x v="15"/>
    <x v="3"/>
    <x v="0"/>
    <x v="4"/>
    <x v="1"/>
  </r>
  <r>
    <s v="Singapore"/>
    <x v="1"/>
    <s v="SG3"/>
    <m/>
    <x v="0"/>
    <x v="3"/>
    <x v="4"/>
    <x v="5"/>
    <x v="0"/>
    <x v="0"/>
    <x v="0"/>
    <m/>
    <x v="0"/>
    <x v="0"/>
    <n v="-6.6818331000000009E-2"/>
    <m/>
    <x v="15"/>
    <x v="3"/>
    <x v="0"/>
    <x v="0"/>
    <x v="1"/>
  </r>
  <r>
    <s v="Singapore"/>
    <x v="1"/>
    <s v="SG4"/>
    <m/>
    <x v="1"/>
    <x v="0"/>
    <x v="3"/>
    <x v="1"/>
    <x v="0"/>
    <x v="0"/>
    <x v="0"/>
    <m/>
    <x v="0"/>
    <x v="0"/>
    <n v="-16.976373983999999"/>
    <m/>
    <x v="15"/>
    <x v="0"/>
    <x v="0"/>
    <x v="4"/>
    <x v="0"/>
  </r>
  <r>
    <s v="Singapore"/>
    <x v="5"/>
    <s v="SG2"/>
    <m/>
    <x v="0"/>
    <x v="4"/>
    <x v="1"/>
    <x v="3"/>
    <x v="0"/>
    <x v="0"/>
    <x v="0"/>
    <m/>
    <x v="0"/>
    <x v="0"/>
    <n v="-17.493440994"/>
    <m/>
    <x v="15"/>
    <x v="1"/>
    <x v="0"/>
    <x v="5"/>
    <x v="0"/>
  </r>
  <r>
    <s v="Singapore"/>
    <x v="0"/>
    <s v="SG3"/>
    <m/>
    <x v="0"/>
    <x v="3"/>
    <x v="2"/>
    <x v="4"/>
    <x v="0"/>
    <x v="0"/>
    <x v="0"/>
    <m/>
    <x v="0"/>
    <x v="0"/>
    <n v="-12.942706041000003"/>
    <m/>
    <x v="15"/>
    <x v="3"/>
    <x v="0"/>
    <x v="1"/>
    <x v="0"/>
  </r>
  <r>
    <s v="Singapore"/>
    <x v="3"/>
    <s v="SG3"/>
    <m/>
    <x v="3"/>
    <x v="1"/>
    <x v="1"/>
    <x v="2"/>
    <x v="0"/>
    <x v="0"/>
    <x v="0"/>
    <m/>
    <x v="0"/>
    <x v="0"/>
    <n v="-4.1735206260000002"/>
    <m/>
    <x v="15"/>
    <x v="2"/>
    <x v="0"/>
    <x v="2"/>
    <x v="1"/>
  </r>
  <r>
    <s v="Singapore"/>
    <x v="1"/>
    <s v="SG3"/>
    <m/>
    <x v="0"/>
    <x v="1"/>
    <x v="3"/>
    <x v="4"/>
    <x v="0"/>
    <x v="0"/>
    <x v="0"/>
    <m/>
    <x v="0"/>
    <x v="0"/>
    <n v="-115.993631448"/>
    <m/>
    <x v="15"/>
    <x v="1"/>
    <x v="0"/>
    <x v="5"/>
    <x v="1"/>
  </r>
  <r>
    <s v="Singapore"/>
    <x v="4"/>
    <s v="SG1"/>
    <m/>
    <x v="2"/>
    <x v="0"/>
    <x v="3"/>
    <x v="1"/>
    <x v="0"/>
    <x v="0"/>
    <x v="0"/>
    <m/>
    <x v="0"/>
    <x v="0"/>
    <n v="-0.25602528600000002"/>
    <m/>
    <x v="15"/>
    <x v="2"/>
    <x v="0"/>
    <x v="3"/>
    <x v="1"/>
  </r>
  <r>
    <s v="Singapore"/>
    <x v="4"/>
    <s v="SG2"/>
    <m/>
    <x v="1"/>
    <x v="1"/>
    <x v="4"/>
    <x v="0"/>
    <x v="0"/>
    <x v="0"/>
    <x v="0"/>
    <m/>
    <x v="0"/>
    <x v="0"/>
    <n v="-4.17345831"/>
    <m/>
    <x v="15"/>
    <x v="2"/>
    <x v="0"/>
    <x v="4"/>
    <x v="0"/>
  </r>
  <r>
    <s v="Singapore"/>
    <x v="3"/>
    <s v="SG2"/>
    <m/>
    <x v="3"/>
    <x v="2"/>
    <x v="0"/>
    <x v="2"/>
    <x v="0"/>
    <x v="0"/>
    <x v="0"/>
    <m/>
    <x v="0"/>
    <x v="0"/>
    <n v="-1.535528556"/>
    <m/>
    <x v="15"/>
    <x v="1"/>
    <x v="0"/>
    <x v="3"/>
    <x v="2"/>
  </r>
  <r>
    <s v="Singapore"/>
    <x v="3"/>
    <s v="SG1"/>
    <m/>
    <x v="1"/>
    <x v="0"/>
    <x v="1"/>
    <x v="3"/>
    <x v="0"/>
    <x v="0"/>
    <x v="0"/>
    <m/>
    <x v="0"/>
    <x v="0"/>
    <n v="-13.041585954"/>
    <m/>
    <x v="15"/>
    <x v="2"/>
    <x v="0"/>
    <x v="5"/>
    <x v="0"/>
  </r>
  <r>
    <s v="Singapore"/>
    <x v="1"/>
    <s v="SG4"/>
    <m/>
    <x v="2"/>
    <x v="1"/>
    <x v="4"/>
    <x v="2"/>
    <x v="0"/>
    <x v="0"/>
    <x v="0"/>
    <m/>
    <x v="0"/>
    <x v="0"/>
    <n v="-1.1692351080000001"/>
    <m/>
    <x v="15"/>
    <x v="3"/>
    <x v="0"/>
    <x v="1"/>
    <x v="2"/>
  </r>
  <r>
    <s v="Singapore"/>
    <x v="5"/>
    <s v="SG2"/>
    <m/>
    <x v="1"/>
    <x v="4"/>
    <x v="1"/>
    <x v="2"/>
    <x v="0"/>
    <x v="0"/>
    <x v="0"/>
    <m/>
    <x v="0"/>
    <x v="0"/>
    <n v="-1.194613299"/>
    <m/>
    <x v="15"/>
    <x v="2"/>
    <x v="0"/>
    <x v="1"/>
    <x v="2"/>
  </r>
  <r>
    <s v="Singapore"/>
    <x v="5"/>
    <s v="SG4"/>
    <m/>
    <x v="0"/>
    <x v="0"/>
    <x v="0"/>
    <x v="1"/>
    <x v="0"/>
    <x v="0"/>
    <x v="0"/>
    <m/>
    <x v="0"/>
    <x v="0"/>
    <n v="-3.6152783190000002"/>
    <m/>
    <x v="15"/>
    <x v="0"/>
    <x v="0"/>
    <x v="0"/>
    <x v="2"/>
  </r>
  <r>
    <s v="Singapore"/>
    <x v="5"/>
    <s v="SG3"/>
    <m/>
    <x v="2"/>
    <x v="2"/>
    <x v="2"/>
    <x v="2"/>
    <x v="0"/>
    <x v="0"/>
    <x v="0"/>
    <m/>
    <x v="0"/>
    <x v="0"/>
    <n v="-2.8660374720000004"/>
    <m/>
    <x v="15"/>
    <x v="2"/>
    <x v="0"/>
    <x v="4"/>
    <x v="2"/>
  </r>
  <r>
    <s v="Singapore"/>
    <x v="4"/>
    <s v="SG3"/>
    <m/>
    <x v="5"/>
    <x v="4"/>
    <x v="4"/>
    <x v="3"/>
    <x v="0"/>
    <x v="0"/>
    <x v="0"/>
    <m/>
    <x v="0"/>
    <x v="0"/>
    <n v="-0.847949391"/>
    <m/>
    <x v="15"/>
    <x v="3"/>
    <x v="0"/>
    <x v="5"/>
    <x v="0"/>
  </r>
  <r>
    <s v="Singapore"/>
    <x v="4"/>
    <s v="SG4"/>
    <m/>
    <x v="2"/>
    <x v="4"/>
    <x v="2"/>
    <x v="3"/>
    <x v="0"/>
    <x v="0"/>
    <x v="0"/>
    <m/>
    <x v="0"/>
    <x v="0"/>
    <n v="-10.528817886000001"/>
    <m/>
    <x v="15"/>
    <x v="3"/>
    <x v="0"/>
    <x v="3"/>
    <x v="2"/>
  </r>
  <r>
    <s v="Singapore"/>
    <x v="2"/>
    <s v="SG1"/>
    <m/>
    <x v="4"/>
    <x v="0"/>
    <x v="3"/>
    <x v="1"/>
    <x v="0"/>
    <x v="0"/>
    <x v="0"/>
    <m/>
    <x v="0"/>
    <x v="0"/>
    <n v="-4.17345831"/>
    <m/>
    <x v="15"/>
    <x v="2"/>
    <x v="0"/>
    <x v="4"/>
    <x v="1"/>
  </r>
  <r>
    <s v="Singapore"/>
    <x v="4"/>
    <s v="SG3"/>
    <m/>
    <x v="3"/>
    <x v="4"/>
    <x v="2"/>
    <x v="1"/>
    <x v="0"/>
    <x v="0"/>
    <x v="0"/>
    <m/>
    <x v="0"/>
    <x v="0"/>
    <n v="-0.30336986700000002"/>
    <m/>
    <x v="15"/>
    <x v="2"/>
    <x v="0"/>
    <x v="1"/>
    <x v="1"/>
  </r>
  <r>
    <s v="Singapore"/>
    <x v="3"/>
    <s v="SG2"/>
    <m/>
    <x v="1"/>
    <x v="0"/>
    <x v="3"/>
    <x v="0"/>
    <x v="0"/>
    <x v="0"/>
    <x v="0"/>
    <m/>
    <x v="0"/>
    <x v="0"/>
    <n v="-4.17345831"/>
    <m/>
    <x v="15"/>
    <x v="1"/>
    <x v="0"/>
    <x v="2"/>
    <x v="2"/>
  </r>
  <r>
    <s v="Singapore"/>
    <x v="5"/>
    <s v="SG4"/>
    <m/>
    <x v="0"/>
    <x v="2"/>
    <x v="0"/>
    <x v="0"/>
    <x v="0"/>
    <x v="0"/>
    <x v="0"/>
    <m/>
    <x v="0"/>
    <x v="0"/>
    <n v="-11.864561346"/>
    <m/>
    <x v="15"/>
    <x v="1"/>
    <x v="0"/>
    <x v="5"/>
    <x v="0"/>
  </r>
  <r>
    <s v="Singapore"/>
    <x v="3"/>
    <s v="SG3"/>
    <m/>
    <x v="2"/>
    <x v="1"/>
    <x v="4"/>
    <x v="1"/>
    <x v="0"/>
    <x v="0"/>
    <x v="0"/>
    <m/>
    <x v="0"/>
    <x v="0"/>
    <n v="-2.1265490790000001"/>
    <m/>
    <x v="15"/>
    <x v="3"/>
    <x v="0"/>
    <x v="3"/>
    <x v="1"/>
  </r>
  <r>
    <s v="Singapore"/>
    <x v="4"/>
    <s v="SG3"/>
    <m/>
    <x v="0"/>
    <x v="4"/>
    <x v="0"/>
    <x v="3"/>
    <x v="0"/>
    <x v="0"/>
    <x v="0"/>
    <m/>
    <x v="0"/>
    <x v="0"/>
    <n v="-0.22112832600000001"/>
    <m/>
    <x v="15"/>
    <x v="3"/>
    <x v="0"/>
    <x v="1"/>
    <x v="2"/>
  </r>
  <r>
    <s v="Singapore"/>
    <x v="4"/>
    <s v="SG2"/>
    <m/>
    <x v="2"/>
    <x v="1"/>
    <x v="4"/>
    <x v="1"/>
    <x v="0"/>
    <x v="0"/>
    <x v="0"/>
    <m/>
    <x v="0"/>
    <x v="0"/>
    <n v="-8.0154889740000019"/>
    <m/>
    <x v="15"/>
    <x v="3"/>
    <x v="0"/>
    <x v="5"/>
    <x v="0"/>
  </r>
  <r>
    <s v="Singapore"/>
    <x v="3"/>
    <s v="SG2"/>
    <m/>
    <x v="5"/>
    <x v="1"/>
    <x v="2"/>
    <x v="5"/>
    <x v="0"/>
    <x v="0"/>
    <x v="0"/>
    <m/>
    <x v="0"/>
    <x v="0"/>
    <n v="-0.65950580700000005"/>
    <m/>
    <x v="15"/>
    <x v="2"/>
    <x v="0"/>
    <x v="0"/>
    <x v="0"/>
  </r>
  <r>
    <s v="Singapore"/>
    <x v="2"/>
    <s v="SG4"/>
    <m/>
    <x v="0"/>
    <x v="2"/>
    <x v="0"/>
    <x v="1"/>
    <x v="0"/>
    <x v="0"/>
    <x v="0"/>
    <m/>
    <x v="0"/>
    <x v="0"/>
    <n v="-4.2530670000000001E-3"/>
    <m/>
    <x v="15"/>
    <x v="3"/>
    <x v="0"/>
    <x v="3"/>
    <x v="0"/>
  </r>
  <r>
    <s v="Singapore"/>
    <x v="1"/>
    <s v="SG3"/>
    <m/>
    <x v="1"/>
    <x v="2"/>
    <x v="1"/>
    <x v="1"/>
    <x v="0"/>
    <x v="0"/>
    <x v="0"/>
    <m/>
    <x v="0"/>
    <x v="0"/>
    <n v="-37.163875869000002"/>
    <m/>
    <x v="15"/>
    <x v="2"/>
    <x v="0"/>
    <x v="3"/>
    <x v="0"/>
  </r>
  <r>
    <s v="Singapore"/>
    <x v="0"/>
    <s v="SG3"/>
    <m/>
    <x v="4"/>
    <x v="1"/>
    <x v="2"/>
    <x v="1"/>
    <x v="0"/>
    <x v="0"/>
    <x v="0"/>
    <m/>
    <x v="0"/>
    <x v="0"/>
    <n v="-4.17345831"/>
    <m/>
    <x v="15"/>
    <x v="0"/>
    <x v="0"/>
    <x v="4"/>
    <x v="1"/>
  </r>
  <r>
    <s v="Singapore"/>
    <x v="3"/>
    <s v="SG1"/>
    <m/>
    <x v="5"/>
    <x v="0"/>
    <x v="0"/>
    <x v="4"/>
    <x v="0"/>
    <x v="0"/>
    <x v="0"/>
    <m/>
    <x v="0"/>
    <x v="0"/>
    <n v="-24.554015162999999"/>
    <m/>
    <x v="15"/>
    <x v="1"/>
    <x v="0"/>
    <x v="1"/>
    <x v="2"/>
  </r>
  <r>
    <s v="Singapore"/>
    <x v="3"/>
    <s v="SG4"/>
    <m/>
    <x v="4"/>
    <x v="0"/>
    <x v="1"/>
    <x v="1"/>
    <x v="0"/>
    <x v="0"/>
    <x v="0"/>
    <m/>
    <x v="0"/>
    <x v="0"/>
    <n v="-3.8396003400000001"/>
    <m/>
    <x v="15"/>
    <x v="1"/>
    <x v="0"/>
    <x v="0"/>
    <x v="1"/>
  </r>
  <r>
    <s v="Singapore"/>
    <x v="0"/>
    <s v="SG2"/>
    <m/>
    <x v="0"/>
    <x v="0"/>
    <x v="1"/>
    <x v="4"/>
    <x v="0"/>
    <x v="0"/>
    <x v="0"/>
    <m/>
    <x v="0"/>
    <x v="0"/>
    <n v="-0.13438445400000001"/>
    <m/>
    <x v="15"/>
    <x v="1"/>
    <x v="0"/>
    <x v="3"/>
    <x v="2"/>
  </r>
  <r>
    <s v="Singapore"/>
    <x v="3"/>
    <s v="SG2"/>
    <m/>
    <x v="3"/>
    <x v="4"/>
    <x v="1"/>
    <x v="3"/>
    <x v="0"/>
    <x v="0"/>
    <x v="0"/>
    <m/>
    <x v="0"/>
    <x v="0"/>
    <n v="-4.9988493090000006"/>
    <m/>
    <x v="15"/>
    <x v="1"/>
    <x v="0"/>
    <x v="1"/>
    <x v="1"/>
  </r>
  <r>
    <s v="Singapore"/>
    <x v="0"/>
    <s v="SG2"/>
    <m/>
    <x v="2"/>
    <x v="2"/>
    <x v="1"/>
    <x v="4"/>
    <x v="0"/>
    <x v="0"/>
    <x v="0"/>
    <m/>
    <x v="0"/>
    <x v="0"/>
    <n v="-0.13718867400000001"/>
    <m/>
    <x v="15"/>
    <x v="3"/>
    <x v="0"/>
    <x v="1"/>
    <x v="2"/>
  </r>
  <r>
    <s v="Singapore"/>
    <x v="5"/>
    <s v="SG1"/>
    <m/>
    <x v="5"/>
    <x v="2"/>
    <x v="4"/>
    <x v="3"/>
    <x v="0"/>
    <x v="0"/>
    <x v="0"/>
    <m/>
    <x v="0"/>
    <x v="0"/>
    <n v="-3.8396003400000001"/>
    <m/>
    <x v="15"/>
    <x v="1"/>
    <x v="0"/>
    <x v="5"/>
    <x v="1"/>
  </r>
  <r>
    <s v="Singapore"/>
    <x v="4"/>
    <s v="SG1"/>
    <m/>
    <x v="3"/>
    <x v="0"/>
    <x v="4"/>
    <x v="5"/>
    <x v="0"/>
    <x v="0"/>
    <x v="0"/>
    <m/>
    <x v="0"/>
    <x v="0"/>
    <n v="-0.29565826200000001"/>
    <m/>
    <x v="15"/>
    <x v="2"/>
    <x v="0"/>
    <x v="3"/>
    <x v="2"/>
  </r>
  <r>
    <s v="Singapore"/>
    <x v="0"/>
    <s v="SG3"/>
    <m/>
    <x v="0"/>
    <x v="4"/>
    <x v="0"/>
    <x v="4"/>
    <x v="0"/>
    <x v="0"/>
    <x v="0"/>
    <m/>
    <x v="0"/>
    <x v="0"/>
    <n v="-3.6152783190000002"/>
    <m/>
    <x v="15"/>
    <x v="0"/>
    <x v="0"/>
    <x v="4"/>
    <x v="1"/>
  </r>
  <r>
    <s v="Singapore"/>
    <x v="5"/>
    <s v="SG1"/>
    <m/>
    <x v="1"/>
    <x v="3"/>
    <x v="1"/>
    <x v="1"/>
    <x v="0"/>
    <x v="0"/>
    <x v="0"/>
    <m/>
    <x v="0"/>
    <x v="0"/>
    <n v="-0.131112864"/>
    <m/>
    <x v="15"/>
    <x v="1"/>
    <x v="0"/>
    <x v="0"/>
    <x v="1"/>
  </r>
  <r>
    <s v="Singapore"/>
    <x v="4"/>
    <s v="SG2"/>
    <m/>
    <x v="1"/>
    <x v="4"/>
    <x v="0"/>
    <x v="0"/>
    <x v="0"/>
    <x v="0"/>
    <x v="0"/>
    <m/>
    <x v="0"/>
    <x v="0"/>
    <n v="-1.3148676E-2"/>
    <m/>
    <x v="15"/>
    <x v="2"/>
    <x v="0"/>
    <x v="4"/>
    <x v="2"/>
  </r>
  <r>
    <s v="Singapore"/>
    <x v="2"/>
    <s v="SG4"/>
    <m/>
    <x v="0"/>
    <x v="1"/>
    <x v="3"/>
    <x v="2"/>
    <x v="0"/>
    <x v="0"/>
    <x v="0"/>
    <m/>
    <x v="0"/>
    <x v="0"/>
    <n v="-4.2293401830000006"/>
    <m/>
    <x v="15"/>
    <x v="2"/>
    <x v="0"/>
    <x v="4"/>
    <x v="1"/>
  </r>
  <r>
    <s v="Singapore"/>
    <x v="5"/>
    <s v="SG3"/>
    <m/>
    <x v="1"/>
    <x v="4"/>
    <x v="3"/>
    <x v="4"/>
    <x v="0"/>
    <x v="0"/>
    <x v="0"/>
    <m/>
    <x v="0"/>
    <x v="0"/>
    <n v="-6.2601874650000005"/>
    <m/>
    <x v="15"/>
    <x v="0"/>
    <x v="0"/>
    <x v="2"/>
    <x v="0"/>
  </r>
  <r>
    <s v="Singapore"/>
    <x v="3"/>
    <s v="SG1"/>
    <m/>
    <x v="0"/>
    <x v="0"/>
    <x v="4"/>
    <x v="3"/>
    <x v="0"/>
    <x v="0"/>
    <x v="0"/>
    <m/>
    <x v="0"/>
    <x v="0"/>
    <n v="-0.303385446"/>
    <m/>
    <x v="15"/>
    <x v="3"/>
    <x v="0"/>
    <x v="4"/>
    <x v="1"/>
  </r>
  <r>
    <s v="Singapore"/>
    <x v="1"/>
    <s v="SG2"/>
    <m/>
    <x v="4"/>
    <x v="3"/>
    <x v="4"/>
    <x v="1"/>
    <x v="0"/>
    <x v="0"/>
    <x v="0"/>
    <m/>
    <x v="0"/>
    <x v="0"/>
    <n v="-4.2530670000000001E-3"/>
    <m/>
    <x v="15"/>
    <x v="0"/>
    <x v="0"/>
    <x v="1"/>
    <x v="1"/>
  </r>
  <r>
    <s v="Singapore"/>
    <x v="4"/>
    <s v="SG2"/>
    <m/>
    <x v="0"/>
    <x v="3"/>
    <x v="0"/>
    <x v="1"/>
    <x v="0"/>
    <x v="0"/>
    <x v="0"/>
    <m/>
    <x v="0"/>
    <x v="0"/>
    <n v="-0.30336986700000002"/>
    <m/>
    <x v="15"/>
    <x v="0"/>
    <x v="0"/>
    <x v="1"/>
    <x v="0"/>
  </r>
  <r>
    <s v="Singapore"/>
    <x v="5"/>
    <s v="SG3"/>
    <m/>
    <x v="0"/>
    <x v="1"/>
    <x v="1"/>
    <x v="2"/>
    <x v="0"/>
    <x v="0"/>
    <x v="0"/>
    <m/>
    <x v="0"/>
    <x v="0"/>
    <n v="-4.8016503270000008"/>
    <m/>
    <x v="15"/>
    <x v="3"/>
    <x v="0"/>
    <x v="0"/>
    <x v="0"/>
  </r>
  <r>
    <s v="Singapore"/>
    <x v="2"/>
    <s v="SG2"/>
    <m/>
    <x v="0"/>
    <x v="0"/>
    <x v="2"/>
    <x v="0"/>
    <x v="0"/>
    <x v="0"/>
    <x v="0"/>
    <m/>
    <x v="0"/>
    <x v="0"/>
    <n v="-4.2530670000000001E-3"/>
    <m/>
    <x v="15"/>
    <x v="0"/>
    <x v="0"/>
    <x v="1"/>
    <x v="0"/>
  </r>
  <r>
    <s v="Singapore"/>
    <x v="3"/>
    <s v="SG3"/>
    <m/>
    <x v="0"/>
    <x v="4"/>
    <x v="4"/>
    <x v="4"/>
    <x v="0"/>
    <x v="0"/>
    <x v="0"/>
    <m/>
    <x v="0"/>
    <x v="0"/>
    <n v="-2.5806301920000001"/>
    <m/>
    <x v="15"/>
    <x v="0"/>
    <x v="0"/>
    <x v="4"/>
    <x v="0"/>
  </r>
  <r>
    <s v="Singapore"/>
    <x v="5"/>
    <s v="SG2"/>
    <m/>
    <x v="1"/>
    <x v="0"/>
    <x v="1"/>
    <x v="0"/>
    <x v="0"/>
    <x v="0"/>
    <x v="0"/>
    <m/>
    <x v="0"/>
    <x v="0"/>
    <n v="-0.94464824400000003"/>
    <m/>
    <x v="15"/>
    <x v="1"/>
    <x v="0"/>
    <x v="0"/>
    <x v="2"/>
  </r>
  <r>
    <s v="Singapore"/>
    <x v="2"/>
    <s v="SG1"/>
    <m/>
    <x v="5"/>
    <x v="4"/>
    <x v="1"/>
    <x v="1"/>
    <x v="0"/>
    <x v="0"/>
    <x v="0"/>
    <m/>
    <x v="0"/>
    <x v="0"/>
    <n v="-3.5077209030000005"/>
    <m/>
    <x v="15"/>
    <x v="3"/>
    <x v="0"/>
    <x v="2"/>
    <x v="0"/>
  </r>
  <r>
    <s v="Singapore"/>
    <x v="3"/>
    <s v="SG1"/>
    <m/>
    <x v="5"/>
    <x v="2"/>
    <x v="2"/>
    <x v="0"/>
    <x v="0"/>
    <x v="0"/>
    <x v="0"/>
    <m/>
    <x v="0"/>
    <x v="0"/>
    <n v="-3.6744629400000002"/>
    <m/>
    <x v="15"/>
    <x v="2"/>
    <x v="0"/>
    <x v="1"/>
    <x v="2"/>
  </r>
  <r>
    <s v="Singapore"/>
    <x v="1"/>
    <s v="SG4"/>
    <m/>
    <x v="5"/>
    <x v="0"/>
    <x v="3"/>
    <x v="2"/>
    <x v="0"/>
    <x v="0"/>
    <x v="0"/>
    <m/>
    <x v="0"/>
    <x v="0"/>
    <n v="-0.477153612"/>
    <m/>
    <x v="15"/>
    <x v="3"/>
    <x v="0"/>
    <x v="5"/>
    <x v="2"/>
  </r>
  <r>
    <s v="Singapore"/>
    <x v="0"/>
    <s v="SG3"/>
    <m/>
    <x v="5"/>
    <x v="3"/>
    <x v="4"/>
    <x v="3"/>
    <x v="0"/>
    <x v="0"/>
    <x v="0"/>
    <m/>
    <x v="0"/>
    <x v="0"/>
    <n v="-0.131112864"/>
    <m/>
    <x v="15"/>
    <x v="3"/>
    <x v="0"/>
    <x v="4"/>
    <x v="2"/>
  </r>
  <r>
    <s v="Singapore"/>
    <x v="1"/>
    <s v="SG3"/>
    <m/>
    <x v="4"/>
    <x v="1"/>
    <x v="2"/>
    <x v="4"/>
    <x v="0"/>
    <x v="0"/>
    <x v="0"/>
    <m/>
    <x v="0"/>
    <x v="0"/>
    <n v="-3.6152783190000002"/>
    <m/>
    <x v="15"/>
    <x v="0"/>
    <x v="0"/>
    <x v="0"/>
    <x v="0"/>
  </r>
  <r>
    <s v="Singapore"/>
    <x v="1"/>
    <s v="SG2"/>
    <m/>
    <x v="4"/>
    <x v="2"/>
    <x v="4"/>
    <x v="2"/>
    <x v="0"/>
    <x v="0"/>
    <x v="0"/>
    <m/>
    <x v="0"/>
    <x v="0"/>
    <n v="-5.8187565000000004E-2"/>
    <m/>
    <x v="15"/>
    <x v="1"/>
    <x v="0"/>
    <x v="5"/>
    <x v="0"/>
  </r>
  <r>
    <s v="Singapore"/>
    <x v="4"/>
    <s v="SG2"/>
    <m/>
    <x v="2"/>
    <x v="4"/>
    <x v="0"/>
    <x v="1"/>
    <x v="0"/>
    <x v="0"/>
    <x v="0"/>
    <m/>
    <x v="0"/>
    <x v="0"/>
    <n v="-0.13105054800000002"/>
    <m/>
    <x v="15"/>
    <x v="3"/>
    <x v="0"/>
    <x v="5"/>
    <x v="1"/>
  </r>
  <r>
    <s v="Singapore"/>
    <x v="4"/>
    <s v="SG2"/>
    <m/>
    <x v="3"/>
    <x v="0"/>
    <x v="1"/>
    <x v="1"/>
    <x v="0"/>
    <x v="0"/>
    <x v="0"/>
    <m/>
    <x v="0"/>
    <x v="0"/>
    <n v="-0.30336986700000002"/>
    <m/>
    <x v="15"/>
    <x v="0"/>
    <x v="0"/>
    <x v="3"/>
    <x v="2"/>
  </r>
  <r>
    <s v="Singapore"/>
    <x v="2"/>
    <s v="SG3"/>
    <m/>
    <x v="5"/>
    <x v="3"/>
    <x v="0"/>
    <x v="4"/>
    <x v="0"/>
    <x v="0"/>
    <x v="0"/>
    <m/>
    <x v="0"/>
    <x v="0"/>
    <n v="-4.2530670000000001E-3"/>
    <m/>
    <x v="15"/>
    <x v="0"/>
    <x v="0"/>
    <x v="1"/>
    <x v="1"/>
  </r>
  <r>
    <s v="Singapore"/>
    <x v="3"/>
    <s v="SG2"/>
    <m/>
    <x v="5"/>
    <x v="0"/>
    <x v="2"/>
    <x v="3"/>
    <x v="0"/>
    <x v="0"/>
    <x v="0"/>
    <m/>
    <x v="0"/>
    <x v="0"/>
    <n v="-4.2530981580000002"/>
    <m/>
    <x v="15"/>
    <x v="1"/>
    <x v="0"/>
    <x v="4"/>
    <x v="1"/>
  </r>
  <r>
    <s v="Singapore"/>
    <x v="0"/>
    <s v="SG4"/>
    <m/>
    <x v="3"/>
    <x v="0"/>
    <x v="4"/>
    <x v="2"/>
    <x v="0"/>
    <x v="0"/>
    <x v="0"/>
    <m/>
    <x v="0"/>
    <x v="0"/>
    <n v="-8.7242400000000012E-4"/>
    <m/>
    <x v="15"/>
    <x v="2"/>
    <x v="0"/>
    <x v="2"/>
    <x v="2"/>
  </r>
  <r>
    <s v="Singapore"/>
    <x v="2"/>
    <s v="SG4"/>
    <m/>
    <x v="1"/>
    <x v="1"/>
    <x v="3"/>
    <x v="4"/>
    <x v="0"/>
    <x v="0"/>
    <x v="0"/>
    <m/>
    <x v="0"/>
    <x v="0"/>
    <n v="-1.1464118730000001"/>
    <m/>
    <x v="15"/>
    <x v="3"/>
    <x v="0"/>
    <x v="3"/>
    <x v="1"/>
  </r>
  <r>
    <s v="Singapore"/>
    <x v="4"/>
    <s v="SG4"/>
    <m/>
    <x v="3"/>
    <x v="3"/>
    <x v="0"/>
    <x v="3"/>
    <x v="0"/>
    <x v="0"/>
    <x v="0"/>
    <m/>
    <x v="0"/>
    <x v="0"/>
    <n v="-3.6152783190000002"/>
    <m/>
    <x v="15"/>
    <x v="3"/>
    <x v="0"/>
    <x v="4"/>
    <x v="0"/>
  </r>
  <r>
    <s v="Singapore"/>
    <x v="0"/>
    <s v="SG3"/>
    <m/>
    <x v="0"/>
    <x v="3"/>
    <x v="4"/>
    <x v="1"/>
    <x v="0"/>
    <x v="0"/>
    <x v="0"/>
    <m/>
    <x v="0"/>
    <x v="0"/>
    <n v="-1.0573311510000001"/>
    <m/>
    <x v="15"/>
    <x v="1"/>
    <x v="0"/>
    <x v="3"/>
    <x v="0"/>
  </r>
  <r>
    <s v="Singapore"/>
    <x v="5"/>
    <s v="SG4"/>
    <m/>
    <x v="4"/>
    <x v="0"/>
    <x v="3"/>
    <x v="1"/>
    <x v="0"/>
    <x v="0"/>
    <x v="0"/>
    <m/>
    <x v="0"/>
    <x v="0"/>
    <n v="-2.6250615000000005E-2"/>
    <m/>
    <x v="15"/>
    <x v="1"/>
    <x v="0"/>
    <x v="2"/>
    <x v="1"/>
  </r>
  <r>
    <s v="Singapore"/>
    <x v="3"/>
    <s v="SG3"/>
    <m/>
    <x v="0"/>
    <x v="4"/>
    <x v="0"/>
    <x v="0"/>
    <x v="0"/>
    <x v="0"/>
    <x v="0"/>
    <m/>
    <x v="0"/>
    <x v="0"/>
    <n v="-18.580512456000001"/>
    <m/>
    <x v="15"/>
    <x v="2"/>
    <x v="0"/>
    <x v="2"/>
    <x v="1"/>
  </r>
  <r>
    <s v="Singapore"/>
    <x v="4"/>
    <s v="SG1"/>
    <m/>
    <x v="1"/>
    <x v="4"/>
    <x v="0"/>
    <x v="1"/>
    <x v="0"/>
    <x v="0"/>
    <x v="0"/>
    <m/>
    <x v="0"/>
    <x v="0"/>
    <n v="-43.261839207000008"/>
    <m/>
    <x v="15"/>
    <x v="2"/>
    <x v="0"/>
    <x v="2"/>
    <x v="2"/>
  </r>
  <r>
    <s v="Singapore"/>
    <x v="3"/>
    <s v="SG3"/>
    <m/>
    <x v="3"/>
    <x v="3"/>
    <x v="3"/>
    <x v="4"/>
    <x v="0"/>
    <x v="0"/>
    <x v="0"/>
    <m/>
    <x v="0"/>
    <x v="0"/>
    <n v="-0.97963867800000015"/>
    <m/>
    <x v="15"/>
    <x v="1"/>
    <x v="0"/>
    <x v="2"/>
    <x v="0"/>
  </r>
  <r>
    <s v="Singapore"/>
    <x v="4"/>
    <s v="SG1"/>
    <m/>
    <x v="3"/>
    <x v="1"/>
    <x v="4"/>
    <x v="2"/>
    <x v="0"/>
    <x v="0"/>
    <x v="0"/>
    <m/>
    <x v="0"/>
    <x v="0"/>
    <n v="-1.1637513E-2"/>
    <m/>
    <x v="15"/>
    <x v="1"/>
    <x v="0"/>
    <x v="1"/>
    <x v="2"/>
  </r>
  <r>
    <s v="Singapore"/>
    <x v="3"/>
    <s v="SG4"/>
    <m/>
    <x v="2"/>
    <x v="0"/>
    <x v="1"/>
    <x v="1"/>
    <x v="0"/>
    <x v="0"/>
    <x v="0"/>
    <m/>
    <x v="0"/>
    <x v="0"/>
    <n v="-1.9592617770000003"/>
    <m/>
    <x v="15"/>
    <x v="1"/>
    <x v="0"/>
    <x v="4"/>
    <x v="0"/>
  </r>
  <r>
    <s v="Singapore"/>
    <x v="4"/>
    <s v="SG2"/>
    <m/>
    <x v="5"/>
    <x v="1"/>
    <x v="2"/>
    <x v="2"/>
    <x v="0"/>
    <x v="0"/>
    <x v="0"/>
    <m/>
    <x v="0"/>
    <x v="0"/>
    <n v="-0.97963867800000015"/>
    <m/>
    <x v="15"/>
    <x v="0"/>
    <x v="0"/>
    <x v="0"/>
    <x v="0"/>
  </r>
  <r>
    <s v="Singapore"/>
    <x v="2"/>
    <s v="SG3"/>
    <m/>
    <x v="1"/>
    <x v="2"/>
    <x v="2"/>
    <x v="1"/>
    <x v="0"/>
    <x v="0"/>
    <x v="0"/>
    <m/>
    <x v="0"/>
    <x v="0"/>
    <n v="-2.0788461810000003"/>
    <m/>
    <x v="15"/>
    <x v="0"/>
    <x v="0"/>
    <x v="3"/>
    <x v="0"/>
  </r>
  <r>
    <s v="Singapore"/>
    <x v="3"/>
    <s v="SG1"/>
    <m/>
    <x v="1"/>
    <x v="1"/>
    <x v="1"/>
    <x v="3"/>
    <x v="0"/>
    <x v="0"/>
    <x v="0"/>
    <m/>
    <x v="0"/>
    <x v="0"/>
    <n v="-4.0100346000000002E-2"/>
    <m/>
    <x v="15"/>
    <x v="1"/>
    <x v="0"/>
    <x v="5"/>
    <x v="2"/>
  </r>
  <r>
    <s v="Singapore"/>
    <x v="5"/>
    <s v="SG1"/>
    <m/>
    <x v="5"/>
    <x v="0"/>
    <x v="1"/>
    <x v="3"/>
    <x v="0"/>
    <x v="0"/>
    <x v="0"/>
    <m/>
    <x v="0"/>
    <x v="0"/>
    <n v="-0.14303079900000001"/>
    <m/>
    <x v="15"/>
    <x v="0"/>
    <x v="0"/>
    <x v="2"/>
    <x v="1"/>
  </r>
  <r>
    <s v="Singapore"/>
    <x v="4"/>
    <s v="SG3"/>
    <m/>
    <x v="3"/>
    <x v="0"/>
    <x v="0"/>
    <x v="5"/>
    <x v="0"/>
    <x v="0"/>
    <x v="0"/>
    <m/>
    <x v="0"/>
    <x v="0"/>
    <n v="-0.94217118300000002"/>
    <m/>
    <x v="15"/>
    <x v="3"/>
    <x v="0"/>
    <x v="3"/>
    <x v="0"/>
  </r>
  <r>
    <s v="Singapore"/>
    <x v="4"/>
    <s v="SG4"/>
    <m/>
    <x v="0"/>
    <x v="0"/>
    <x v="1"/>
    <x v="0"/>
    <x v="0"/>
    <x v="0"/>
    <x v="0"/>
    <m/>
    <x v="0"/>
    <x v="0"/>
    <n v="-2.7265742640000004"/>
    <m/>
    <x v="15"/>
    <x v="0"/>
    <x v="0"/>
    <x v="0"/>
    <x v="0"/>
  </r>
  <r>
    <s v="Singapore"/>
    <x v="0"/>
    <s v="SG4"/>
    <m/>
    <x v="2"/>
    <x v="1"/>
    <x v="1"/>
    <x v="4"/>
    <x v="0"/>
    <x v="0"/>
    <x v="0"/>
    <m/>
    <x v="0"/>
    <x v="0"/>
    <n v="-9.3539120220000012"/>
    <m/>
    <x v="15"/>
    <x v="2"/>
    <x v="0"/>
    <x v="3"/>
    <x v="0"/>
  </r>
  <r>
    <s v="Singapore"/>
    <x v="5"/>
    <s v="SG3"/>
    <m/>
    <x v="4"/>
    <x v="1"/>
    <x v="3"/>
    <x v="5"/>
    <x v="0"/>
    <x v="0"/>
    <x v="0"/>
    <m/>
    <x v="0"/>
    <x v="0"/>
    <n v="-3.8396003400000001"/>
    <m/>
    <x v="15"/>
    <x v="2"/>
    <x v="0"/>
    <x v="4"/>
    <x v="0"/>
  </r>
  <r>
    <s v="Singapore"/>
    <x v="0"/>
    <s v="SG1"/>
    <m/>
    <x v="1"/>
    <x v="2"/>
    <x v="4"/>
    <x v="1"/>
    <x v="0"/>
    <x v="0"/>
    <x v="0"/>
    <m/>
    <x v="0"/>
    <x v="0"/>
    <n v="-0.131112864"/>
    <m/>
    <x v="15"/>
    <x v="2"/>
    <x v="0"/>
    <x v="1"/>
    <x v="2"/>
  </r>
  <r>
    <s v="Singapore"/>
    <x v="2"/>
    <s v="SG4"/>
    <m/>
    <x v="5"/>
    <x v="4"/>
    <x v="2"/>
    <x v="4"/>
    <x v="0"/>
    <x v="0"/>
    <x v="0"/>
    <m/>
    <x v="0"/>
    <x v="0"/>
    <n v="-0.93188904299999997"/>
    <m/>
    <x v="15"/>
    <x v="3"/>
    <x v="0"/>
    <x v="2"/>
    <x v="2"/>
  </r>
  <r>
    <s v="Singapore"/>
    <x v="5"/>
    <s v="SG2"/>
    <m/>
    <x v="5"/>
    <x v="1"/>
    <x v="4"/>
    <x v="2"/>
    <x v="0"/>
    <x v="0"/>
    <x v="0"/>
    <m/>
    <x v="0"/>
    <x v="0"/>
    <n v="-3.5077209030000005"/>
    <m/>
    <x v="15"/>
    <x v="3"/>
    <x v="0"/>
    <x v="5"/>
    <x v="1"/>
  </r>
  <r>
    <s v="Singapore"/>
    <x v="3"/>
    <s v="SG2"/>
    <m/>
    <x v="2"/>
    <x v="2"/>
    <x v="2"/>
    <x v="5"/>
    <x v="0"/>
    <x v="0"/>
    <x v="0"/>
    <m/>
    <x v="0"/>
    <x v="0"/>
    <n v="-1.451074797"/>
    <m/>
    <x v="15"/>
    <x v="1"/>
    <x v="0"/>
    <x v="2"/>
    <x v="0"/>
  </r>
  <r>
    <s v="Singapore"/>
    <x v="5"/>
    <s v="SG2"/>
    <m/>
    <x v="2"/>
    <x v="0"/>
    <x v="0"/>
    <x v="0"/>
    <x v="0"/>
    <x v="0"/>
    <x v="0"/>
    <m/>
    <x v="0"/>
    <x v="0"/>
    <n v="-17.538588936"/>
    <m/>
    <x v="15"/>
    <x v="0"/>
    <x v="0"/>
    <x v="0"/>
    <x v="2"/>
  </r>
  <r>
    <s v="Singapore"/>
    <x v="2"/>
    <s v="SG1"/>
    <m/>
    <x v="3"/>
    <x v="4"/>
    <x v="2"/>
    <x v="3"/>
    <x v="0"/>
    <x v="0"/>
    <x v="0"/>
    <m/>
    <x v="0"/>
    <x v="0"/>
    <n v="-5.7283983000000011E-2"/>
    <m/>
    <x v="15"/>
    <x v="0"/>
    <x v="0"/>
    <x v="5"/>
    <x v="1"/>
  </r>
  <r>
    <s v="Singapore"/>
    <x v="5"/>
    <s v="SG3"/>
    <m/>
    <x v="2"/>
    <x v="1"/>
    <x v="3"/>
    <x v="1"/>
    <x v="0"/>
    <x v="0"/>
    <x v="0"/>
    <m/>
    <x v="0"/>
    <x v="0"/>
    <n v="-4.17345831"/>
    <m/>
    <x v="15"/>
    <x v="3"/>
    <x v="0"/>
    <x v="4"/>
    <x v="1"/>
  </r>
  <r>
    <s v="Singapore"/>
    <x v="4"/>
    <s v="SG1"/>
    <m/>
    <x v="4"/>
    <x v="2"/>
    <x v="0"/>
    <x v="2"/>
    <x v="0"/>
    <x v="0"/>
    <x v="0"/>
    <m/>
    <x v="0"/>
    <x v="0"/>
    <n v="-9.7263435959999995"/>
    <m/>
    <x v="15"/>
    <x v="2"/>
    <x v="0"/>
    <x v="2"/>
    <x v="1"/>
  </r>
  <r>
    <s v="Singapore"/>
    <x v="1"/>
    <s v="SG1"/>
    <m/>
    <x v="2"/>
    <x v="2"/>
    <x v="3"/>
    <x v="5"/>
    <x v="0"/>
    <x v="0"/>
    <x v="0"/>
    <m/>
    <x v="0"/>
    <x v="0"/>
    <n v="-4.6105894709999999"/>
    <m/>
    <x v="15"/>
    <x v="3"/>
    <x v="0"/>
    <x v="0"/>
    <x v="2"/>
  </r>
  <r>
    <s v="Singapore"/>
    <x v="5"/>
    <s v="SG1"/>
    <m/>
    <x v="4"/>
    <x v="2"/>
    <x v="2"/>
    <x v="0"/>
    <x v="0"/>
    <x v="0"/>
    <x v="0"/>
    <m/>
    <x v="0"/>
    <x v="0"/>
    <n v="-9.9284967000000002E-2"/>
    <m/>
    <x v="15"/>
    <x v="2"/>
    <x v="0"/>
    <x v="5"/>
    <x v="2"/>
  </r>
  <r>
    <s v="Singapore"/>
    <x v="4"/>
    <s v="SG1"/>
    <m/>
    <x v="2"/>
    <x v="1"/>
    <x v="1"/>
    <x v="1"/>
    <x v="0"/>
    <x v="0"/>
    <x v="0"/>
    <m/>
    <x v="0"/>
    <x v="0"/>
    <n v="-0.64515754800000003"/>
    <m/>
    <x v="15"/>
    <x v="0"/>
    <x v="0"/>
    <x v="3"/>
    <x v="2"/>
  </r>
  <r>
    <s v="Singapore"/>
    <x v="0"/>
    <s v="SG4"/>
    <m/>
    <x v="2"/>
    <x v="1"/>
    <x v="0"/>
    <x v="2"/>
    <x v="0"/>
    <x v="0"/>
    <x v="0"/>
    <m/>
    <x v="0"/>
    <x v="0"/>
    <n v="-8.7242400000000012E-4"/>
    <m/>
    <x v="15"/>
    <x v="2"/>
    <x v="0"/>
    <x v="3"/>
    <x v="1"/>
  </r>
  <r>
    <s v="Singapore"/>
    <x v="2"/>
    <s v="SG3"/>
    <m/>
    <x v="4"/>
    <x v="1"/>
    <x v="0"/>
    <x v="3"/>
    <x v="0"/>
    <x v="0"/>
    <x v="0"/>
    <m/>
    <x v="0"/>
    <x v="0"/>
    <n v="-4.17345831"/>
    <m/>
    <x v="15"/>
    <x v="1"/>
    <x v="0"/>
    <x v="3"/>
    <x v="2"/>
  </r>
  <r>
    <s v="Singapore"/>
    <x v="3"/>
    <s v="SG4"/>
    <m/>
    <x v="3"/>
    <x v="2"/>
    <x v="1"/>
    <x v="5"/>
    <x v="0"/>
    <x v="0"/>
    <x v="0"/>
    <m/>
    <x v="0"/>
    <x v="0"/>
    <n v="-6.3436130100000003"/>
    <m/>
    <x v="15"/>
    <x v="3"/>
    <x v="0"/>
    <x v="0"/>
    <x v="0"/>
  </r>
  <r>
    <s v="Singapore"/>
    <x v="2"/>
    <s v="SG2"/>
    <m/>
    <x v="3"/>
    <x v="1"/>
    <x v="0"/>
    <x v="5"/>
    <x v="0"/>
    <x v="0"/>
    <x v="0"/>
    <m/>
    <x v="0"/>
    <x v="0"/>
    <n v="-4.4001016020000003"/>
    <m/>
    <x v="15"/>
    <x v="0"/>
    <x v="0"/>
    <x v="0"/>
    <x v="1"/>
  </r>
  <r>
    <s v="Singapore"/>
    <x v="3"/>
    <s v="SG4"/>
    <m/>
    <x v="4"/>
    <x v="3"/>
    <x v="4"/>
    <x v="5"/>
    <x v="0"/>
    <x v="0"/>
    <x v="0"/>
    <m/>
    <x v="0"/>
    <x v="0"/>
    <n v="-5.2866713340000002"/>
    <m/>
    <x v="15"/>
    <x v="0"/>
    <x v="0"/>
    <x v="3"/>
    <x v="0"/>
  </r>
  <r>
    <s v="Singapore"/>
    <x v="4"/>
    <s v="SG3"/>
    <m/>
    <x v="4"/>
    <x v="2"/>
    <x v="2"/>
    <x v="0"/>
    <x v="0"/>
    <x v="0"/>
    <x v="0"/>
    <m/>
    <x v="0"/>
    <x v="0"/>
    <n v="-0.131112864"/>
    <m/>
    <x v="15"/>
    <x v="1"/>
    <x v="0"/>
    <x v="1"/>
    <x v="0"/>
  </r>
  <r>
    <s v="Singapore"/>
    <x v="5"/>
    <s v="SG4"/>
    <m/>
    <x v="5"/>
    <x v="4"/>
    <x v="4"/>
    <x v="2"/>
    <x v="0"/>
    <x v="0"/>
    <x v="0"/>
    <m/>
    <x v="0"/>
    <x v="0"/>
    <n v="-5.6965704030000008"/>
    <m/>
    <x v="15"/>
    <x v="2"/>
    <x v="0"/>
    <x v="0"/>
    <x v="0"/>
  </r>
  <r>
    <s v="Singapore"/>
    <x v="5"/>
    <s v="SG2"/>
    <m/>
    <x v="3"/>
    <x v="0"/>
    <x v="2"/>
    <x v="5"/>
    <x v="0"/>
    <x v="0"/>
    <x v="0"/>
    <m/>
    <x v="0"/>
    <x v="0"/>
    <n v="-1.9592617770000003"/>
    <m/>
    <x v="15"/>
    <x v="0"/>
    <x v="0"/>
    <x v="5"/>
    <x v="2"/>
  </r>
  <r>
    <s v="Singapore"/>
    <x v="1"/>
    <s v="SG2"/>
    <m/>
    <x v="2"/>
    <x v="1"/>
    <x v="1"/>
    <x v="2"/>
    <x v="0"/>
    <x v="0"/>
    <x v="0"/>
    <m/>
    <x v="0"/>
    <x v="0"/>
    <n v="-6.7784229000000001E-2"/>
    <m/>
    <x v="15"/>
    <x v="0"/>
    <x v="0"/>
    <x v="3"/>
    <x v="0"/>
  </r>
  <r>
    <s v="Singapore"/>
    <x v="4"/>
    <s v="SG1"/>
    <m/>
    <x v="1"/>
    <x v="2"/>
    <x v="4"/>
    <x v="4"/>
    <x v="0"/>
    <x v="0"/>
    <x v="0"/>
    <m/>
    <x v="0"/>
    <x v="0"/>
    <n v="11.933560737000001"/>
    <m/>
    <x v="17"/>
    <x v="0"/>
    <x v="0"/>
    <x v="1"/>
    <x v="1"/>
  </r>
  <r>
    <s v="Singapore"/>
    <x v="3"/>
    <s v="SG3"/>
    <m/>
    <x v="5"/>
    <x v="2"/>
    <x v="1"/>
    <x v="3"/>
    <x v="0"/>
    <x v="0"/>
    <x v="0"/>
    <m/>
    <x v="0"/>
    <x v="0"/>
    <n v="4.064420889"/>
    <m/>
    <x v="17"/>
    <x v="1"/>
    <x v="0"/>
    <x v="4"/>
    <x v="1"/>
  </r>
  <r>
    <s v="Singapore"/>
    <x v="0"/>
    <s v="SG1"/>
    <m/>
    <x v="2"/>
    <x v="4"/>
    <x v="0"/>
    <x v="5"/>
    <x v="0"/>
    <x v="0"/>
    <x v="0"/>
    <m/>
    <x v="0"/>
    <x v="0"/>
    <n v="11.103729723000001"/>
    <m/>
    <x v="17"/>
    <x v="1"/>
    <x v="0"/>
    <x v="3"/>
    <x v="0"/>
  </r>
  <r>
    <s v="Singapore"/>
    <x v="3"/>
    <s v="SG3"/>
    <m/>
    <x v="1"/>
    <x v="4"/>
    <x v="0"/>
    <x v="4"/>
    <x v="0"/>
    <x v="0"/>
    <x v="0"/>
    <m/>
    <x v="0"/>
    <x v="0"/>
    <n v="0.46426977899999999"/>
    <m/>
    <x v="17"/>
    <x v="3"/>
    <x v="0"/>
    <x v="5"/>
    <x v="0"/>
  </r>
  <r>
    <s v="Singapore"/>
    <x v="1"/>
    <s v="SG1"/>
    <m/>
    <x v="2"/>
    <x v="2"/>
    <x v="3"/>
    <x v="1"/>
    <x v="0"/>
    <x v="0"/>
    <x v="0"/>
    <m/>
    <x v="0"/>
    <x v="0"/>
    <n v="9.5429164499999999"/>
    <m/>
    <x v="17"/>
    <x v="3"/>
    <x v="0"/>
    <x v="0"/>
    <x v="1"/>
  </r>
  <r>
    <s v="Singapore"/>
    <x v="2"/>
    <s v="SG2"/>
    <m/>
    <x v="0"/>
    <x v="0"/>
    <x v="0"/>
    <x v="2"/>
    <x v="0"/>
    <x v="0"/>
    <x v="0"/>
    <m/>
    <x v="0"/>
    <x v="0"/>
    <n v="7.4455468380000012"/>
    <m/>
    <x v="17"/>
    <x v="2"/>
    <x v="0"/>
    <x v="3"/>
    <x v="0"/>
  </r>
  <r>
    <s v="Singapore"/>
    <x v="4"/>
    <s v="SG2"/>
    <m/>
    <x v="0"/>
    <x v="2"/>
    <x v="3"/>
    <x v="0"/>
    <x v="0"/>
    <x v="0"/>
    <x v="0"/>
    <m/>
    <x v="0"/>
    <x v="0"/>
    <n v="5.6884070070000003"/>
    <m/>
    <x v="17"/>
    <x v="1"/>
    <x v="0"/>
    <x v="0"/>
    <x v="1"/>
  </r>
  <r>
    <s v="Singapore"/>
    <x v="4"/>
    <s v="SG2"/>
    <m/>
    <x v="0"/>
    <x v="1"/>
    <x v="1"/>
    <x v="4"/>
    <x v="0"/>
    <x v="0"/>
    <x v="0"/>
    <m/>
    <x v="0"/>
    <x v="0"/>
    <n v="27.575546633999998"/>
    <m/>
    <x v="17"/>
    <x v="0"/>
    <x v="0"/>
    <x v="4"/>
    <x v="0"/>
  </r>
  <r>
    <s v="Singapore"/>
    <x v="1"/>
    <s v="SG3"/>
    <m/>
    <x v="4"/>
    <x v="2"/>
    <x v="4"/>
    <x v="0"/>
    <x v="0"/>
    <x v="0"/>
    <x v="0"/>
    <m/>
    <x v="0"/>
    <x v="0"/>
    <n v="0.30365028900000002"/>
    <m/>
    <x v="14"/>
    <x v="2"/>
    <x v="0"/>
    <x v="2"/>
    <x v="0"/>
  </r>
  <r>
    <s v="Singapore"/>
    <x v="2"/>
    <s v="SG3"/>
    <m/>
    <x v="2"/>
    <x v="1"/>
    <x v="2"/>
    <x v="4"/>
    <x v="0"/>
    <x v="0"/>
    <x v="0"/>
    <m/>
    <x v="0"/>
    <x v="0"/>
    <n v="0.108476577"/>
    <m/>
    <x v="14"/>
    <x v="3"/>
    <x v="0"/>
    <x v="2"/>
    <x v="2"/>
  </r>
  <r>
    <s v="Singapore"/>
    <x v="1"/>
    <s v="SG2"/>
    <m/>
    <x v="3"/>
    <x v="3"/>
    <x v="3"/>
    <x v="2"/>
    <x v="0"/>
    <x v="0"/>
    <x v="0"/>
    <m/>
    <x v="0"/>
    <x v="0"/>
    <n v="9.9004544999999999E-2"/>
    <m/>
    <x v="14"/>
    <x v="0"/>
    <x v="0"/>
    <x v="4"/>
    <x v="2"/>
  </r>
  <r>
    <s v="Singapore"/>
    <x v="2"/>
    <s v="SG2"/>
    <m/>
    <x v="5"/>
    <x v="3"/>
    <x v="3"/>
    <x v="1"/>
    <x v="0"/>
    <x v="0"/>
    <x v="0"/>
    <m/>
    <x v="0"/>
    <x v="0"/>
    <n v="6.3281898000000003E-2"/>
    <m/>
    <x v="14"/>
    <x v="2"/>
    <x v="0"/>
    <x v="5"/>
    <x v="1"/>
  </r>
  <r>
    <s v="Singapore"/>
    <x v="5"/>
    <s v="SG1"/>
    <m/>
    <x v="2"/>
    <x v="1"/>
    <x v="1"/>
    <x v="3"/>
    <x v="0"/>
    <x v="0"/>
    <x v="0"/>
    <m/>
    <x v="0"/>
    <x v="0"/>
    <n v="9.0513989999999999E-3"/>
    <m/>
    <x v="14"/>
    <x v="0"/>
    <x v="0"/>
    <x v="0"/>
    <x v="2"/>
  </r>
  <r>
    <s v="Singapore"/>
    <x v="4"/>
    <s v="SG4"/>
    <m/>
    <x v="3"/>
    <x v="1"/>
    <x v="3"/>
    <x v="5"/>
    <x v="0"/>
    <x v="0"/>
    <x v="0"/>
    <m/>
    <x v="0"/>
    <x v="0"/>
    <n v="9.0513989999999999E-3"/>
    <m/>
    <x v="14"/>
    <x v="2"/>
    <x v="0"/>
    <x v="0"/>
    <x v="1"/>
  </r>
  <r>
    <s v="Singapore"/>
    <x v="1"/>
    <s v="SG3"/>
    <m/>
    <x v="4"/>
    <x v="3"/>
    <x v="1"/>
    <x v="0"/>
    <x v="0"/>
    <x v="0"/>
    <x v="0"/>
    <m/>
    <x v="0"/>
    <x v="0"/>
    <n v="0.18079429499999999"/>
    <m/>
    <x v="14"/>
    <x v="0"/>
    <x v="0"/>
    <x v="0"/>
    <x v="2"/>
  </r>
  <r>
    <s v="Singapore"/>
    <x v="1"/>
    <s v="SG1"/>
    <m/>
    <x v="0"/>
    <x v="2"/>
    <x v="4"/>
    <x v="5"/>
    <x v="0"/>
    <x v="0"/>
    <x v="0"/>
    <m/>
    <x v="0"/>
    <x v="0"/>
    <n v="0.43597831500000006"/>
    <m/>
    <x v="14"/>
    <x v="0"/>
    <x v="0"/>
    <x v="3"/>
    <x v="1"/>
  </r>
  <r>
    <s v="Singapore"/>
    <x v="2"/>
    <s v="SG3"/>
    <m/>
    <x v="5"/>
    <x v="0"/>
    <x v="0"/>
    <x v="0"/>
    <x v="0"/>
    <x v="0"/>
    <x v="0"/>
    <m/>
    <x v="0"/>
    <x v="0"/>
    <n v="0.18079429499999999"/>
    <m/>
    <x v="14"/>
    <x v="2"/>
    <x v="0"/>
    <x v="5"/>
    <x v="1"/>
  </r>
  <r>
    <s v="Singapore"/>
    <x v="4"/>
    <s v="SG4"/>
    <m/>
    <x v="1"/>
    <x v="2"/>
    <x v="4"/>
    <x v="0"/>
    <x v="0"/>
    <x v="0"/>
    <x v="0"/>
    <m/>
    <x v="0"/>
    <x v="0"/>
    <n v="0.18079429499999999"/>
    <m/>
    <x v="14"/>
    <x v="1"/>
    <x v="0"/>
    <x v="2"/>
    <x v="1"/>
  </r>
  <r>
    <s v="Singapore"/>
    <x v="4"/>
    <s v="SG4"/>
    <m/>
    <x v="5"/>
    <x v="4"/>
    <x v="0"/>
    <x v="2"/>
    <x v="0"/>
    <x v="0"/>
    <x v="0"/>
    <m/>
    <x v="0"/>
    <x v="0"/>
    <n v="0.27652725"/>
    <m/>
    <x v="14"/>
    <x v="2"/>
    <x v="0"/>
    <x v="5"/>
    <x v="0"/>
  </r>
  <r>
    <s v="Singapore"/>
    <x v="3"/>
    <s v="SG1"/>
    <m/>
    <x v="2"/>
    <x v="1"/>
    <x v="1"/>
    <x v="5"/>
    <x v="0"/>
    <x v="0"/>
    <x v="0"/>
    <m/>
    <x v="0"/>
    <x v="0"/>
    <n v="-5.3390790900000002"/>
    <m/>
    <x v="14"/>
    <x v="3"/>
    <x v="0"/>
    <x v="2"/>
    <x v="2"/>
  </r>
  <r>
    <s v="Singapore"/>
    <x v="4"/>
    <s v="SG3"/>
    <m/>
    <x v="3"/>
    <x v="2"/>
    <x v="0"/>
    <x v="2"/>
    <x v="0"/>
    <x v="0"/>
    <x v="0"/>
    <m/>
    <x v="0"/>
    <x v="0"/>
    <n v="8.9516934000000006E-2"/>
    <m/>
    <x v="14"/>
    <x v="1"/>
    <x v="0"/>
    <x v="0"/>
    <x v="0"/>
  </r>
  <r>
    <s v="Singapore"/>
    <x v="3"/>
    <s v="SG2"/>
    <m/>
    <x v="5"/>
    <x v="2"/>
    <x v="1"/>
    <x v="3"/>
    <x v="0"/>
    <x v="0"/>
    <x v="0"/>
    <m/>
    <x v="0"/>
    <x v="0"/>
    <n v="9.0513989999999999E-3"/>
    <m/>
    <x v="14"/>
    <x v="3"/>
    <x v="0"/>
    <x v="2"/>
    <x v="0"/>
  </r>
  <r>
    <s v="Singapore"/>
    <x v="3"/>
    <s v="SG4"/>
    <m/>
    <x v="5"/>
    <x v="0"/>
    <x v="0"/>
    <x v="5"/>
    <x v="0"/>
    <x v="0"/>
    <x v="0"/>
    <m/>
    <x v="0"/>
    <x v="0"/>
    <n v="9.0513989999999999E-3"/>
    <m/>
    <x v="14"/>
    <x v="1"/>
    <x v="0"/>
    <x v="1"/>
    <x v="2"/>
  </r>
  <r>
    <s v="Singapore"/>
    <x v="0"/>
    <s v="SG1"/>
    <m/>
    <x v="3"/>
    <x v="2"/>
    <x v="0"/>
    <x v="4"/>
    <x v="0"/>
    <x v="0"/>
    <x v="0"/>
    <m/>
    <x v="0"/>
    <x v="0"/>
    <n v="7.199055900000001E-2"/>
    <m/>
    <x v="14"/>
    <x v="3"/>
    <x v="0"/>
    <x v="4"/>
    <x v="0"/>
  </r>
  <r>
    <s v="Singapore"/>
    <x v="0"/>
    <s v="SG4"/>
    <m/>
    <x v="5"/>
    <x v="0"/>
    <x v="3"/>
    <x v="4"/>
    <x v="0"/>
    <x v="0"/>
    <x v="0"/>
    <m/>
    <x v="0"/>
    <x v="0"/>
    <n v="4.6643526000000005E-2"/>
    <m/>
    <x v="14"/>
    <x v="1"/>
    <x v="0"/>
    <x v="4"/>
    <x v="0"/>
  </r>
  <r>
    <s v="Singapore"/>
    <x v="2"/>
    <s v="SG2"/>
    <m/>
    <x v="4"/>
    <x v="2"/>
    <x v="4"/>
    <x v="3"/>
    <x v="0"/>
    <x v="0"/>
    <x v="0"/>
    <m/>
    <x v="0"/>
    <x v="0"/>
    <n v="8.0449956000000003E-2"/>
    <m/>
    <x v="14"/>
    <x v="2"/>
    <x v="0"/>
    <x v="5"/>
    <x v="2"/>
  </r>
  <r>
    <s v="Singapore"/>
    <x v="2"/>
    <s v="SG1"/>
    <m/>
    <x v="2"/>
    <x v="0"/>
    <x v="0"/>
    <x v="0"/>
    <x v="0"/>
    <x v="0"/>
    <x v="0"/>
    <m/>
    <x v="0"/>
    <x v="0"/>
    <n v="9.0404937000000005E-2"/>
    <m/>
    <x v="14"/>
    <x v="0"/>
    <x v="0"/>
    <x v="4"/>
    <x v="1"/>
  </r>
  <r>
    <s v="Singapore"/>
    <x v="2"/>
    <s v="SG2"/>
    <m/>
    <x v="2"/>
    <x v="2"/>
    <x v="4"/>
    <x v="1"/>
    <x v="0"/>
    <x v="0"/>
    <x v="0"/>
    <m/>
    <x v="0"/>
    <x v="0"/>
    <n v="9.0404937000000005E-2"/>
    <m/>
    <x v="14"/>
    <x v="1"/>
    <x v="0"/>
    <x v="2"/>
    <x v="2"/>
  </r>
  <r>
    <s v="Singapore"/>
    <x v="5"/>
    <s v="SG4"/>
    <m/>
    <x v="1"/>
    <x v="3"/>
    <x v="0"/>
    <x v="4"/>
    <x v="0"/>
    <x v="0"/>
    <x v="0"/>
    <m/>
    <x v="0"/>
    <x v="0"/>
    <n v="7.1414136000000003E-2"/>
    <m/>
    <x v="14"/>
    <x v="3"/>
    <x v="0"/>
    <x v="4"/>
    <x v="2"/>
  </r>
  <r>
    <s v="Singapore"/>
    <x v="5"/>
    <s v="SG4"/>
    <m/>
    <x v="5"/>
    <x v="4"/>
    <x v="4"/>
    <x v="2"/>
    <x v="0"/>
    <x v="0"/>
    <x v="0"/>
    <m/>
    <x v="0"/>
    <x v="0"/>
    <n v="8.1337959000000001E-2"/>
    <m/>
    <x v="14"/>
    <x v="2"/>
    <x v="0"/>
    <x v="1"/>
    <x v="0"/>
  </r>
  <r>
    <s v="Singapore"/>
    <x v="3"/>
    <s v="SG3"/>
    <m/>
    <x v="2"/>
    <x v="3"/>
    <x v="4"/>
    <x v="2"/>
    <x v="0"/>
    <x v="0"/>
    <x v="0"/>
    <m/>
    <x v="0"/>
    <x v="0"/>
    <n v="8.1369117000000005E-2"/>
    <m/>
    <x v="14"/>
    <x v="2"/>
    <x v="0"/>
    <x v="1"/>
    <x v="2"/>
  </r>
  <r>
    <s v="Singapore"/>
    <x v="0"/>
    <s v="SG3"/>
    <m/>
    <x v="0"/>
    <x v="1"/>
    <x v="3"/>
    <x v="4"/>
    <x v="0"/>
    <x v="0"/>
    <x v="0"/>
    <m/>
    <x v="0"/>
    <x v="0"/>
    <n v="6.309495E-3"/>
    <m/>
    <x v="14"/>
    <x v="2"/>
    <x v="0"/>
    <x v="4"/>
    <x v="1"/>
  </r>
  <r>
    <s v="Singapore"/>
    <x v="4"/>
    <s v="SG4"/>
    <m/>
    <x v="1"/>
    <x v="3"/>
    <x v="0"/>
    <x v="4"/>
    <x v="0"/>
    <x v="0"/>
    <x v="0"/>
    <m/>
    <x v="0"/>
    <x v="0"/>
    <n v="5.6754297000000002E-2"/>
    <m/>
    <x v="14"/>
    <x v="1"/>
    <x v="0"/>
    <x v="5"/>
    <x v="0"/>
  </r>
  <r>
    <s v="Singapore"/>
    <x v="1"/>
    <s v="SG1"/>
    <m/>
    <x v="2"/>
    <x v="2"/>
    <x v="4"/>
    <x v="0"/>
    <x v="0"/>
    <x v="0"/>
    <x v="0"/>
    <m/>
    <x v="0"/>
    <x v="0"/>
    <n v="9.0404937000000005E-2"/>
    <m/>
    <x v="14"/>
    <x v="0"/>
    <x v="0"/>
    <x v="0"/>
    <x v="1"/>
  </r>
  <r>
    <s v="Singapore"/>
    <x v="2"/>
    <s v="SG3"/>
    <m/>
    <x v="0"/>
    <x v="1"/>
    <x v="1"/>
    <x v="5"/>
    <x v="0"/>
    <x v="0"/>
    <x v="0"/>
    <m/>
    <x v="0"/>
    <x v="0"/>
    <n v="0.13045854600000001"/>
    <m/>
    <x v="14"/>
    <x v="2"/>
    <x v="0"/>
    <x v="1"/>
    <x v="2"/>
  </r>
  <r>
    <s v="Singapore"/>
    <x v="3"/>
    <s v="SG1"/>
    <m/>
    <x v="2"/>
    <x v="4"/>
    <x v="0"/>
    <x v="0"/>
    <x v="0"/>
    <x v="0"/>
    <x v="0"/>
    <m/>
    <x v="0"/>
    <x v="0"/>
    <n v="4.5194679000000001E-2"/>
    <m/>
    <x v="14"/>
    <x v="3"/>
    <x v="0"/>
    <x v="0"/>
    <x v="1"/>
  </r>
  <r>
    <s v="Singapore"/>
    <x v="5"/>
    <s v="SG3"/>
    <m/>
    <x v="4"/>
    <x v="2"/>
    <x v="4"/>
    <x v="1"/>
    <x v="0"/>
    <x v="0"/>
    <x v="0"/>
    <m/>
    <x v="0"/>
    <x v="0"/>
    <n v="0.28455043500000005"/>
    <m/>
    <x v="14"/>
    <x v="3"/>
    <x v="0"/>
    <x v="0"/>
    <x v="1"/>
  </r>
  <r>
    <s v="Singapore"/>
    <x v="4"/>
    <s v="SG3"/>
    <m/>
    <x v="1"/>
    <x v="2"/>
    <x v="3"/>
    <x v="4"/>
    <x v="0"/>
    <x v="0"/>
    <x v="0"/>
    <m/>
    <x v="0"/>
    <x v="0"/>
    <n v="3.6158859000000002E-2"/>
    <m/>
    <x v="14"/>
    <x v="3"/>
    <x v="0"/>
    <x v="2"/>
    <x v="0"/>
  </r>
  <r>
    <s v="Singapore"/>
    <x v="3"/>
    <s v="SG4"/>
    <m/>
    <x v="4"/>
    <x v="2"/>
    <x v="0"/>
    <x v="4"/>
    <x v="0"/>
    <x v="0"/>
    <x v="0"/>
    <m/>
    <x v="0"/>
    <x v="0"/>
    <n v="1.261899E-2"/>
    <m/>
    <x v="14"/>
    <x v="2"/>
    <x v="0"/>
    <x v="5"/>
    <x v="0"/>
  </r>
  <r>
    <s v="Singapore"/>
    <x v="1"/>
    <s v="SG2"/>
    <m/>
    <x v="0"/>
    <x v="4"/>
    <x v="0"/>
    <x v="4"/>
    <x v="0"/>
    <x v="0"/>
    <x v="0"/>
    <m/>
    <x v="0"/>
    <x v="0"/>
    <n v="9.0513989999999999E-3"/>
    <m/>
    <x v="14"/>
    <x v="2"/>
    <x v="0"/>
    <x v="2"/>
    <x v="0"/>
  </r>
  <r>
    <s v="Singapore"/>
    <x v="1"/>
    <s v="SG3"/>
    <m/>
    <x v="1"/>
    <x v="2"/>
    <x v="3"/>
    <x v="3"/>
    <x v="0"/>
    <x v="0"/>
    <x v="0"/>
    <m/>
    <x v="0"/>
    <x v="0"/>
    <n v="0.718674849"/>
    <m/>
    <x v="14"/>
    <x v="3"/>
    <x v="0"/>
    <x v="0"/>
    <x v="0"/>
  </r>
  <r>
    <s v="Singapore"/>
    <x v="0"/>
    <s v="SG2"/>
    <m/>
    <x v="2"/>
    <x v="2"/>
    <x v="2"/>
    <x v="2"/>
    <x v="0"/>
    <x v="0"/>
    <x v="0"/>
    <m/>
    <x v="0"/>
    <x v="0"/>
    <n v="0.20931944400000002"/>
    <m/>
    <x v="14"/>
    <x v="2"/>
    <x v="0"/>
    <x v="4"/>
    <x v="1"/>
  </r>
  <r>
    <s v="Singapore"/>
    <x v="4"/>
    <s v="SG1"/>
    <m/>
    <x v="5"/>
    <x v="2"/>
    <x v="3"/>
    <x v="4"/>
    <x v="0"/>
    <x v="0"/>
    <x v="0"/>
    <m/>
    <x v="0"/>
    <x v="0"/>
    <n v="0.18979895700000002"/>
    <m/>
    <x v="14"/>
    <x v="0"/>
    <x v="0"/>
    <x v="2"/>
    <x v="2"/>
  </r>
  <r>
    <s v="Singapore"/>
    <x v="2"/>
    <s v="SG1"/>
    <m/>
    <x v="1"/>
    <x v="0"/>
    <x v="0"/>
    <x v="5"/>
    <x v="0"/>
    <x v="0"/>
    <x v="0"/>
    <m/>
    <x v="0"/>
    <x v="0"/>
    <n v="0.58843440899999999"/>
    <m/>
    <x v="14"/>
    <x v="1"/>
    <x v="0"/>
    <x v="1"/>
    <x v="1"/>
  </r>
  <r>
    <s v="Singapore"/>
    <x v="0"/>
    <s v="SG1"/>
    <m/>
    <x v="5"/>
    <x v="1"/>
    <x v="4"/>
    <x v="5"/>
    <x v="0"/>
    <x v="0"/>
    <x v="0"/>
    <m/>
    <x v="0"/>
    <x v="0"/>
    <n v="0.16977994200000002"/>
    <m/>
    <x v="14"/>
    <x v="3"/>
    <x v="0"/>
    <x v="0"/>
    <x v="1"/>
  </r>
  <r>
    <s v="Singapore"/>
    <x v="5"/>
    <s v="SG1"/>
    <m/>
    <x v="3"/>
    <x v="0"/>
    <x v="2"/>
    <x v="1"/>
    <x v="0"/>
    <x v="0"/>
    <x v="0"/>
    <m/>
    <x v="0"/>
    <x v="0"/>
    <n v="0.20931944400000002"/>
    <m/>
    <x v="14"/>
    <x v="0"/>
    <x v="0"/>
    <x v="2"/>
    <x v="1"/>
  </r>
  <r>
    <s v="Singapore"/>
    <x v="2"/>
    <s v="SG1"/>
    <m/>
    <x v="1"/>
    <x v="1"/>
    <x v="4"/>
    <x v="0"/>
    <x v="0"/>
    <x v="0"/>
    <x v="0"/>
    <m/>
    <x v="0"/>
    <x v="0"/>
    <n v="0.16977994200000002"/>
    <m/>
    <x v="14"/>
    <x v="1"/>
    <x v="0"/>
    <x v="4"/>
    <x v="0"/>
  </r>
  <r>
    <s v="Singapore"/>
    <x v="1"/>
    <s v="SG4"/>
    <m/>
    <x v="0"/>
    <x v="3"/>
    <x v="4"/>
    <x v="2"/>
    <x v="0"/>
    <x v="0"/>
    <x v="0"/>
    <m/>
    <x v="0"/>
    <x v="0"/>
    <n v="0.58843440899999999"/>
    <m/>
    <x v="14"/>
    <x v="3"/>
    <x v="0"/>
    <x v="1"/>
    <x v="2"/>
  </r>
  <r>
    <s v="Singapore"/>
    <x v="1"/>
    <s v="SG2"/>
    <m/>
    <x v="0"/>
    <x v="3"/>
    <x v="4"/>
    <x v="1"/>
    <x v="0"/>
    <x v="0"/>
    <x v="0"/>
    <m/>
    <x v="0"/>
    <x v="0"/>
    <n v="0.54889490699999999"/>
    <m/>
    <x v="14"/>
    <x v="0"/>
    <x v="0"/>
    <x v="4"/>
    <x v="2"/>
  </r>
  <r>
    <s v="Singapore"/>
    <x v="5"/>
    <s v="SG3"/>
    <m/>
    <x v="2"/>
    <x v="0"/>
    <x v="4"/>
    <x v="5"/>
    <x v="0"/>
    <x v="0"/>
    <x v="0"/>
    <m/>
    <x v="0"/>
    <x v="0"/>
    <n v="0.20931944400000002"/>
    <m/>
    <x v="14"/>
    <x v="0"/>
    <x v="0"/>
    <x v="4"/>
    <x v="1"/>
  </r>
  <r>
    <s v="Singapore"/>
    <x v="5"/>
    <s v="SG4"/>
    <m/>
    <x v="2"/>
    <x v="3"/>
    <x v="3"/>
    <x v="4"/>
    <x v="0"/>
    <x v="0"/>
    <x v="0"/>
    <m/>
    <x v="0"/>
    <x v="0"/>
    <n v="0.20931944400000002"/>
    <m/>
    <x v="14"/>
    <x v="3"/>
    <x v="0"/>
    <x v="0"/>
    <x v="1"/>
  </r>
  <r>
    <s v="Singapore"/>
    <x v="4"/>
    <s v="SG4"/>
    <m/>
    <x v="4"/>
    <x v="1"/>
    <x v="2"/>
    <x v="0"/>
    <x v="0"/>
    <x v="0"/>
    <x v="0"/>
    <m/>
    <x v="0"/>
    <x v="0"/>
    <n v="0.16977994200000002"/>
    <m/>
    <x v="14"/>
    <x v="1"/>
    <x v="0"/>
    <x v="1"/>
    <x v="1"/>
  </r>
  <r>
    <s v="Singapore"/>
    <x v="4"/>
    <s v="SG3"/>
    <m/>
    <x v="4"/>
    <x v="1"/>
    <x v="3"/>
    <x v="1"/>
    <x v="0"/>
    <x v="0"/>
    <x v="0"/>
    <m/>
    <x v="0"/>
    <x v="0"/>
    <n v="0.20931944400000002"/>
    <m/>
    <x v="14"/>
    <x v="0"/>
    <x v="0"/>
    <x v="3"/>
    <x v="0"/>
  </r>
  <r>
    <s v="Singapore"/>
    <x v="2"/>
    <s v="SG2"/>
    <m/>
    <x v="1"/>
    <x v="4"/>
    <x v="2"/>
    <x v="3"/>
    <x v="0"/>
    <x v="0"/>
    <x v="0"/>
    <m/>
    <x v="0"/>
    <x v="0"/>
    <n v="0.16977994200000002"/>
    <m/>
    <x v="14"/>
    <x v="3"/>
    <x v="0"/>
    <x v="3"/>
    <x v="0"/>
  </r>
  <r>
    <s v="Singapore"/>
    <x v="0"/>
    <s v="SG4"/>
    <m/>
    <x v="5"/>
    <x v="1"/>
    <x v="0"/>
    <x v="3"/>
    <x v="0"/>
    <x v="0"/>
    <x v="0"/>
    <m/>
    <x v="0"/>
    <x v="0"/>
    <n v="0.679135347"/>
    <m/>
    <x v="14"/>
    <x v="3"/>
    <x v="0"/>
    <x v="1"/>
    <x v="2"/>
  </r>
  <r>
    <s v="Singapore"/>
    <x v="3"/>
    <s v="SG3"/>
    <m/>
    <x v="1"/>
    <x v="3"/>
    <x v="4"/>
    <x v="1"/>
    <x v="0"/>
    <x v="0"/>
    <x v="0"/>
    <m/>
    <x v="0"/>
    <x v="0"/>
    <n v="17.291132100000002"/>
    <m/>
    <x v="14"/>
    <x v="1"/>
    <x v="0"/>
    <x v="0"/>
    <x v="1"/>
  </r>
  <r>
    <s v="Singapore"/>
    <x v="2"/>
    <s v="SG4"/>
    <m/>
    <x v="5"/>
    <x v="4"/>
    <x v="3"/>
    <x v="2"/>
    <x v="0"/>
    <x v="0"/>
    <x v="0"/>
    <m/>
    <x v="0"/>
    <x v="0"/>
    <n v="32.715900000000005"/>
    <m/>
    <x v="14"/>
    <x v="3"/>
    <x v="0"/>
    <x v="5"/>
    <x v="0"/>
  </r>
  <r>
    <s v="Singapore"/>
    <x v="5"/>
    <s v="SG4"/>
    <m/>
    <x v="3"/>
    <x v="4"/>
    <x v="0"/>
    <x v="0"/>
    <x v="0"/>
    <x v="0"/>
    <x v="0"/>
    <m/>
    <x v="0"/>
    <x v="0"/>
    <n v="6.0742521000000007"/>
    <m/>
    <x v="14"/>
    <x v="3"/>
    <x v="0"/>
    <x v="2"/>
    <x v="0"/>
  </r>
  <r>
    <s v="Singapore"/>
    <x v="3"/>
    <s v="SG1"/>
    <m/>
    <x v="3"/>
    <x v="0"/>
    <x v="4"/>
    <x v="1"/>
    <x v="0"/>
    <x v="0"/>
    <x v="0"/>
    <m/>
    <x v="0"/>
    <x v="0"/>
    <n v="19.084275000000002"/>
    <m/>
    <x v="14"/>
    <x v="2"/>
    <x v="0"/>
    <x v="5"/>
    <x v="2"/>
  </r>
  <r>
    <s v="Singapore"/>
    <x v="1"/>
    <s v="SG3"/>
    <m/>
    <x v="4"/>
    <x v="4"/>
    <x v="3"/>
    <x v="3"/>
    <x v="0"/>
    <x v="0"/>
    <x v="0"/>
    <m/>
    <x v="0"/>
    <x v="0"/>
    <n v="0.60758100000000004"/>
    <m/>
    <x v="14"/>
    <x v="1"/>
    <x v="0"/>
    <x v="3"/>
    <x v="0"/>
  </r>
  <r>
    <s v="Singapore"/>
    <x v="1"/>
    <s v="SG3"/>
    <m/>
    <x v="1"/>
    <x v="2"/>
    <x v="0"/>
    <x v="4"/>
    <x v="0"/>
    <x v="0"/>
    <x v="0"/>
    <m/>
    <x v="0"/>
    <x v="0"/>
    <n v="2.7263250000000001"/>
    <m/>
    <x v="14"/>
    <x v="0"/>
    <x v="0"/>
    <x v="0"/>
    <x v="0"/>
  </r>
  <r>
    <s v="Singapore"/>
    <x v="4"/>
    <s v="SG4"/>
    <m/>
    <x v="1"/>
    <x v="0"/>
    <x v="1"/>
    <x v="5"/>
    <x v="0"/>
    <x v="0"/>
    <x v="0"/>
    <m/>
    <x v="0"/>
    <x v="0"/>
    <n v="13.242150000000001"/>
    <m/>
    <x v="14"/>
    <x v="3"/>
    <x v="0"/>
    <x v="3"/>
    <x v="0"/>
  </r>
  <r>
    <s v="Singapore"/>
    <x v="5"/>
    <s v="SG4"/>
    <m/>
    <x v="0"/>
    <x v="3"/>
    <x v="2"/>
    <x v="0"/>
    <x v="0"/>
    <x v="0"/>
    <x v="0"/>
    <m/>
    <x v="0"/>
    <x v="0"/>
    <n v="28.665360000000003"/>
    <m/>
    <x v="14"/>
    <x v="0"/>
    <x v="0"/>
    <x v="1"/>
    <x v="1"/>
  </r>
  <r>
    <s v="Singapore"/>
    <x v="3"/>
    <s v="SG2"/>
    <m/>
    <x v="3"/>
    <x v="4"/>
    <x v="3"/>
    <x v="2"/>
    <x v="0"/>
    <x v="0"/>
    <x v="0"/>
    <m/>
    <x v="0"/>
    <x v="0"/>
    <n v="9.5810849999999999"/>
    <m/>
    <x v="14"/>
    <x v="1"/>
    <x v="0"/>
    <x v="3"/>
    <x v="0"/>
  </r>
  <r>
    <s v="Singapore"/>
    <x v="4"/>
    <s v="SG2"/>
    <m/>
    <x v="0"/>
    <x v="4"/>
    <x v="0"/>
    <x v="2"/>
    <x v="0"/>
    <x v="0"/>
    <x v="0"/>
    <m/>
    <x v="0"/>
    <x v="0"/>
    <n v="95.810850000000002"/>
    <m/>
    <x v="14"/>
    <x v="2"/>
    <x v="0"/>
    <x v="2"/>
    <x v="2"/>
  </r>
  <r>
    <s v="Singapore"/>
    <x v="0"/>
    <s v="SG1"/>
    <m/>
    <x v="5"/>
    <x v="4"/>
    <x v="2"/>
    <x v="0"/>
    <x v="0"/>
    <x v="0"/>
    <x v="0"/>
    <m/>
    <x v="0"/>
    <x v="0"/>
    <n v="29.677995000000003"/>
    <m/>
    <x v="14"/>
    <x v="3"/>
    <x v="0"/>
    <x v="4"/>
    <x v="0"/>
  </r>
  <r>
    <s v="Singapore"/>
    <x v="0"/>
    <s v="SG3"/>
    <m/>
    <x v="2"/>
    <x v="2"/>
    <x v="3"/>
    <x v="0"/>
    <x v="0"/>
    <x v="0"/>
    <x v="0"/>
    <m/>
    <x v="0"/>
    <x v="0"/>
    <n v="-569.34203292000007"/>
    <m/>
    <x v="14"/>
    <x v="3"/>
    <x v="0"/>
    <x v="5"/>
    <x v="2"/>
  </r>
  <r>
    <s v="Singapore"/>
    <x v="5"/>
    <s v="SG3"/>
    <m/>
    <x v="4"/>
    <x v="3"/>
    <x v="0"/>
    <x v="0"/>
    <x v="0"/>
    <x v="0"/>
    <x v="0"/>
    <m/>
    <x v="0"/>
    <x v="0"/>
    <n v="4.7872709100000002"/>
    <m/>
    <x v="14"/>
    <x v="0"/>
    <x v="0"/>
    <x v="1"/>
    <x v="1"/>
  </r>
  <r>
    <s v="Singapore"/>
    <x v="1"/>
    <s v="SG3"/>
    <m/>
    <x v="3"/>
    <x v="0"/>
    <x v="2"/>
    <x v="3"/>
    <x v="0"/>
    <x v="0"/>
    <x v="0"/>
    <m/>
    <x v="0"/>
    <x v="0"/>
    <n v="1.9863225000000002"/>
    <m/>
    <x v="14"/>
    <x v="3"/>
    <x v="0"/>
    <x v="4"/>
    <x v="1"/>
  </r>
  <r>
    <s v="Singapore"/>
    <x v="5"/>
    <s v="SG1"/>
    <m/>
    <x v="1"/>
    <x v="3"/>
    <x v="1"/>
    <x v="4"/>
    <x v="0"/>
    <x v="0"/>
    <x v="0"/>
    <m/>
    <x v="0"/>
    <x v="0"/>
    <n v="0.47913214500000006"/>
    <m/>
    <x v="14"/>
    <x v="1"/>
    <x v="0"/>
    <x v="0"/>
    <x v="0"/>
  </r>
  <r>
    <s v="Singapore"/>
    <x v="3"/>
    <s v="SG1"/>
    <m/>
    <x v="0"/>
    <x v="1"/>
    <x v="2"/>
    <x v="3"/>
    <x v="0"/>
    <x v="0"/>
    <x v="0"/>
    <m/>
    <x v="0"/>
    <x v="0"/>
    <n v="4.8372795000000002"/>
    <m/>
    <x v="14"/>
    <x v="1"/>
    <x v="0"/>
    <x v="4"/>
    <x v="2"/>
  </r>
  <r>
    <s v="Singapore"/>
    <x v="4"/>
    <s v="SG4"/>
    <m/>
    <x v="1"/>
    <x v="2"/>
    <x v="2"/>
    <x v="0"/>
    <x v="0"/>
    <x v="0"/>
    <x v="0"/>
    <m/>
    <x v="0"/>
    <x v="0"/>
    <n v="3.5914268700000003"/>
    <m/>
    <x v="14"/>
    <x v="0"/>
    <x v="0"/>
    <x v="1"/>
    <x v="1"/>
  </r>
  <r>
    <s v="Singapore"/>
    <x v="1"/>
    <s v="SG2"/>
    <m/>
    <x v="2"/>
    <x v="3"/>
    <x v="3"/>
    <x v="3"/>
    <x v="0"/>
    <x v="0"/>
    <x v="0"/>
    <m/>
    <x v="0"/>
    <x v="0"/>
    <n v="5.8733608950000002"/>
    <m/>
    <x v="14"/>
    <x v="0"/>
    <x v="0"/>
    <x v="2"/>
    <x v="1"/>
  </r>
  <r>
    <s v="Singapore"/>
    <x v="4"/>
    <s v="SG3"/>
    <m/>
    <x v="3"/>
    <x v="2"/>
    <x v="0"/>
    <x v="0"/>
    <x v="0"/>
    <x v="0"/>
    <x v="0"/>
    <m/>
    <x v="0"/>
    <x v="0"/>
    <n v="19.863225"/>
    <m/>
    <x v="14"/>
    <x v="2"/>
    <x v="0"/>
    <x v="0"/>
    <x v="0"/>
  </r>
  <r>
    <s v="Singapore"/>
    <x v="3"/>
    <s v="SG1"/>
    <m/>
    <x v="3"/>
    <x v="3"/>
    <x v="1"/>
    <x v="4"/>
    <x v="0"/>
    <x v="0"/>
    <x v="0"/>
    <m/>
    <x v="0"/>
    <x v="0"/>
    <n v="4.7913214499999999"/>
    <m/>
    <x v="14"/>
    <x v="0"/>
    <x v="0"/>
    <x v="3"/>
    <x v="0"/>
  </r>
  <r>
    <s v="Singapore"/>
    <x v="2"/>
    <s v="SG3"/>
    <m/>
    <x v="1"/>
    <x v="0"/>
    <x v="0"/>
    <x v="3"/>
    <x v="0"/>
    <x v="0"/>
    <x v="0"/>
    <m/>
    <x v="0"/>
    <x v="0"/>
    <n v="5.097059325"/>
    <m/>
    <x v="14"/>
    <x v="0"/>
    <x v="0"/>
    <x v="4"/>
    <x v="0"/>
  </r>
  <r>
    <s v="Singapore"/>
    <x v="2"/>
    <s v="SG1"/>
    <m/>
    <x v="5"/>
    <x v="3"/>
    <x v="1"/>
    <x v="0"/>
    <x v="0"/>
    <x v="0"/>
    <x v="0"/>
    <m/>
    <x v="0"/>
    <x v="0"/>
    <n v="17.8769025"/>
    <m/>
    <x v="14"/>
    <x v="0"/>
    <x v="0"/>
    <x v="1"/>
    <x v="2"/>
  </r>
  <r>
    <s v="Singapore"/>
    <x v="2"/>
    <s v="SG4"/>
    <m/>
    <x v="5"/>
    <x v="1"/>
    <x v="0"/>
    <x v="5"/>
    <x v="0"/>
    <x v="0"/>
    <x v="0"/>
    <m/>
    <x v="0"/>
    <x v="0"/>
    <n v="4.3121893049999995"/>
    <m/>
    <x v="14"/>
    <x v="0"/>
    <x v="0"/>
    <x v="5"/>
    <x v="1"/>
  </r>
  <r>
    <s v="Singapore"/>
    <x v="1"/>
    <s v="SG4"/>
    <m/>
    <x v="4"/>
    <x v="1"/>
    <x v="3"/>
    <x v="0"/>
    <x v="0"/>
    <x v="0"/>
    <x v="0"/>
    <m/>
    <x v="0"/>
    <x v="0"/>
    <n v="0.31781160000000003"/>
    <m/>
    <x v="14"/>
    <x v="2"/>
    <x v="0"/>
    <x v="3"/>
    <x v="2"/>
  </r>
  <r>
    <s v="Singapore"/>
    <x v="0"/>
    <s v="SG3"/>
    <m/>
    <x v="4"/>
    <x v="3"/>
    <x v="4"/>
    <x v="2"/>
    <x v="0"/>
    <x v="0"/>
    <x v="0"/>
    <m/>
    <x v="0"/>
    <x v="0"/>
    <n v="2.8603044"/>
    <m/>
    <x v="14"/>
    <x v="3"/>
    <x v="0"/>
    <x v="3"/>
    <x v="2"/>
  </r>
  <r>
    <s v="Singapore"/>
    <x v="2"/>
    <s v="SG2"/>
    <m/>
    <x v="3"/>
    <x v="4"/>
    <x v="0"/>
    <x v="4"/>
    <x v="0"/>
    <x v="0"/>
    <x v="0"/>
    <m/>
    <x v="0"/>
    <x v="0"/>
    <n v="21.421125"/>
    <m/>
    <x v="14"/>
    <x v="2"/>
    <x v="0"/>
    <x v="2"/>
    <x v="1"/>
  </r>
  <r>
    <s v="Singapore"/>
    <x v="2"/>
    <s v="SG1"/>
    <m/>
    <x v="5"/>
    <x v="4"/>
    <x v="2"/>
    <x v="5"/>
    <x v="0"/>
    <x v="0"/>
    <x v="0"/>
    <m/>
    <x v="0"/>
    <x v="0"/>
    <n v="6.6569067000000004"/>
    <m/>
    <x v="14"/>
    <x v="3"/>
    <x v="0"/>
    <x v="2"/>
    <x v="0"/>
  </r>
  <r>
    <s v="Singapore"/>
    <x v="0"/>
    <s v="SG4"/>
    <m/>
    <x v="1"/>
    <x v="0"/>
    <x v="2"/>
    <x v="3"/>
    <x v="0"/>
    <x v="0"/>
    <x v="0"/>
    <m/>
    <x v="0"/>
    <x v="0"/>
    <n v="10.7105625"/>
    <m/>
    <x v="14"/>
    <x v="0"/>
    <x v="0"/>
    <x v="2"/>
    <x v="2"/>
  </r>
  <r>
    <s v="Singapore"/>
    <x v="4"/>
    <s v="SG4"/>
    <m/>
    <x v="4"/>
    <x v="3"/>
    <x v="2"/>
    <x v="5"/>
    <x v="0"/>
    <x v="0"/>
    <x v="0"/>
    <m/>
    <x v="0"/>
    <x v="0"/>
    <n v="14.192469000000001"/>
    <m/>
    <x v="14"/>
    <x v="2"/>
    <x v="0"/>
    <x v="5"/>
    <x v="1"/>
  </r>
  <r>
    <s v="Singapore"/>
    <x v="3"/>
    <s v="SG2"/>
    <m/>
    <x v="3"/>
    <x v="0"/>
    <x v="3"/>
    <x v="4"/>
    <x v="0"/>
    <x v="0"/>
    <x v="0"/>
    <m/>
    <x v="0"/>
    <x v="0"/>
    <n v="8.5684500000000003"/>
    <m/>
    <x v="14"/>
    <x v="1"/>
    <x v="0"/>
    <x v="2"/>
    <x v="1"/>
  </r>
  <r>
    <s v="Singapore"/>
    <x v="4"/>
    <s v="SG3"/>
    <m/>
    <x v="3"/>
    <x v="2"/>
    <x v="4"/>
    <x v="2"/>
    <x v="0"/>
    <x v="0"/>
    <x v="0"/>
    <m/>
    <x v="0"/>
    <x v="0"/>
    <n v="0.63562320000000005"/>
    <m/>
    <x v="14"/>
    <x v="1"/>
    <x v="0"/>
    <x v="5"/>
    <x v="2"/>
  </r>
  <r>
    <s v="Singapore"/>
    <x v="0"/>
    <s v="SG3"/>
    <m/>
    <x v="1"/>
    <x v="1"/>
    <x v="4"/>
    <x v="0"/>
    <x v="0"/>
    <x v="0"/>
    <x v="0"/>
    <m/>
    <x v="0"/>
    <x v="0"/>
    <n v="2.1421125000000001"/>
    <m/>
    <x v="14"/>
    <x v="1"/>
    <x v="0"/>
    <x v="2"/>
    <x v="1"/>
  </r>
  <r>
    <s v="Singapore"/>
    <x v="1"/>
    <s v="SG1"/>
    <m/>
    <x v="3"/>
    <x v="4"/>
    <x v="0"/>
    <x v="0"/>
    <x v="0"/>
    <x v="0"/>
    <x v="0"/>
    <m/>
    <x v="0"/>
    <x v="0"/>
    <n v="-4.4789625000000006"/>
    <m/>
    <x v="14"/>
    <x v="1"/>
    <x v="0"/>
    <x v="4"/>
    <x v="0"/>
  </r>
  <r>
    <s v="Singapore"/>
    <x v="3"/>
    <s v="SG1"/>
    <m/>
    <x v="4"/>
    <x v="4"/>
    <x v="4"/>
    <x v="5"/>
    <x v="0"/>
    <x v="0"/>
    <x v="0"/>
    <m/>
    <x v="0"/>
    <x v="0"/>
    <n v="-13.171514814"/>
    <m/>
    <x v="14"/>
    <x v="1"/>
    <x v="0"/>
    <x v="3"/>
    <x v="0"/>
  </r>
  <r>
    <s v="Singapore"/>
    <x v="2"/>
    <s v="SG2"/>
    <m/>
    <x v="2"/>
    <x v="3"/>
    <x v="3"/>
    <x v="5"/>
    <x v="0"/>
    <x v="0"/>
    <x v="0"/>
    <m/>
    <x v="0"/>
    <x v="0"/>
    <n v="31.476839814000002"/>
    <m/>
    <x v="14"/>
    <x v="1"/>
    <x v="0"/>
    <x v="2"/>
    <x v="0"/>
  </r>
  <r>
    <s v="Singapore"/>
    <x v="4"/>
    <s v="SG4"/>
    <m/>
    <x v="2"/>
    <x v="1"/>
    <x v="3"/>
    <x v="0"/>
    <x v="0"/>
    <x v="0"/>
    <x v="0"/>
    <m/>
    <x v="0"/>
    <x v="0"/>
    <n v="4.184254557"/>
    <m/>
    <x v="14"/>
    <x v="3"/>
    <x v="0"/>
    <x v="1"/>
    <x v="0"/>
  </r>
  <r>
    <s v="Singapore"/>
    <x v="5"/>
    <s v="SG1"/>
    <m/>
    <x v="4"/>
    <x v="0"/>
    <x v="4"/>
    <x v="5"/>
    <x v="0"/>
    <x v="0"/>
    <x v="0"/>
    <m/>
    <x v="0"/>
    <x v="0"/>
    <n v="17.9532396"/>
    <m/>
    <x v="14"/>
    <x v="3"/>
    <x v="0"/>
    <x v="3"/>
    <x v="2"/>
  </r>
  <r>
    <s v="Singapore"/>
    <x v="4"/>
    <s v="SG2"/>
    <m/>
    <x v="2"/>
    <x v="2"/>
    <x v="3"/>
    <x v="0"/>
    <x v="0"/>
    <x v="0"/>
    <x v="0"/>
    <m/>
    <x v="0"/>
    <x v="0"/>
    <n v="19.012284441000002"/>
    <m/>
    <x v="14"/>
    <x v="3"/>
    <x v="0"/>
    <x v="2"/>
    <x v="0"/>
  </r>
  <r>
    <s v="Singapore"/>
    <x v="2"/>
    <s v="SG2"/>
    <m/>
    <x v="5"/>
    <x v="4"/>
    <x v="1"/>
    <x v="3"/>
    <x v="0"/>
    <x v="0"/>
    <x v="0"/>
    <m/>
    <x v="0"/>
    <x v="0"/>
    <n v="824.15190765600005"/>
    <m/>
    <x v="14"/>
    <x v="3"/>
    <x v="0"/>
    <x v="4"/>
    <x v="0"/>
  </r>
  <r>
    <s v="Singapore"/>
    <x v="2"/>
    <s v="SG3"/>
    <m/>
    <x v="1"/>
    <x v="1"/>
    <x v="3"/>
    <x v="1"/>
    <x v="0"/>
    <x v="0"/>
    <x v="0"/>
    <m/>
    <x v="0"/>
    <x v="0"/>
    <n v="-0.19735477200000001"/>
    <m/>
    <x v="14"/>
    <x v="2"/>
    <x v="0"/>
    <x v="5"/>
    <x v="1"/>
  </r>
  <r>
    <s v="Singapore"/>
    <x v="3"/>
    <s v="SG2"/>
    <m/>
    <x v="1"/>
    <x v="0"/>
    <x v="3"/>
    <x v="1"/>
    <x v="0"/>
    <x v="0"/>
    <x v="0"/>
    <m/>
    <x v="0"/>
    <x v="0"/>
    <n v="0.19735477200000001"/>
    <m/>
    <x v="14"/>
    <x v="2"/>
    <x v="0"/>
    <x v="1"/>
    <x v="0"/>
  </r>
  <r>
    <s v="Singapore"/>
    <x v="1"/>
    <s v="SG3"/>
    <m/>
    <x v="3"/>
    <x v="4"/>
    <x v="4"/>
    <x v="0"/>
    <x v="0"/>
    <x v="0"/>
    <x v="0"/>
    <m/>
    <x v="0"/>
    <x v="0"/>
    <n v="1.824269742"/>
    <m/>
    <x v="14"/>
    <x v="3"/>
    <x v="0"/>
    <x v="3"/>
    <x v="0"/>
  </r>
  <r>
    <s v="Singapore"/>
    <x v="2"/>
    <s v="SG1"/>
    <m/>
    <x v="3"/>
    <x v="0"/>
    <x v="4"/>
    <x v="4"/>
    <x v="0"/>
    <x v="0"/>
    <x v="0"/>
    <m/>
    <x v="0"/>
    <x v="0"/>
    <n v="1.7136900000000002"/>
    <m/>
    <x v="14"/>
    <x v="2"/>
    <x v="0"/>
    <x v="4"/>
    <x v="2"/>
  </r>
  <r>
    <s v="Singapore"/>
    <x v="2"/>
    <s v="SG1"/>
    <m/>
    <x v="0"/>
    <x v="2"/>
    <x v="1"/>
    <x v="4"/>
    <x v="0"/>
    <x v="0"/>
    <x v="0"/>
    <m/>
    <x v="0"/>
    <x v="0"/>
    <n v="0.36842777100000002"/>
    <m/>
    <x v="14"/>
    <x v="3"/>
    <x v="0"/>
    <x v="3"/>
    <x v="0"/>
  </r>
  <r>
    <s v="Singapore"/>
    <x v="0"/>
    <s v="SG1"/>
    <m/>
    <x v="5"/>
    <x v="4"/>
    <x v="4"/>
    <x v="4"/>
    <x v="0"/>
    <x v="0"/>
    <x v="0"/>
    <m/>
    <x v="0"/>
    <x v="0"/>
    <n v="0.81789750000000006"/>
    <m/>
    <x v="14"/>
    <x v="0"/>
    <x v="0"/>
    <x v="0"/>
    <x v="0"/>
  </r>
  <r>
    <s v="Singapore"/>
    <x v="5"/>
    <s v="SG3"/>
    <m/>
    <x v="2"/>
    <x v="1"/>
    <x v="2"/>
    <x v="4"/>
    <x v="0"/>
    <x v="0"/>
    <x v="0"/>
    <m/>
    <x v="0"/>
    <x v="0"/>
    <n v="4.1128560000000002E-2"/>
    <m/>
    <x v="14"/>
    <x v="2"/>
    <x v="0"/>
    <x v="4"/>
    <x v="0"/>
  </r>
  <r>
    <s v="Singapore"/>
    <x v="0"/>
    <s v="SG2"/>
    <m/>
    <x v="0"/>
    <x v="4"/>
    <x v="1"/>
    <x v="2"/>
    <x v="0"/>
    <x v="0"/>
    <x v="0"/>
    <m/>
    <x v="0"/>
    <x v="0"/>
    <n v="0.1168425"/>
    <m/>
    <x v="14"/>
    <x v="0"/>
    <x v="0"/>
    <x v="1"/>
    <x v="2"/>
  </r>
  <r>
    <s v="Singapore"/>
    <x v="4"/>
    <s v="SG2"/>
    <m/>
    <x v="1"/>
    <x v="2"/>
    <x v="0"/>
    <x v="1"/>
    <x v="0"/>
    <x v="0"/>
    <x v="0"/>
    <m/>
    <x v="0"/>
    <x v="0"/>
    <n v="-4.5494418960000003"/>
    <m/>
    <x v="14"/>
    <x v="2"/>
    <x v="0"/>
    <x v="1"/>
    <x v="1"/>
  </r>
  <r>
    <s v="Singapore"/>
    <x v="5"/>
    <s v="SG4"/>
    <m/>
    <x v="0"/>
    <x v="2"/>
    <x v="2"/>
    <x v="4"/>
    <x v="0"/>
    <x v="0"/>
    <x v="0"/>
    <m/>
    <x v="0"/>
    <x v="0"/>
    <n v="2.7452223270000005"/>
    <m/>
    <x v="14"/>
    <x v="1"/>
    <x v="0"/>
    <x v="0"/>
    <x v="0"/>
  </r>
  <r>
    <s v="Singapore"/>
    <x v="0"/>
    <s v="SG2"/>
    <m/>
    <x v="2"/>
    <x v="4"/>
    <x v="4"/>
    <x v="2"/>
    <x v="0"/>
    <x v="0"/>
    <x v="0"/>
    <m/>
    <x v="0"/>
    <x v="0"/>
    <n v="1.70044785"/>
    <m/>
    <x v="14"/>
    <x v="2"/>
    <x v="0"/>
    <x v="4"/>
    <x v="1"/>
  </r>
  <r>
    <s v="Singapore"/>
    <x v="3"/>
    <s v="SG4"/>
    <m/>
    <x v="2"/>
    <x v="4"/>
    <x v="2"/>
    <x v="2"/>
    <x v="0"/>
    <x v="0"/>
    <x v="0"/>
    <m/>
    <x v="0"/>
    <x v="0"/>
    <n v="16.7707935"/>
    <m/>
    <x v="14"/>
    <x v="2"/>
    <x v="0"/>
    <x v="0"/>
    <x v="1"/>
  </r>
  <r>
    <s v="Singapore"/>
    <x v="3"/>
    <s v="SG3"/>
    <m/>
    <x v="3"/>
    <x v="4"/>
    <x v="4"/>
    <x v="4"/>
    <x v="0"/>
    <x v="0"/>
    <x v="0"/>
    <m/>
    <x v="0"/>
    <x v="0"/>
    <n v="0.31158000000000002"/>
    <m/>
    <x v="14"/>
    <x v="3"/>
    <x v="0"/>
    <x v="0"/>
    <x v="2"/>
  </r>
  <r>
    <s v="Singapore"/>
    <x v="0"/>
    <s v="SG2"/>
    <m/>
    <x v="5"/>
    <x v="1"/>
    <x v="3"/>
    <x v="1"/>
    <x v="0"/>
    <x v="0"/>
    <x v="0"/>
    <m/>
    <x v="0"/>
    <x v="0"/>
    <n v="4.1398855650000002"/>
    <m/>
    <x v="14"/>
    <x v="3"/>
    <x v="0"/>
    <x v="2"/>
    <x v="2"/>
  </r>
  <r>
    <s v="Singapore"/>
    <x v="4"/>
    <s v="SG2"/>
    <m/>
    <x v="0"/>
    <x v="3"/>
    <x v="2"/>
    <x v="4"/>
    <x v="0"/>
    <x v="0"/>
    <x v="0"/>
    <m/>
    <x v="0"/>
    <x v="0"/>
    <n v="-67.840562664000004"/>
    <m/>
    <x v="14"/>
    <x v="2"/>
    <x v="0"/>
    <x v="4"/>
    <x v="0"/>
  </r>
  <r>
    <s v="Singapore"/>
    <x v="4"/>
    <s v="SG2"/>
    <m/>
    <x v="3"/>
    <x v="3"/>
    <x v="1"/>
    <x v="0"/>
    <x v="0"/>
    <x v="0"/>
    <x v="0"/>
    <m/>
    <x v="0"/>
    <x v="0"/>
    <n v="1.2513520170000001"/>
    <m/>
    <x v="14"/>
    <x v="2"/>
    <x v="0"/>
    <x v="1"/>
    <x v="1"/>
  </r>
  <r>
    <s v="Singapore"/>
    <x v="4"/>
    <s v="SG2"/>
    <m/>
    <x v="4"/>
    <x v="2"/>
    <x v="2"/>
    <x v="1"/>
    <x v="0"/>
    <x v="0"/>
    <x v="0"/>
    <m/>
    <x v="0"/>
    <x v="0"/>
    <n v="0.45996997500000003"/>
    <m/>
    <x v="14"/>
    <x v="3"/>
    <x v="0"/>
    <x v="0"/>
    <x v="2"/>
  </r>
  <r>
    <s v="Singapore"/>
    <x v="5"/>
    <s v="SG2"/>
    <m/>
    <x v="2"/>
    <x v="4"/>
    <x v="0"/>
    <x v="3"/>
    <x v="0"/>
    <x v="0"/>
    <x v="0"/>
    <m/>
    <x v="0"/>
    <x v="0"/>
    <n v="0.38648383200000003"/>
    <m/>
    <x v="14"/>
    <x v="0"/>
    <x v="0"/>
    <x v="2"/>
    <x v="1"/>
  </r>
  <r>
    <s v="Singapore"/>
    <x v="4"/>
    <s v="SG3"/>
    <m/>
    <x v="3"/>
    <x v="1"/>
    <x v="3"/>
    <x v="0"/>
    <x v="0"/>
    <x v="0"/>
    <x v="0"/>
    <m/>
    <x v="0"/>
    <x v="0"/>
    <n v="0.39419543700000004"/>
    <m/>
    <x v="14"/>
    <x v="0"/>
    <x v="0"/>
    <x v="1"/>
    <x v="0"/>
  </r>
  <r>
    <s v="Singapore"/>
    <x v="0"/>
    <s v="SG4"/>
    <m/>
    <x v="5"/>
    <x v="0"/>
    <x v="4"/>
    <x v="4"/>
    <x v="0"/>
    <x v="0"/>
    <x v="0"/>
    <m/>
    <x v="0"/>
    <x v="0"/>
    <n v="0.29763679500000001"/>
    <m/>
    <x v="14"/>
    <x v="2"/>
    <x v="0"/>
    <x v="2"/>
    <x v="2"/>
  </r>
  <r>
    <s v="Singapore"/>
    <x v="2"/>
    <s v="SG2"/>
    <m/>
    <x v="5"/>
    <x v="0"/>
    <x v="4"/>
    <x v="5"/>
    <x v="0"/>
    <x v="0"/>
    <x v="0"/>
    <m/>
    <x v="0"/>
    <x v="0"/>
    <n v="0.51052383000000001"/>
    <m/>
    <x v="14"/>
    <x v="2"/>
    <x v="0"/>
    <x v="2"/>
    <x v="0"/>
  </r>
  <r>
    <s v="Singapore"/>
    <x v="5"/>
    <s v="SG4"/>
    <m/>
    <x v="4"/>
    <x v="4"/>
    <x v="1"/>
    <x v="4"/>
    <x v="0"/>
    <x v="0"/>
    <x v="0"/>
    <m/>
    <x v="0"/>
    <x v="0"/>
    <n v="1.4838997500000002"/>
    <m/>
    <x v="14"/>
    <x v="2"/>
    <x v="0"/>
    <x v="1"/>
    <x v="1"/>
  </r>
  <r>
    <s v="Singapore"/>
    <x v="3"/>
    <s v="SG3"/>
    <m/>
    <x v="2"/>
    <x v="3"/>
    <x v="1"/>
    <x v="0"/>
    <x v="0"/>
    <x v="0"/>
    <x v="0"/>
    <m/>
    <x v="0"/>
    <x v="0"/>
    <n v="0.74897600399999997"/>
    <m/>
    <x v="14"/>
    <x v="0"/>
    <x v="0"/>
    <x v="1"/>
    <x v="0"/>
  </r>
  <r>
    <s v="Singapore"/>
    <x v="4"/>
    <s v="SG2"/>
    <m/>
    <x v="3"/>
    <x v="3"/>
    <x v="3"/>
    <x v="3"/>
    <x v="0"/>
    <x v="0"/>
    <x v="0"/>
    <m/>
    <x v="0"/>
    <x v="0"/>
    <n v="0.45213373800000006"/>
    <m/>
    <x v="14"/>
    <x v="3"/>
    <x v="0"/>
    <x v="2"/>
    <x v="2"/>
  </r>
  <r>
    <s v="Singapore"/>
    <x v="4"/>
    <s v="SG1"/>
    <m/>
    <x v="4"/>
    <x v="1"/>
    <x v="3"/>
    <x v="2"/>
    <x v="0"/>
    <x v="0"/>
    <x v="0"/>
    <m/>
    <x v="0"/>
    <x v="0"/>
    <n v="1.335509775"/>
    <m/>
    <x v="14"/>
    <x v="2"/>
    <x v="0"/>
    <x v="5"/>
    <x v="0"/>
  </r>
  <r>
    <s v="Singapore"/>
    <x v="5"/>
    <s v="SG2"/>
    <m/>
    <x v="0"/>
    <x v="2"/>
    <x v="1"/>
    <x v="4"/>
    <x v="0"/>
    <x v="0"/>
    <x v="0"/>
    <m/>
    <x v="0"/>
    <x v="0"/>
    <n v="0.67407217200000002"/>
    <m/>
    <x v="14"/>
    <x v="0"/>
    <x v="0"/>
    <x v="3"/>
    <x v="2"/>
  </r>
  <r>
    <s v="Singapore"/>
    <x v="4"/>
    <s v="SG4"/>
    <m/>
    <x v="3"/>
    <x v="3"/>
    <x v="0"/>
    <x v="1"/>
    <x v="0"/>
    <x v="0"/>
    <x v="0"/>
    <m/>
    <x v="0"/>
    <x v="0"/>
    <n v="3.6672966000000001E-2"/>
    <m/>
    <x v="14"/>
    <x v="1"/>
    <x v="0"/>
    <x v="3"/>
    <x v="1"/>
  </r>
  <r>
    <s v="Singapore"/>
    <x v="3"/>
    <s v="SG4"/>
    <m/>
    <x v="0"/>
    <x v="4"/>
    <x v="3"/>
    <x v="3"/>
    <x v="0"/>
    <x v="0"/>
    <x v="0"/>
    <m/>
    <x v="0"/>
    <x v="0"/>
    <n v="0.64163669400000001"/>
    <m/>
    <x v="14"/>
    <x v="2"/>
    <x v="0"/>
    <x v="5"/>
    <x v="0"/>
  </r>
  <r>
    <s v="Singapore"/>
    <x v="1"/>
    <s v="SG4"/>
    <m/>
    <x v="0"/>
    <x v="1"/>
    <x v="4"/>
    <x v="3"/>
    <x v="0"/>
    <x v="0"/>
    <x v="0"/>
    <m/>
    <x v="0"/>
    <x v="0"/>
    <n v="4.5419016600000006"/>
    <m/>
    <x v="14"/>
    <x v="1"/>
    <x v="0"/>
    <x v="1"/>
    <x v="0"/>
  </r>
  <r>
    <s v="Singapore"/>
    <x v="5"/>
    <s v="SG1"/>
    <m/>
    <x v="4"/>
    <x v="0"/>
    <x v="2"/>
    <x v="4"/>
    <x v="0"/>
    <x v="0"/>
    <x v="0"/>
    <m/>
    <x v="0"/>
    <x v="0"/>
    <n v="6.8717878470000011"/>
    <m/>
    <x v="14"/>
    <x v="1"/>
    <x v="0"/>
    <x v="4"/>
    <x v="1"/>
  </r>
  <r>
    <s v="Singapore"/>
    <x v="0"/>
    <s v="SG2"/>
    <m/>
    <x v="3"/>
    <x v="2"/>
    <x v="4"/>
    <x v="3"/>
    <x v="0"/>
    <x v="0"/>
    <x v="0"/>
    <m/>
    <x v="0"/>
    <x v="0"/>
    <n v="1.0418456250000001"/>
    <m/>
    <x v="14"/>
    <x v="3"/>
    <x v="0"/>
    <x v="5"/>
    <x v="0"/>
  </r>
  <r>
    <s v="Singapore"/>
    <x v="2"/>
    <s v="SG1"/>
    <m/>
    <x v="2"/>
    <x v="1"/>
    <x v="2"/>
    <x v="4"/>
    <x v="0"/>
    <x v="0"/>
    <x v="0"/>
    <m/>
    <x v="0"/>
    <x v="0"/>
    <n v="2.2257094140000002"/>
    <m/>
    <x v="14"/>
    <x v="3"/>
    <x v="0"/>
    <x v="1"/>
    <x v="2"/>
  </r>
  <r>
    <s v="Singapore"/>
    <x v="2"/>
    <s v="SG1"/>
    <m/>
    <x v="2"/>
    <x v="1"/>
    <x v="1"/>
    <x v="5"/>
    <x v="0"/>
    <x v="0"/>
    <x v="0"/>
    <m/>
    <x v="0"/>
    <x v="0"/>
    <n v="0.83347650000000006"/>
    <m/>
    <x v="14"/>
    <x v="0"/>
    <x v="0"/>
    <x v="4"/>
    <x v="1"/>
  </r>
  <r>
    <s v="Singapore"/>
    <x v="1"/>
    <s v="SG4"/>
    <m/>
    <x v="5"/>
    <x v="2"/>
    <x v="1"/>
    <x v="0"/>
    <x v="0"/>
    <x v="0"/>
    <x v="0"/>
    <m/>
    <x v="0"/>
    <x v="0"/>
    <n v="7.3345932000000003E-2"/>
    <m/>
    <x v="14"/>
    <x v="0"/>
    <x v="0"/>
    <x v="4"/>
    <x v="1"/>
  </r>
  <r>
    <s v="Singapore"/>
    <x v="0"/>
    <s v="SG3"/>
    <m/>
    <x v="5"/>
    <x v="1"/>
    <x v="2"/>
    <x v="2"/>
    <x v="0"/>
    <x v="0"/>
    <x v="0"/>
    <m/>
    <x v="0"/>
    <x v="0"/>
    <n v="0.20836912500000002"/>
    <m/>
    <x v="14"/>
    <x v="2"/>
    <x v="0"/>
    <x v="1"/>
    <x v="1"/>
  </r>
  <r>
    <s v="Singapore"/>
    <x v="0"/>
    <s v="SG1"/>
    <m/>
    <x v="1"/>
    <x v="1"/>
    <x v="1"/>
    <x v="4"/>
    <x v="0"/>
    <x v="0"/>
    <x v="0"/>
    <m/>
    <x v="0"/>
    <x v="0"/>
    <n v="15.579000000000001"/>
    <m/>
    <x v="14"/>
    <x v="0"/>
    <x v="0"/>
    <x v="1"/>
    <x v="1"/>
  </r>
  <r>
    <s v="Singapore"/>
    <x v="3"/>
    <s v="SG2"/>
    <m/>
    <x v="2"/>
    <x v="1"/>
    <x v="1"/>
    <x v="5"/>
    <x v="0"/>
    <x v="0"/>
    <x v="0"/>
    <m/>
    <x v="0"/>
    <x v="0"/>
    <n v="1.997741907"/>
    <m/>
    <x v="14"/>
    <x v="0"/>
    <x v="0"/>
    <x v="4"/>
    <x v="0"/>
  </r>
  <r>
    <s v="Singapore"/>
    <x v="1"/>
    <s v="SG3"/>
    <m/>
    <x v="0"/>
    <x v="3"/>
    <x v="0"/>
    <x v="2"/>
    <x v="0"/>
    <x v="0"/>
    <x v="0"/>
    <m/>
    <x v="0"/>
    <x v="0"/>
    <n v="6.8158125000000007"/>
    <m/>
    <x v="14"/>
    <x v="2"/>
    <x v="0"/>
    <x v="2"/>
    <x v="0"/>
  </r>
  <r>
    <s v="Singapore"/>
    <x v="2"/>
    <s v="SG3"/>
    <m/>
    <x v="3"/>
    <x v="1"/>
    <x v="4"/>
    <x v="2"/>
    <x v="0"/>
    <x v="0"/>
    <x v="0"/>
    <m/>
    <x v="0"/>
    <x v="0"/>
    <n v="1.6552687500000001"/>
    <m/>
    <x v="14"/>
    <x v="2"/>
    <x v="0"/>
    <x v="5"/>
    <x v="1"/>
  </r>
  <r>
    <s v="Singapore"/>
    <x v="2"/>
    <s v="SG2"/>
    <m/>
    <x v="1"/>
    <x v="4"/>
    <x v="0"/>
    <x v="4"/>
    <x v="0"/>
    <x v="0"/>
    <x v="0"/>
    <m/>
    <x v="0"/>
    <x v="0"/>
    <n v="3.0379050000000003"/>
    <m/>
    <x v="14"/>
    <x v="0"/>
    <x v="0"/>
    <x v="3"/>
    <x v="1"/>
  </r>
  <r>
    <s v="Singapore"/>
    <x v="2"/>
    <s v="SG2"/>
    <m/>
    <x v="4"/>
    <x v="1"/>
    <x v="3"/>
    <x v="5"/>
    <x v="0"/>
    <x v="0"/>
    <x v="0"/>
    <m/>
    <x v="0"/>
    <x v="0"/>
    <n v="0.79842374999999999"/>
    <m/>
    <x v="14"/>
    <x v="1"/>
    <x v="0"/>
    <x v="2"/>
    <x v="2"/>
  </r>
  <r>
    <s v="Singapore"/>
    <x v="1"/>
    <s v="SG4"/>
    <m/>
    <x v="0"/>
    <x v="3"/>
    <x v="0"/>
    <x v="0"/>
    <x v="0"/>
    <x v="0"/>
    <x v="0"/>
    <m/>
    <x v="0"/>
    <x v="0"/>
    <n v="11.97635625"/>
    <m/>
    <x v="14"/>
    <x v="2"/>
    <x v="0"/>
    <x v="3"/>
    <x v="0"/>
  </r>
  <r>
    <s v="Singapore"/>
    <x v="3"/>
    <s v="SG3"/>
    <m/>
    <x v="2"/>
    <x v="1"/>
    <x v="1"/>
    <x v="1"/>
    <x v="0"/>
    <x v="0"/>
    <x v="0"/>
    <m/>
    <x v="0"/>
    <x v="0"/>
    <n v="4.280984568"/>
    <m/>
    <x v="14"/>
    <x v="1"/>
    <x v="0"/>
    <x v="1"/>
    <x v="0"/>
  </r>
  <r>
    <s v="Singapore"/>
    <x v="0"/>
    <s v="SG1"/>
    <m/>
    <x v="1"/>
    <x v="4"/>
    <x v="3"/>
    <x v="4"/>
    <x v="0"/>
    <x v="0"/>
    <x v="0"/>
    <m/>
    <x v="0"/>
    <x v="0"/>
    <n v="-62.296308144000001"/>
    <m/>
    <x v="14"/>
    <x v="0"/>
    <x v="0"/>
    <x v="2"/>
    <x v="1"/>
  </r>
  <r>
    <s v="Singapore"/>
    <x v="2"/>
    <s v="SG3"/>
    <m/>
    <x v="3"/>
    <x v="2"/>
    <x v="0"/>
    <x v="0"/>
    <x v="0"/>
    <x v="0"/>
    <x v="0"/>
    <m/>
    <x v="0"/>
    <x v="0"/>
    <n v="2.0155331250000001"/>
    <m/>
    <x v="14"/>
    <x v="1"/>
    <x v="0"/>
    <x v="5"/>
    <x v="0"/>
  </r>
  <r>
    <s v="Singapore"/>
    <x v="5"/>
    <s v="SG4"/>
    <m/>
    <x v="4"/>
    <x v="4"/>
    <x v="2"/>
    <x v="2"/>
    <x v="0"/>
    <x v="0"/>
    <x v="0"/>
    <m/>
    <x v="0"/>
    <x v="0"/>
    <n v="4.96580625"/>
    <m/>
    <x v="14"/>
    <x v="0"/>
    <x v="0"/>
    <x v="3"/>
    <x v="1"/>
  </r>
  <r>
    <s v="Singapore"/>
    <x v="0"/>
    <s v="SG1"/>
    <m/>
    <x v="2"/>
    <x v="0"/>
    <x v="3"/>
    <x v="1"/>
    <x v="0"/>
    <x v="0"/>
    <x v="0"/>
    <m/>
    <x v="0"/>
    <x v="0"/>
    <n v="0.79854838200000011"/>
    <m/>
    <x v="14"/>
    <x v="3"/>
    <x v="0"/>
    <x v="2"/>
    <x v="1"/>
  </r>
  <r>
    <s v="Singapore"/>
    <x v="5"/>
    <s v="SG3"/>
    <m/>
    <x v="5"/>
    <x v="2"/>
    <x v="2"/>
    <x v="3"/>
    <x v="0"/>
    <x v="0"/>
    <x v="0"/>
    <m/>
    <x v="0"/>
    <x v="0"/>
    <n v="0.52968599999999999"/>
    <m/>
    <x v="14"/>
    <x v="1"/>
    <x v="0"/>
    <x v="1"/>
    <x v="1"/>
  </r>
  <r>
    <s v="Singapore"/>
    <x v="2"/>
    <s v="SG4"/>
    <m/>
    <x v="1"/>
    <x v="1"/>
    <x v="1"/>
    <x v="2"/>
    <x v="0"/>
    <x v="0"/>
    <x v="0"/>
    <m/>
    <x v="0"/>
    <x v="0"/>
    <n v="5.35528125"/>
    <m/>
    <x v="14"/>
    <x v="0"/>
    <x v="0"/>
    <x v="1"/>
    <x v="0"/>
  </r>
  <r>
    <s v="Singapore"/>
    <x v="2"/>
    <s v="SG3"/>
    <m/>
    <x v="1"/>
    <x v="0"/>
    <x v="4"/>
    <x v="5"/>
    <x v="0"/>
    <x v="0"/>
    <x v="0"/>
    <m/>
    <x v="0"/>
    <x v="0"/>
    <n v="0.39583123200000003"/>
    <m/>
    <x v="14"/>
    <x v="3"/>
    <x v="0"/>
    <x v="0"/>
    <x v="1"/>
  </r>
  <r>
    <s v="Singapore"/>
    <x v="5"/>
    <s v="SG4"/>
    <m/>
    <x v="3"/>
    <x v="1"/>
    <x v="3"/>
    <x v="3"/>
    <x v="0"/>
    <x v="0"/>
    <x v="0"/>
    <m/>
    <x v="0"/>
    <x v="0"/>
    <n v="1.129742343"/>
    <m/>
    <x v="14"/>
    <x v="2"/>
    <x v="0"/>
    <x v="3"/>
    <x v="2"/>
  </r>
  <r>
    <s v="Singapore"/>
    <x v="2"/>
    <s v="SG2"/>
    <m/>
    <x v="3"/>
    <x v="4"/>
    <x v="0"/>
    <x v="4"/>
    <x v="0"/>
    <x v="0"/>
    <x v="0"/>
    <m/>
    <x v="0"/>
    <x v="0"/>
    <n v="2.3460883470000002"/>
    <m/>
    <x v="14"/>
    <x v="0"/>
    <x v="0"/>
    <x v="1"/>
    <x v="2"/>
  </r>
  <r>
    <s v="Singapore"/>
    <x v="4"/>
    <s v="SG3"/>
    <m/>
    <x v="4"/>
    <x v="1"/>
    <x v="2"/>
    <x v="4"/>
    <x v="0"/>
    <x v="0"/>
    <x v="0"/>
    <m/>
    <x v="0"/>
    <x v="0"/>
    <n v="4.7438055000000006"/>
    <m/>
    <x v="14"/>
    <x v="3"/>
    <x v="0"/>
    <x v="1"/>
    <x v="1"/>
  </r>
  <r>
    <s v="Singapore"/>
    <x v="0"/>
    <s v="SG3"/>
    <m/>
    <x v="1"/>
    <x v="3"/>
    <x v="2"/>
    <x v="2"/>
    <x v="0"/>
    <x v="0"/>
    <x v="0"/>
    <m/>
    <x v="0"/>
    <x v="0"/>
    <n v="0.74794779000000011"/>
    <m/>
    <x v="14"/>
    <x v="2"/>
    <x v="0"/>
    <x v="0"/>
    <x v="1"/>
  </r>
  <r>
    <s v="Singapore"/>
    <x v="1"/>
    <s v="SG2"/>
    <m/>
    <x v="4"/>
    <x v="1"/>
    <x v="3"/>
    <x v="4"/>
    <x v="0"/>
    <x v="0"/>
    <x v="0"/>
    <m/>
    <x v="0"/>
    <x v="0"/>
    <n v="2.2901130000000003"/>
    <m/>
    <x v="14"/>
    <x v="2"/>
    <x v="0"/>
    <x v="5"/>
    <x v="2"/>
  </r>
  <r>
    <s v="Singapore"/>
    <x v="0"/>
    <s v="SG2"/>
    <m/>
    <x v="2"/>
    <x v="0"/>
    <x v="0"/>
    <x v="2"/>
    <x v="0"/>
    <x v="0"/>
    <x v="0"/>
    <m/>
    <x v="0"/>
    <x v="0"/>
    <n v="7.2909719999999997E-2"/>
    <m/>
    <x v="14"/>
    <x v="0"/>
    <x v="0"/>
    <x v="2"/>
    <x v="2"/>
  </r>
  <r>
    <s v="Singapore"/>
    <x v="2"/>
    <s v="SG2"/>
    <m/>
    <x v="1"/>
    <x v="1"/>
    <x v="0"/>
    <x v="0"/>
    <x v="0"/>
    <x v="0"/>
    <x v="0"/>
    <m/>
    <x v="0"/>
    <x v="0"/>
    <n v="0.32715900000000003"/>
    <m/>
    <x v="14"/>
    <x v="3"/>
    <x v="0"/>
    <x v="5"/>
    <x v="2"/>
  </r>
  <r>
    <s v="Singapore"/>
    <x v="2"/>
    <s v="SG2"/>
    <m/>
    <x v="0"/>
    <x v="3"/>
    <x v="2"/>
    <x v="4"/>
    <x v="0"/>
    <x v="0"/>
    <x v="0"/>
    <m/>
    <x v="0"/>
    <x v="0"/>
    <n v="1.78769025"/>
    <m/>
    <x v="14"/>
    <x v="0"/>
    <x v="0"/>
    <x v="2"/>
    <x v="1"/>
  </r>
  <r>
    <s v="Singapore"/>
    <x v="5"/>
    <s v="SG1"/>
    <m/>
    <x v="1"/>
    <x v="4"/>
    <x v="4"/>
    <x v="0"/>
    <x v="0"/>
    <x v="0"/>
    <x v="0"/>
    <m/>
    <x v="0"/>
    <x v="0"/>
    <n v="3.851642907"/>
    <m/>
    <x v="14"/>
    <x v="1"/>
    <x v="0"/>
    <x v="1"/>
    <x v="0"/>
  </r>
  <r>
    <s v="Singapore"/>
    <x v="4"/>
    <s v="SG1"/>
    <m/>
    <x v="1"/>
    <x v="4"/>
    <x v="0"/>
    <x v="2"/>
    <x v="0"/>
    <x v="0"/>
    <x v="0"/>
    <m/>
    <x v="0"/>
    <x v="0"/>
    <n v="1.2548884500000002"/>
    <m/>
    <x v="14"/>
    <x v="1"/>
    <x v="0"/>
    <x v="4"/>
    <x v="0"/>
  </r>
  <r>
    <s v="Singapore"/>
    <x v="3"/>
    <s v="SG3"/>
    <m/>
    <x v="0"/>
    <x v="2"/>
    <x v="2"/>
    <x v="1"/>
    <x v="0"/>
    <x v="0"/>
    <x v="0"/>
    <m/>
    <x v="0"/>
    <x v="0"/>
    <n v="12.93446475"/>
    <m/>
    <x v="14"/>
    <x v="3"/>
    <x v="0"/>
    <x v="3"/>
    <x v="1"/>
  </r>
  <r>
    <s v="Singapore"/>
    <x v="3"/>
    <s v="SG4"/>
    <m/>
    <x v="3"/>
    <x v="3"/>
    <x v="2"/>
    <x v="3"/>
    <x v="0"/>
    <x v="0"/>
    <x v="0"/>
    <m/>
    <x v="0"/>
    <x v="0"/>
    <n v="4.1384367180000003"/>
    <m/>
    <x v="14"/>
    <x v="1"/>
    <x v="0"/>
    <x v="5"/>
    <x v="2"/>
  </r>
  <r>
    <s v="Singapore"/>
    <x v="2"/>
    <s v="SG3"/>
    <m/>
    <x v="0"/>
    <x v="4"/>
    <x v="4"/>
    <x v="0"/>
    <x v="0"/>
    <x v="0"/>
    <x v="0"/>
    <m/>
    <x v="0"/>
    <x v="0"/>
    <n v="-69.568024500000007"/>
    <m/>
    <x v="14"/>
    <x v="1"/>
    <x v="0"/>
    <x v="4"/>
    <x v="2"/>
  </r>
  <r>
    <s v="Singapore"/>
    <x v="3"/>
    <s v="SG4"/>
    <m/>
    <x v="0"/>
    <x v="3"/>
    <x v="3"/>
    <x v="1"/>
    <x v="0"/>
    <x v="0"/>
    <x v="0"/>
    <m/>
    <x v="0"/>
    <x v="0"/>
    <n v="0.8663170320000001"/>
    <m/>
    <x v="14"/>
    <x v="0"/>
    <x v="0"/>
    <x v="4"/>
    <x v="0"/>
  </r>
  <r>
    <s v="Singapore"/>
    <x v="3"/>
    <s v="SG4"/>
    <m/>
    <x v="2"/>
    <x v="3"/>
    <x v="4"/>
    <x v="1"/>
    <x v="0"/>
    <x v="0"/>
    <x v="0"/>
    <m/>
    <x v="0"/>
    <x v="0"/>
    <n v="0.83425545000000001"/>
    <m/>
    <x v="14"/>
    <x v="1"/>
    <x v="0"/>
    <x v="1"/>
    <x v="0"/>
  </r>
  <r>
    <s v="Singapore"/>
    <x v="1"/>
    <s v="SG1"/>
    <m/>
    <x v="1"/>
    <x v="2"/>
    <x v="3"/>
    <x v="2"/>
    <x v="0"/>
    <x v="0"/>
    <x v="0"/>
    <m/>
    <x v="0"/>
    <x v="0"/>
    <n v="0.153780309"/>
    <m/>
    <x v="14"/>
    <x v="1"/>
    <x v="0"/>
    <x v="4"/>
    <x v="2"/>
  </r>
  <r>
    <s v="Singapore"/>
    <x v="0"/>
    <s v="SG2"/>
    <m/>
    <x v="4"/>
    <x v="4"/>
    <x v="1"/>
    <x v="5"/>
    <x v="0"/>
    <x v="0"/>
    <x v="0"/>
    <m/>
    <x v="0"/>
    <x v="0"/>
    <n v="0.60041465999999999"/>
    <m/>
    <x v="14"/>
    <x v="1"/>
    <x v="0"/>
    <x v="0"/>
    <x v="0"/>
  </r>
  <r>
    <s v="Singapore"/>
    <x v="3"/>
    <s v="SG1"/>
    <m/>
    <x v="4"/>
    <x v="4"/>
    <x v="3"/>
    <x v="4"/>
    <x v="0"/>
    <x v="0"/>
    <x v="0"/>
    <m/>
    <x v="0"/>
    <x v="0"/>
    <n v="0.43761411"/>
    <m/>
    <x v="14"/>
    <x v="2"/>
    <x v="0"/>
    <x v="4"/>
    <x v="0"/>
  </r>
  <r>
    <s v="Singapore"/>
    <x v="1"/>
    <s v="SG2"/>
    <m/>
    <x v="4"/>
    <x v="1"/>
    <x v="3"/>
    <x v="0"/>
    <x v="0"/>
    <x v="0"/>
    <x v="0"/>
    <m/>
    <x v="0"/>
    <x v="0"/>
    <n v="0.72013927500000008"/>
    <m/>
    <x v="14"/>
    <x v="1"/>
    <x v="0"/>
    <x v="4"/>
    <x v="2"/>
  </r>
  <r>
    <s v="Singapore"/>
    <x v="0"/>
    <s v="SG4"/>
    <m/>
    <x v="5"/>
    <x v="4"/>
    <x v="4"/>
    <x v="2"/>
    <x v="0"/>
    <x v="0"/>
    <x v="0"/>
    <m/>
    <x v="0"/>
    <x v="0"/>
    <n v="2.3835870000000003"/>
    <m/>
    <x v="14"/>
    <x v="2"/>
    <x v="0"/>
    <x v="2"/>
    <x v="2"/>
  </r>
  <r>
    <s v="Singapore"/>
    <x v="0"/>
    <s v="SG1"/>
    <m/>
    <x v="1"/>
    <x v="0"/>
    <x v="3"/>
    <x v="5"/>
    <x v="0"/>
    <x v="0"/>
    <x v="0"/>
    <m/>
    <x v="0"/>
    <x v="0"/>
    <n v="0.57953880000000002"/>
    <m/>
    <x v="14"/>
    <x v="1"/>
    <x v="0"/>
    <x v="0"/>
    <x v="1"/>
  </r>
  <r>
    <s v="Singapore"/>
    <x v="1"/>
    <s v="SG3"/>
    <m/>
    <x v="2"/>
    <x v="3"/>
    <x v="4"/>
    <x v="2"/>
    <x v="0"/>
    <x v="0"/>
    <x v="0"/>
    <m/>
    <x v="0"/>
    <x v="0"/>
    <n v="0.62666527500000002"/>
    <m/>
    <x v="14"/>
    <x v="0"/>
    <x v="0"/>
    <x v="3"/>
    <x v="2"/>
  </r>
  <r>
    <s v="Singapore"/>
    <x v="1"/>
    <s v="SG4"/>
    <m/>
    <x v="3"/>
    <x v="0"/>
    <x v="2"/>
    <x v="1"/>
    <x v="0"/>
    <x v="0"/>
    <x v="0"/>
    <m/>
    <x v="0"/>
    <x v="0"/>
    <n v="2.1452283000000003"/>
    <m/>
    <x v="14"/>
    <x v="0"/>
    <x v="0"/>
    <x v="2"/>
    <x v="0"/>
  </r>
  <r>
    <s v="Singapore"/>
    <x v="2"/>
    <s v="SG4"/>
    <m/>
    <x v="5"/>
    <x v="0"/>
    <x v="1"/>
    <x v="2"/>
    <x v="0"/>
    <x v="0"/>
    <x v="0"/>
    <m/>
    <x v="0"/>
    <x v="0"/>
    <n v="0.52158492000000001"/>
    <m/>
    <x v="14"/>
    <x v="3"/>
    <x v="0"/>
    <x v="3"/>
    <x v="2"/>
  </r>
  <r>
    <s v="Singapore"/>
    <x v="4"/>
    <s v="SG3"/>
    <m/>
    <x v="3"/>
    <x v="4"/>
    <x v="0"/>
    <x v="5"/>
    <x v="0"/>
    <x v="0"/>
    <x v="0"/>
    <m/>
    <x v="0"/>
    <x v="0"/>
    <n v="4.1362245000000006E-2"/>
    <m/>
    <x v="14"/>
    <x v="2"/>
    <x v="0"/>
    <x v="0"/>
    <x v="1"/>
  </r>
  <r>
    <s v="Singapore"/>
    <x v="2"/>
    <s v="SG1"/>
    <m/>
    <x v="5"/>
    <x v="4"/>
    <x v="0"/>
    <x v="5"/>
    <x v="0"/>
    <x v="0"/>
    <x v="0"/>
    <m/>
    <x v="0"/>
    <x v="0"/>
    <n v="0.44111938499999997"/>
    <m/>
    <x v="14"/>
    <x v="1"/>
    <x v="0"/>
    <x v="2"/>
    <x v="0"/>
  </r>
  <r>
    <s v="Singapore"/>
    <x v="0"/>
    <s v="SG2"/>
    <m/>
    <x v="5"/>
    <x v="4"/>
    <x v="0"/>
    <x v="4"/>
    <x v="0"/>
    <x v="0"/>
    <x v="0"/>
    <m/>
    <x v="0"/>
    <x v="0"/>
    <n v="3.2131687500000004"/>
    <m/>
    <x v="14"/>
    <x v="3"/>
    <x v="0"/>
    <x v="2"/>
    <x v="2"/>
  </r>
  <r>
    <s v="Singapore"/>
    <x v="2"/>
    <s v="SG3"/>
    <m/>
    <x v="2"/>
    <x v="0"/>
    <x v="0"/>
    <x v="3"/>
    <x v="0"/>
    <x v="0"/>
    <x v="0"/>
    <m/>
    <x v="0"/>
    <x v="0"/>
    <n v="0.9196751070000001"/>
    <m/>
    <x v="14"/>
    <x v="2"/>
    <x v="0"/>
    <x v="3"/>
    <x v="0"/>
  </r>
  <r>
    <s v="Singapore"/>
    <x v="0"/>
    <s v="SG1"/>
    <m/>
    <x v="2"/>
    <x v="3"/>
    <x v="1"/>
    <x v="2"/>
    <x v="0"/>
    <x v="0"/>
    <x v="0"/>
    <m/>
    <x v="0"/>
    <x v="0"/>
    <n v="1.2852675"/>
    <m/>
    <x v="14"/>
    <x v="1"/>
    <x v="0"/>
    <x v="5"/>
    <x v="1"/>
  </r>
  <r>
    <s v="Singapore"/>
    <x v="3"/>
    <s v="SG3"/>
    <m/>
    <x v="0"/>
    <x v="0"/>
    <x v="4"/>
    <x v="0"/>
    <x v="0"/>
    <x v="0"/>
    <x v="0"/>
    <m/>
    <x v="0"/>
    <x v="0"/>
    <n v="2.0024935020000001"/>
    <m/>
    <x v="14"/>
    <x v="0"/>
    <x v="0"/>
    <x v="0"/>
    <x v="0"/>
  </r>
  <r>
    <s v="Singapore"/>
    <x v="4"/>
    <s v="SG4"/>
    <m/>
    <x v="1"/>
    <x v="2"/>
    <x v="3"/>
    <x v="3"/>
    <x v="0"/>
    <x v="0"/>
    <x v="0"/>
    <m/>
    <x v="0"/>
    <x v="0"/>
    <n v="1.028214"/>
    <m/>
    <x v="14"/>
    <x v="2"/>
    <x v="0"/>
    <x v="3"/>
    <x v="2"/>
  </r>
  <r>
    <s v="Singapore"/>
    <x v="5"/>
    <s v="SG4"/>
    <m/>
    <x v="5"/>
    <x v="2"/>
    <x v="3"/>
    <x v="4"/>
    <x v="0"/>
    <x v="0"/>
    <x v="0"/>
    <m/>
    <x v="0"/>
    <x v="0"/>
    <n v="8.2724490000000012E-2"/>
    <m/>
    <x v="14"/>
    <x v="0"/>
    <x v="0"/>
    <x v="2"/>
    <x v="0"/>
  </r>
  <r>
    <s v="Singapore"/>
    <x v="5"/>
    <s v="SG3"/>
    <m/>
    <x v="2"/>
    <x v="3"/>
    <x v="1"/>
    <x v="4"/>
    <x v="0"/>
    <x v="0"/>
    <x v="0"/>
    <m/>
    <x v="0"/>
    <x v="0"/>
    <n v="0.25705349999999999"/>
    <m/>
    <x v="14"/>
    <x v="0"/>
    <x v="0"/>
    <x v="1"/>
    <x v="1"/>
  </r>
  <r>
    <s v="Singapore"/>
    <x v="3"/>
    <s v="SG4"/>
    <m/>
    <x v="2"/>
    <x v="0"/>
    <x v="4"/>
    <x v="4"/>
    <x v="0"/>
    <x v="0"/>
    <x v="0"/>
    <m/>
    <x v="0"/>
    <x v="0"/>
    <n v="26.718826266000004"/>
    <m/>
    <x v="18"/>
    <x v="0"/>
    <x v="0"/>
    <x v="5"/>
    <x v="1"/>
  </r>
  <r>
    <s v="Singapore"/>
    <x v="3"/>
    <s v="SG4"/>
    <m/>
    <x v="1"/>
    <x v="0"/>
    <x v="4"/>
    <x v="2"/>
    <x v="0"/>
    <x v="0"/>
    <x v="0"/>
    <m/>
    <x v="0"/>
    <x v="0"/>
    <n v="-0.31158000000000002"/>
    <m/>
    <x v="13"/>
    <x v="1"/>
    <x v="0"/>
    <x v="0"/>
    <x v="1"/>
  </r>
  <r>
    <s v="Singapore"/>
    <x v="2"/>
    <s v="SG2"/>
    <m/>
    <x v="5"/>
    <x v="2"/>
    <x v="4"/>
    <x v="3"/>
    <x v="0"/>
    <x v="0"/>
    <x v="0"/>
    <m/>
    <x v="0"/>
    <x v="0"/>
    <n v="-0.75520760399999998"/>
    <m/>
    <x v="13"/>
    <x v="3"/>
    <x v="0"/>
    <x v="1"/>
    <x v="2"/>
  </r>
  <r>
    <s v="Singapore"/>
    <x v="4"/>
    <s v="SG4"/>
    <m/>
    <x v="5"/>
    <x v="0"/>
    <x v="4"/>
    <x v="4"/>
    <x v="0"/>
    <x v="0"/>
    <x v="0"/>
    <m/>
    <x v="0"/>
    <x v="0"/>
    <n v="-2.274035472"/>
    <m/>
    <x v="13"/>
    <x v="3"/>
    <x v="0"/>
    <x v="0"/>
    <x v="0"/>
  </r>
  <r>
    <s v="Singapore"/>
    <x v="4"/>
    <s v="SG1"/>
    <m/>
    <x v="3"/>
    <x v="4"/>
    <x v="0"/>
    <x v="2"/>
    <x v="0"/>
    <x v="0"/>
    <x v="0"/>
    <m/>
    <x v="0"/>
    <x v="0"/>
    <n v="-0.77895000000000003"/>
    <m/>
    <x v="13"/>
    <x v="0"/>
    <x v="0"/>
    <x v="1"/>
    <x v="1"/>
  </r>
  <r>
    <s v="Singapore"/>
    <x v="4"/>
    <s v="SG1"/>
    <m/>
    <x v="1"/>
    <x v="3"/>
    <x v="3"/>
    <x v="1"/>
    <x v="0"/>
    <x v="0"/>
    <x v="0"/>
    <m/>
    <x v="0"/>
    <x v="0"/>
    <n v="0.140211"/>
    <m/>
    <x v="18"/>
    <x v="1"/>
    <x v="0"/>
    <x v="4"/>
    <x v="0"/>
  </r>
  <r>
    <s v="Singapore"/>
    <x v="0"/>
    <s v="SG1"/>
    <m/>
    <x v="1"/>
    <x v="0"/>
    <x v="1"/>
    <x v="5"/>
    <x v="0"/>
    <x v="0"/>
    <x v="0"/>
    <m/>
    <x v="0"/>
    <x v="0"/>
    <n v="2.4961608540000002"/>
    <m/>
    <x v="18"/>
    <x v="2"/>
    <x v="0"/>
    <x v="2"/>
    <x v="2"/>
  </r>
  <r>
    <s v="Singapore"/>
    <x v="5"/>
    <s v="SG1"/>
    <m/>
    <x v="2"/>
    <x v="0"/>
    <x v="1"/>
    <x v="1"/>
    <x v="0"/>
    <x v="0"/>
    <x v="0"/>
    <m/>
    <x v="0"/>
    <x v="0"/>
    <n v="6.4826088479999999"/>
    <m/>
    <x v="19"/>
    <x v="0"/>
    <x v="0"/>
    <x v="5"/>
    <x v="2"/>
  </r>
  <r>
    <s v="Singapore"/>
    <x v="4"/>
    <s v="SG4"/>
    <m/>
    <x v="3"/>
    <x v="1"/>
    <x v="4"/>
    <x v="2"/>
    <x v="0"/>
    <x v="0"/>
    <x v="0"/>
    <m/>
    <x v="0"/>
    <x v="0"/>
    <n v="-84.474027279000012"/>
    <m/>
    <x v="19"/>
    <x v="3"/>
    <x v="0"/>
    <x v="1"/>
    <x v="0"/>
  </r>
  <r>
    <s v="Singapore"/>
    <x v="5"/>
    <s v="SG3"/>
    <m/>
    <x v="5"/>
    <x v="2"/>
    <x v="0"/>
    <x v="5"/>
    <x v="0"/>
    <x v="0"/>
    <x v="0"/>
    <m/>
    <x v="0"/>
    <x v="0"/>
    <n v="14.69333385"/>
    <m/>
    <x v="19"/>
    <x v="0"/>
    <x v="0"/>
    <x v="5"/>
    <x v="1"/>
  </r>
  <r>
    <s v="Singapore"/>
    <x v="1"/>
    <s v="SG3"/>
    <m/>
    <x v="1"/>
    <x v="4"/>
    <x v="1"/>
    <x v="5"/>
    <x v="0"/>
    <x v="0"/>
    <x v="0"/>
    <m/>
    <x v="0"/>
    <x v="0"/>
    <n v="6.0611034240000006"/>
    <m/>
    <x v="19"/>
    <x v="0"/>
    <x v="0"/>
    <x v="0"/>
    <x v="2"/>
  </r>
  <r>
    <s v="Singapore"/>
    <x v="1"/>
    <s v="SG3"/>
    <m/>
    <x v="3"/>
    <x v="1"/>
    <x v="1"/>
    <x v="3"/>
    <x v="0"/>
    <x v="0"/>
    <x v="0"/>
    <m/>
    <x v="0"/>
    <x v="0"/>
    <n v="14.397099165000002"/>
    <m/>
    <x v="19"/>
    <x v="1"/>
    <x v="0"/>
    <x v="5"/>
    <x v="2"/>
  </r>
  <r>
    <s v="Singapore"/>
    <x v="1"/>
    <s v="SG4"/>
    <m/>
    <x v="0"/>
    <x v="3"/>
    <x v="1"/>
    <x v="5"/>
    <x v="0"/>
    <x v="0"/>
    <x v="0"/>
    <m/>
    <x v="0"/>
    <x v="0"/>
    <n v="9.3027661650000013"/>
    <m/>
    <x v="19"/>
    <x v="0"/>
    <x v="0"/>
    <x v="2"/>
    <x v="0"/>
  </r>
  <r>
    <s v="Singapore"/>
    <x v="3"/>
    <s v="SG4"/>
    <m/>
    <x v="2"/>
    <x v="3"/>
    <x v="0"/>
    <x v="0"/>
    <x v="0"/>
    <x v="0"/>
    <x v="0"/>
    <m/>
    <x v="0"/>
    <x v="0"/>
    <n v="5.6407975830000003"/>
    <m/>
    <x v="19"/>
    <x v="3"/>
    <x v="0"/>
    <x v="4"/>
    <x v="0"/>
  </r>
  <r>
    <s v="Singapore"/>
    <x v="5"/>
    <s v="SG1"/>
    <m/>
    <x v="4"/>
    <x v="1"/>
    <x v="4"/>
    <x v="3"/>
    <x v="0"/>
    <x v="0"/>
    <x v="0"/>
    <m/>
    <x v="0"/>
    <x v="0"/>
    <n v="5.6407975830000003"/>
    <m/>
    <x v="19"/>
    <x v="0"/>
    <x v="0"/>
    <x v="3"/>
    <x v="0"/>
  </r>
  <r>
    <s v="Singapore"/>
    <x v="4"/>
    <s v="SG1"/>
    <m/>
    <x v="0"/>
    <x v="3"/>
    <x v="0"/>
    <x v="1"/>
    <x v="0"/>
    <x v="0"/>
    <x v="0"/>
    <m/>
    <x v="0"/>
    <x v="0"/>
    <n v="22.255520661000002"/>
    <m/>
    <x v="19"/>
    <x v="3"/>
    <x v="0"/>
    <x v="1"/>
    <x v="1"/>
  </r>
  <r>
    <s v="Singapore"/>
    <x v="4"/>
    <s v="SG4"/>
    <m/>
    <x v="2"/>
    <x v="2"/>
    <x v="4"/>
    <x v="5"/>
    <x v="0"/>
    <x v="0"/>
    <x v="0"/>
    <m/>
    <x v="0"/>
    <x v="0"/>
    <n v="-2.0311900199999999"/>
    <m/>
    <x v="19"/>
    <x v="0"/>
    <x v="0"/>
    <x v="2"/>
    <x v="0"/>
  </r>
  <r>
    <s v="Singapore"/>
    <x v="5"/>
    <s v="SG3"/>
    <m/>
    <x v="4"/>
    <x v="3"/>
    <x v="0"/>
    <x v="4"/>
    <x v="0"/>
    <x v="0"/>
    <x v="0"/>
    <m/>
    <x v="0"/>
    <x v="0"/>
    <n v="30.454872992999999"/>
    <m/>
    <x v="19"/>
    <x v="2"/>
    <x v="0"/>
    <x v="2"/>
    <x v="2"/>
  </r>
  <r>
    <s v="Singapore"/>
    <x v="4"/>
    <s v="SG2"/>
    <m/>
    <x v="1"/>
    <x v="1"/>
    <x v="0"/>
    <x v="1"/>
    <x v="0"/>
    <x v="0"/>
    <x v="0"/>
    <m/>
    <x v="0"/>
    <x v="0"/>
    <n v="0.52384387500000007"/>
    <m/>
    <x v="19"/>
    <x v="0"/>
    <x v="0"/>
    <x v="0"/>
    <x v="1"/>
  </r>
  <r>
    <s v="Singapore"/>
    <x v="1"/>
    <s v="SG2"/>
    <m/>
    <x v="3"/>
    <x v="0"/>
    <x v="2"/>
    <x v="3"/>
    <x v="0"/>
    <x v="0"/>
    <x v="0"/>
    <m/>
    <x v="0"/>
    <x v="0"/>
    <n v="3.2993829360000002"/>
    <m/>
    <x v="19"/>
    <x v="3"/>
    <x v="0"/>
    <x v="0"/>
    <x v="0"/>
  </r>
  <r>
    <s v="Singapore"/>
    <x v="2"/>
    <s v="SG4"/>
    <m/>
    <x v="3"/>
    <x v="1"/>
    <x v="4"/>
    <x v="0"/>
    <x v="0"/>
    <x v="0"/>
    <x v="0"/>
    <m/>
    <x v="0"/>
    <x v="0"/>
    <n v="1.1543260050000002"/>
    <m/>
    <x v="19"/>
    <x v="1"/>
    <x v="0"/>
    <x v="3"/>
    <x v="0"/>
  </r>
  <r>
    <s v="Singapore"/>
    <x v="0"/>
    <s v="SG1"/>
    <m/>
    <x v="0"/>
    <x v="2"/>
    <x v="1"/>
    <x v="2"/>
    <x v="0"/>
    <x v="0"/>
    <x v="0"/>
    <m/>
    <x v="0"/>
    <x v="0"/>
    <n v="-5.5872525600000005"/>
    <m/>
    <x v="19"/>
    <x v="3"/>
    <x v="0"/>
    <x v="4"/>
    <x v="2"/>
  </r>
  <r>
    <s v="Singapore"/>
    <x v="3"/>
    <s v="SG3"/>
    <m/>
    <x v="2"/>
    <x v="1"/>
    <x v="3"/>
    <x v="4"/>
    <x v="0"/>
    <x v="0"/>
    <x v="0"/>
    <m/>
    <x v="0"/>
    <x v="0"/>
    <n v="9.4981268249999999"/>
    <m/>
    <x v="19"/>
    <x v="1"/>
    <x v="0"/>
    <x v="1"/>
    <x v="2"/>
  </r>
  <r>
    <s v="Singapore"/>
    <x v="2"/>
    <s v="SG4"/>
    <m/>
    <x v="2"/>
    <x v="2"/>
    <x v="1"/>
    <x v="1"/>
    <x v="0"/>
    <x v="0"/>
    <x v="0"/>
    <m/>
    <x v="0"/>
    <x v="0"/>
    <n v="0.48715533"/>
    <m/>
    <x v="19"/>
    <x v="0"/>
    <x v="0"/>
    <x v="2"/>
    <x v="0"/>
  </r>
  <r>
    <s v="Singapore"/>
    <x v="2"/>
    <s v="SG4"/>
    <m/>
    <x v="0"/>
    <x v="1"/>
    <x v="3"/>
    <x v="3"/>
    <x v="0"/>
    <x v="0"/>
    <x v="0"/>
    <m/>
    <x v="0"/>
    <x v="0"/>
    <n v="1.5815021849999999"/>
    <m/>
    <x v="19"/>
    <x v="2"/>
    <x v="0"/>
    <x v="2"/>
    <x v="0"/>
  </r>
  <r>
    <s v="Singapore"/>
    <x v="3"/>
    <s v="SG1"/>
    <m/>
    <x v="3"/>
    <x v="3"/>
    <x v="2"/>
    <x v="2"/>
    <x v="0"/>
    <x v="0"/>
    <x v="0"/>
    <m/>
    <x v="0"/>
    <x v="0"/>
    <n v="1.0882710449999999"/>
    <m/>
    <x v="19"/>
    <x v="3"/>
    <x v="0"/>
    <x v="1"/>
    <x v="1"/>
  </r>
  <r>
    <s v="Singapore"/>
    <x v="1"/>
    <s v="SG3"/>
    <m/>
    <x v="1"/>
    <x v="1"/>
    <x v="3"/>
    <x v="4"/>
    <x v="0"/>
    <x v="0"/>
    <x v="0"/>
    <m/>
    <x v="0"/>
    <x v="0"/>
    <n v="1.4959267380000001"/>
    <m/>
    <x v="19"/>
    <x v="3"/>
    <x v="0"/>
    <x v="3"/>
    <x v="1"/>
  </r>
  <r>
    <s v="Singapore"/>
    <x v="0"/>
    <s v="SG4"/>
    <m/>
    <x v="5"/>
    <x v="4"/>
    <x v="0"/>
    <x v="0"/>
    <x v="0"/>
    <x v="0"/>
    <x v="0"/>
    <m/>
    <x v="0"/>
    <x v="0"/>
    <n v="2.5851013649999999"/>
    <m/>
    <x v="19"/>
    <x v="1"/>
    <x v="0"/>
    <x v="3"/>
    <x v="0"/>
  </r>
  <r>
    <s v="Singapore"/>
    <x v="3"/>
    <s v="SG4"/>
    <m/>
    <x v="1"/>
    <x v="0"/>
    <x v="3"/>
    <x v="0"/>
    <x v="0"/>
    <x v="0"/>
    <x v="0"/>
    <m/>
    <x v="0"/>
    <x v="0"/>
    <n v="1.4619177810000001"/>
    <m/>
    <x v="19"/>
    <x v="2"/>
    <x v="0"/>
    <x v="2"/>
    <x v="1"/>
  </r>
  <r>
    <s v="Singapore"/>
    <x v="0"/>
    <s v="SG2"/>
    <m/>
    <x v="1"/>
    <x v="2"/>
    <x v="2"/>
    <x v="4"/>
    <x v="0"/>
    <x v="0"/>
    <x v="0"/>
    <m/>
    <x v="0"/>
    <x v="0"/>
    <n v="84.474027279000012"/>
    <m/>
    <x v="19"/>
    <x v="2"/>
    <x v="0"/>
    <x v="3"/>
    <x v="0"/>
  </r>
  <r>
    <s v="Singapore"/>
    <x v="0"/>
    <s v="SG4"/>
    <m/>
    <x v="0"/>
    <x v="2"/>
    <x v="2"/>
    <x v="2"/>
    <x v="0"/>
    <x v="0"/>
    <x v="0"/>
    <m/>
    <x v="0"/>
    <x v="0"/>
    <n v="5.3184524940000006"/>
    <m/>
    <x v="20"/>
    <x v="0"/>
    <x v="0"/>
    <x v="3"/>
    <x v="1"/>
  </r>
  <r>
    <s v="Singapore"/>
    <x v="4"/>
    <s v="SG3"/>
    <m/>
    <x v="3"/>
    <x v="1"/>
    <x v="4"/>
    <x v="1"/>
    <x v="0"/>
    <x v="0"/>
    <x v="0"/>
    <m/>
    <x v="0"/>
    <x v="0"/>
    <n v="10.612072061999999"/>
    <m/>
    <x v="20"/>
    <x v="1"/>
    <x v="0"/>
    <x v="1"/>
    <x v="1"/>
  </r>
  <r>
    <s v="Singapore"/>
    <x v="4"/>
    <s v="SG2"/>
    <m/>
    <x v="2"/>
    <x v="2"/>
    <x v="0"/>
    <x v="5"/>
    <x v="0"/>
    <x v="0"/>
    <x v="0"/>
    <m/>
    <x v="0"/>
    <x v="0"/>
    <n v="0.59979150000000003"/>
    <m/>
    <x v="20"/>
    <x v="3"/>
    <x v="0"/>
    <x v="2"/>
    <x v="1"/>
  </r>
  <r>
    <s v="Singapore"/>
    <x v="4"/>
    <s v="SG2"/>
    <m/>
    <x v="2"/>
    <x v="1"/>
    <x v="3"/>
    <x v="4"/>
    <x v="0"/>
    <x v="0"/>
    <x v="0"/>
    <m/>
    <x v="0"/>
    <x v="0"/>
    <n v="1.9613961000000002"/>
    <m/>
    <x v="21"/>
    <x v="3"/>
    <x v="0"/>
    <x v="4"/>
    <x v="1"/>
  </r>
  <r>
    <s v="Singapore"/>
    <x v="1"/>
    <s v="SG4"/>
    <m/>
    <x v="3"/>
    <x v="0"/>
    <x v="4"/>
    <x v="0"/>
    <x v="0"/>
    <x v="0"/>
    <x v="0"/>
    <m/>
    <x v="0"/>
    <x v="0"/>
    <n v="-0.34627443300000005"/>
    <m/>
    <x v="21"/>
    <x v="1"/>
    <x v="0"/>
    <x v="0"/>
    <x v="1"/>
  </r>
  <r>
    <s v="Singapore"/>
    <x v="3"/>
    <s v="SG4"/>
    <m/>
    <x v="1"/>
    <x v="4"/>
    <x v="1"/>
    <x v="2"/>
    <x v="0"/>
    <x v="0"/>
    <x v="0"/>
    <m/>
    <x v="0"/>
    <x v="0"/>
    <n v="2.488511565"/>
    <m/>
    <x v="21"/>
    <x v="2"/>
    <x v="0"/>
    <x v="0"/>
    <x v="2"/>
  </r>
  <r>
    <s v="Singapore"/>
    <x v="0"/>
    <s v="SG3"/>
    <m/>
    <x v="4"/>
    <x v="4"/>
    <x v="1"/>
    <x v="1"/>
    <x v="0"/>
    <x v="0"/>
    <x v="0"/>
    <m/>
    <x v="0"/>
    <x v="0"/>
    <n v="0.28652896799999999"/>
    <m/>
    <x v="21"/>
    <x v="1"/>
    <x v="0"/>
    <x v="3"/>
    <x v="2"/>
  </r>
  <r>
    <s v="Singapore"/>
    <x v="1"/>
    <s v="SG1"/>
    <m/>
    <x v="4"/>
    <x v="2"/>
    <x v="0"/>
    <x v="1"/>
    <x v="0"/>
    <x v="0"/>
    <x v="0"/>
    <m/>
    <x v="0"/>
    <x v="0"/>
    <n v="0.50771960999999999"/>
    <m/>
    <x v="21"/>
    <x v="0"/>
    <x v="0"/>
    <x v="3"/>
    <x v="1"/>
  </r>
  <r>
    <s v="Singapore"/>
    <x v="3"/>
    <s v="SG2"/>
    <m/>
    <x v="0"/>
    <x v="2"/>
    <x v="3"/>
    <x v="2"/>
    <x v="0"/>
    <x v="0"/>
    <x v="0"/>
    <m/>
    <x v="0"/>
    <x v="0"/>
    <n v="0.19162170000000001"/>
    <m/>
    <x v="21"/>
    <x v="2"/>
    <x v="0"/>
    <x v="2"/>
    <x v="2"/>
  </r>
  <r>
    <s v="Singapore"/>
    <x v="2"/>
    <s v="SG2"/>
    <m/>
    <x v="3"/>
    <x v="0"/>
    <x v="3"/>
    <x v="1"/>
    <x v="0"/>
    <x v="0"/>
    <x v="0"/>
    <m/>
    <x v="0"/>
    <x v="0"/>
    <n v="0.37389600000000001"/>
    <m/>
    <x v="21"/>
    <x v="2"/>
    <x v="0"/>
    <x v="0"/>
    <x v="0"/>
  </r>
  <r>
    <s v="Singapore"/>
    <x v="1"/>
    <s v="SG2"/>
    <m/>
    <x v="0"/>
    <x v="0"/>
    <x v="4"/>
    <x v="1"/>
    <x v="0"/>
    <x v="0"/>
    <x v="0"/>
    <m/>
    <x v="0"/>
    <x v="0"/>
    <n v="0.86463450000000008"/>
    <m/>
    <x v="21"/>
    <x v="1"/>
    <x v="0"/>
    <x v="3"/>
    <x v="1"/>
  </r>
  <r>
    <s v="Singapore"/>
    <x v="1"/>
    <s v="SG2"/>
    <m/>
    <x v="5"/>
    <x v="4"/>
    <x v="0"/>
    <x v="1"/>
    <x v="0"/>
    <x v="0"/>
    <x v="0"/>
    <m/>
    <x v="0"/>
    <x v="0"/>
    <n v="0.186948"/>
    <m/>
    <x v="21"/>
    <x v="3"/>
    <x v="0"/>
    <x v="4"/>
    <x v="0"/>
  </r>
  <r>
    <s v="Singapore"/>
    <x v="0"/>
    <s v="SG1"/>
    <m/>
    <x v="3"/>
    <x v="0"/>
    <x v="1"/>
    <x v="2"/>
    <x v="0"/>
    <x v="0"/>
    <x v="0"/>
    <m/>
    <x v="0"/>
    <x v="0"/>
    <n v="0.186948"/>
    <m/>
    <x v="21"/>
    <x v="3"/>
    <x v="0"/>
    <x v="2"/>
    <x v="1"/>
  </r>
  <r>
    <s v="Singapore"/>
    <x v="2"/>
    <s v="SG3"/>
    <m/>
    <x v="0"/>
    <x v="3"/>
    <x v="0"/>
    <x v="1"/>
    <x v="0"/>
    <x v="0"/>
    <x v="0"/>
    <m/>
    <x v="0"/>
    <x v="0"/>
    <n v="2.570535"/>
    <m/>
    <x v="21"/>
    <x v="1"/>
    <x v="0"/>
    <x v="0"/>
    <x v="0"/>
  </r>
  <r>
    <s v="Singapore"/>
    <x v="3"/>
    <s v="SG2"/>
    <m/>
    <x v="3"/>
    <x v="1"/>
    <x v="2"/>
    <x v="5"/>
    <x v="0"/>
    <x v="0"/>
    <x v="0"/>
    <m/>
    <x v="0"/>
    <x v="0"/>
    <n v="-9.03582E-4"/>
    <m/>
    <x v="15"/>
    <x v="2"/>
    <x v="0"/>
    <x v="5"/>
    <x v="0"/>
  </r>
  <r>
    <s v="Singapore"/>
    <x v="5"/>
    <s v="SG4"/>
    <m/>
    <x v="3"/>
    <x v="3"/>
    <x v="1"/>
    <x v="5"/>
    <x v="0"/>
    <x v="0"/>
    <x v="0"/>
    <m/>
    <x v="0"/>
    <x v="0"/>
    <n v="-47.689749324000005"/>
    <m/>
    <x v="15"/>
    <x v="0"/>
    <x v="0"/>
    <x v="1"/>
    <x v="1"/>
  </r>
  <r>
    <s v="Singapore"/>
    <x v="2"/>
    <s v="SG1"/>
    <m/>
    <x v="0"/>
    <x v="4"/>
    <x v="0"/>
    <x v="4"/>
    <x v="0"/>
    <x v="0"/>
    <x v="0"/>
    <m/>
    <x v="0"/>
    <x v="0"/>
    <n v="-153.92145474000003"/>
    <m/>
    <x v="15"/>
    <x v="0"/>
    <x v="0"/>
    <x v="2"/>
    <x v="2"/>
  </r>
  <r>
    <s v="Singapore"/>
    <x v="5"/>
    <s v="SG1"/>
    <m/>
    <x v="0"/>
    <x v="2"/>
    <x v="1"/>
    <x v="5"/>
    <x v="0"/>
    <x v="0"/>
    <x v="0"/>
    <m/>
    <x v="0"/>
    <x v="0"/>
    <n v="153.92145474000003"/>
    <m/>
    <x v="15"/>
    <x v="3"/>
    <x v="0"/>
    <x v="1"/>
    <x v="0"/>
  </r>
  <r>
    <s v="Singapore"/>
    <x v="0"/>
    <s v="SG4"/>
    <m/>
    <x v="4"/>
    <x v="3"/>
    <x v="3"/>
    <x v="2"/>
    <x v="0"/>
    <x v="0"/>
    <x v="0"/>
    <m/>
    <x v="0"/>
    <x v="0"/>
    <n v="0.11805766200000001"/>
    <m/>
    <x v="15"/>
    <x v="3"/>
    <x v="0"/>
    <x v="2"/>
    <x v="0"/>
  </r>
  <r>
    <s v="Singapore"/>
    <x v="0"/>
    <s v="SG3"/>
    <m/>
    <x v="2"/>
    <x v="1"/>
    <x v="3"/>
    <x v="4"/>
    <x v="0"/>
    <x v="0"/>
    <x v="0"/>
    <m/>
    <x v="0"/>
    <x v="0"/>
    <n v="0.22947867000000002"/>
    <m/>
    <x v="15"/>
    <x v="3"/>
    <x v="0"/>
    <x v="3"/>
    <x v="2"/>
  </r>
  <r>
    <s v="Singapore"/>
    <x v="5"/>
    <s v="SG2"/>
    <m/>
    <x v="1"/>
    <x v="3"/>
    <x v="4"/>
    <x v="5"/>
    <x v="0"/>
    <x v="0"/>
    <x v="0"/>
    <m/>
    <x v="0"/>
    <x v="0"/>
    <n v="0.77926158000000001"/>
    <m/>
    <x v="15"/>
    <x v="1"/>
    <x v="0"/>
    <x v="2"/>
    <x v="2"/>
  </r>
  <r>
    <s v="Singapore"/>
    <x v="3"/>
    <s v="SG4"/>
    <m/>
    <x v="4"/>
    <x v="4"/>
    <x v="4"/>
    <x v="4"/>
    <x v="0"/>
    <x v="0"/>
    <x v="0"/>
    <m/>
    <x v="0"/>
    <x v="0"/>
    <n v="1.168425"/>
    <m/>
    <x v="15"/>
    <x v="3"/>
    <x v="0"/>
    <x v="2"/>
    <x v="2"/>
  </r>
  <r>
    <s v="Singapore"/>
    <x v="3"/>
    <s v="SG4"/>
    <m/>
    <x v="0"/>
    <x v="4"/>
    <x v="4"/>
    <x v="3"/>
    <x v="0"/>
    <x v="0"/>
    <x v="0"/>
    <m/>
    <x v="0"/>
    <x v="0"/>
    <n v="0.15579000000000001"/>
    <m/>
    <x v="15"/>
    <x v="0"/>
    <x v="0"/>
    <x v="3"/>
    <x v="1"/>
  </r>
  <r>
    <s v="Singapore"/>
    <x v="2"/>
    <s v="SG4"/>
    <m/>
    <x v="4"/>
    <x v="1"/>
    <x v="2"/>
    <x v="5"/>
    <x v="0"/>
    <x v="0"/>
    <x v="0"/>
    <m/>
    <x v="0"/>
    <x v="0"/>
    <n v="0.52325187300000009"/>
    <m/>
    <x v="15"/>
    <x v="2"/>
    <x v="0"/>
    <x v="3"/>
    <x v="2"/>
  </r>
  <r>
    <s v="Singapore"/>
    <x v="5"/>
    <s v="SG4"/>
    <m/>
    <x v="4"/>
    <x v="0"/>
    <x v="1"/>
    <x v="4"/>
    <x v="0"/>
    <x v="0"/>
    <x v="0"/>
    <m/>
    <x v="0"/>
    <x v="0"/>
    <n v="0.25910992799999999"/>
    <m/>
    <x v="15"/>
    <x v="3"/>
    <x v="0"/>
    <x v="1"/>
    <x v="2"/>
  </r>
  <r>
    <s v="Singapore"/>
    <x v="4"/>
    <s v="SG1"/>
    <m/>
    <x v="5"/>
    <x v="0"/>
    <x v="4"/>
    <x v="2"/>
    <x v="0"/>
    <x v="0"/>
    <x v="0"/>
    <m/>
    <x v="0"/>
    <x v="0"/>
    <n v="0.57660994799999998"/>
    <m/>
    <x v="15"/>
    <x v="1"/>
    <x v="0"/>
    <x v="2"/>
    <x v="2"/>
  </r>
  <r>
    <s v="Singapore"/>
    <x v="1"/>
    <s v="SG3"/>
    <m/>
    <x v="5"/>
    <x v="1"/>
    <x v="2"/>
    <x v="1"/>
    <x v="0"/>
    <x v="0"/>
    <x v="0"/>
    <m/>
    <x v="0"/>
    <x v="0"/>
    <n v="0.54934669800000002"/>
    <m/>
    <x v="15"/>
    <x v="2"/>
    <x v="0"/>
    <x v="5"/>
    <x v="0"/>
  </r>
  <r>
    <s v="Singapore"/>
    <x v="5"/>
    <s v="SG4"/>
    <m/>
    <x v="4"/>
    <x v="2"/>
    <x v="3"/>
    <x v="4"/>
    <x v="0"/>
    <x v="0"/>
    <x v="0"/>
    <m/>
    <x v="0"/>
    <x v="0"/>
    <n v="3.8947500000000002"/>
    <m/>
    <x v="15"/>
    <x v="1"/>
    <x v="0"/>
    <x v="3"/>
    <x v="2"/>
  </r>
  <r>
    <s v="Singapore"/>
    <x v="0"/>
    <s v="SG3"/>
    <m/>
    <x v="4"/>
    <x v="2"/>
    <x v="3"/>
    <x v="3"/>
    <x v="0"/>
    <x v="0"/>
    <x v="0"/>
    <m/>
    <x v="0"/>
    <x v="0"/>
    <n v="1.1007809820000001"/>
    <m/>
    <x v="15"/>
    <x v="0"/>
    <x v="0"/>
    <x v="0"/>
    <x v="2"/>
  </r>
  <r>
    <s v="Singapore"/>
    <x v="1"/>
    <s v="SG1"/>
    <m/>
    <x v="1"/>
    <x v="4"/>
    <x v="3"/>
    <x v="4"/>
    <x v="0"/>
    <x v="0"/>
    <x v="0"/>
    <m/>
    <x v="0"/>
    <x v="0"/>
    <n v="47.689749324000005"/>
    <m/>
    <x v="15"/>
    <x v="3"/>
    <x v="0"/>
    <x v="0"/>
    <x v="1"/>
  </r>
  <r>
    <s v="Singapore"/>
    <x v="3"/>
    <s v="SG3"/>
    <m/>
    <x v="0"/>
    <x v="3"/>
    <x v="3"/>
    <x v="2"/>
    <x v="0"/>
    <x v="0"/>
    <x v="0"/>
    <m/>
    <x v="0"/>
    <x v="0"/>
    <n v="3.8071960200000006"/>
    <m/>
    <x v="22"/>
    <x v="0"/>
    <x v="0"/>
    <x v="3"/>
    <x v="0"/>
  </r>
  <r>
    <s v="Singapore"/>
    <x v="1"/>
    <s v="SG2"/>
    <m/>
    <x v="1"/>
    <x v="1"/>
    <x v="2"/>
    <x v="2"/>
    <x v="0"/>
    <x v="0"/>
    <x v="0"/>
    <m/>
    <x v="0"/>
    <x v="0"/>
    <n v="0.58879272599999999"/>
    <m/>
    <x v="22"/>
    <x v="0"/>
    <x v="0"/>
    <x v="4"/>
    <x v="2"/>
  </r>
  <r>
    <s v="Singapore"/>
    <x v="1"/>
    <s v="SG3"/>
    <m/>
    <x v="4"/>
    <x v="0"/>
    <x v="2"/>
    <x v="0"/>
    <x v="0"/>
    <x v="0"/>
    <x v="0"/>
    <m/>
    <x v="0"/>
    <x v="0"/>
    <n v="-2.0430300600000004"/>
    <m/>
    <x v="22"/>
    <x v="3"/>
    <x v="0"/>
    <x v="2"/>
    <x v="1"/>
  </r>
  <r>
    <s v="Singapore"/>
    <x v="1"/>
    <s v="SG4"/>
    <m/>
    <x v="0"/>
    <x v="4"/>
    <x v="0"/>
    <x v="3"/>
    <x v="0"/>
    <x v="0"/>
    <x v="0"/>
    <m/>
    <x v="0"/>
    <x v="0"/>
    <n v="26.017257159"/>
    <m/>
    <x v="22"/>
    <x v="1"/>
    <x v="0"/>
    <x v="5"/>
    <x v="2"/>
  </r>
  <r>
    <s v="Singapore"/>
    <x v="1"/>
    <s v="SG1"/>
    <m/>
    <x v="2"/>
    <x v="0"/>
    <x v="3"/>
    <x v="2"/>
    <x v="0"/>
    <x v="0"/>
    <x v="0"/>
    <m/>
    <x v="0"/>
    <x v="0"/>
    <n v="2.3696905319999999"/>
    <m/>
    <x v="22"/>
    <x v="2"/>
    <x v="0"/>
    <x v="5"/>
    <x v="0"/>
  </r>
  <r>
    <s v="Singapore"/>
    <x v="5"/>
    <s v="SG2"/>
    <m/>
    <x v="1"/>
    <x v="0"/>
    <x v="3"/>
    <x v="2"/>
    <x v="0"/>
    <x v="0"/>
    <x v="0"/>
    <m/>
    <x v="0"/>
    <x v="0"/>
    <n v="12.264084800999999"/>
    <m/>
    <x v="22"/>
    <x v="1"/>
    <x v="0"/>
    <x v="2"/>
    <x v="2"/>
  </r>
  <r>
    <s v="Singapore"/>
    <x v="0"/>
    <s v="SG3"/>
    <m/>
    <x v="3"/>
    <x v="1"/>
    <x v="3"/>
    <x v="3"/>
    <x v="0"/>
    <x v="0"/>
    <x v="0"/>
    <m/>
    <x v="0"/>
    <x v="0"/>
    <n v="7.7892663150000008"/>
    <m/>
    <x v="22"/>
    <x v="3"/>
    <x v="0"/>
    <x v="0"/>
    <x v="0"/>
  </r>
  <r>
    <s v="Singapore"/>
    <x v="0"/>
    <s v="SG1"/>
    <m/>
    <x v="5"/>
    <x v="4"/>
    <x v="3"/>
    <x v="5"/>
    <x v="0"/>
    <x v="0"/>
    <x v="0"/>
    <m/>
    <x v="0"/>
    <x v="0"/>
    <n v="2.3696905319999999"/>
    <m/>
    <x v="22"/>
    <x v="2"/>
    <x v="0"/>
    <x v="2"/>
    <x v="0"/>
  </r>
  <r>
    <s v="Singapore"/>
    <x v="3"/>
    <s v="SG2"/>
    <m/>
    <x v="4"/>
    <x v="4"/>
    <x v="4"/>
    <x v="2"/>
    <x v="0"/>
    <x v="0"/>
    <x v="0"/>
    <m/>
    <x v="0"/>
    <x v="0"/>
    <n v="2.3696905319999999"/>
    <m/>
    <x v="22"/>
    <x v="2"/>
    <x v="0"/>
    <x v="0"/>
    <x v="1"/>
  </r>
  <r>
    <s v="Singapore"/>
    <x v="2"/>
    <s v="SG2"/>
    <m/>
    <x v="3"/>
    <x v="0"/>
    <x v="3"/>
    <x v="0"/>
    <x v="0"/>
    <x v="0"/>
    <x v="0"/>
    <m/>
    <x v="0"/>
    <x v="0"/>
    <n v="2.5266489569999999"/>
    <m/>
    <x v="22"/>
    <x v="1"/>
    <x v="0"/>
    <x v="5"/>
    <x v="0"/>
  </r>
  <r>
    <s v="Singapore"/>
    <x v="3"/>
    <s v="SG3"/>
    <m/>
    <x v="5"/>
    <x v="3"/>
    <x v="0"/>
    <x v="5"/>
    <x v="0"/>
    <x v="0"/>
    <x v="0"/>
    <m/>
    <x v="0"/>
    <x v="0"/>
    <n v="7.0995839849999998"/>
    <m/>
    <x v="22"/>
    <x v="1"/>
    <x v="0"/>
    <x v="0"/>
    <x v="1"/>
  </r>
  <r>
    <s v="Singapore"/>
    <x v="0"/>
    <s v="SG3"/>
    <m/>
    <x v="1"/>
    <x v="2"/>
    <x v="3"/>
    <x v="5"/>
    <x v="0"/>
    <x v="0"/>
    <x v="0"/>
    <m/>
    <x v="0"/>
    <x v="0"/>
    <n v="26.818500708000002"/>
    <m/>
    <x v="22"/>
    <x v="3"/>
    <x v="0"/>
    <x v="3"/>
    <x v="0"/>
  </r>
  <r>
    <s v="Singapore"/>
    <x v="3"/>
    <s v="SG4"/>
    <m/>
    <x v="2"/>
    <x v="0"/>
    <x v="4"/>
    <x v="1"/>
    <x v="0"/>
    <x v="0"/>
    <x v="0"/>
    <m/>
    <x v="0"/>
    <x v="0"/>
    <n v="2.3696905319999999"/>
    <m/>
    <x v="22"/>
    <x v="3"/>
    <x v="0"/>
    <x v="0"/>
    <x v="1"/>
  </r>
  <r>
    <s v="Singapore"/>
    <x v="4"/>
    <s v="SG2"/>
    <m/>
    <x v="2"/>
    <x v="1"/>
    <x v="0"/>
    <x v="3"/>
    <x v="0"/>
    <x v="0"/>
    <x v="0"/>
    <m/>
    <x v="0"/>
    <x v="0"/>
    <n v="2.0177141850000004"/>
    <m/>
    <x v="22"/>
    <x v="3"/>
    <x v="0"/>
    <x v="4"/>
    <x v="1"/>
  </r>
  <r>
    <s v="Singapore"/>
    <x v="2"/>
    <s v="SG3"/>
    <m/>
    <x v="2"/>
    <x v="1"/>
    <x v="3"/>
    <x v="5"/>
    <x v="0"/>
    <x v="0"/>
    <x v="0"/>
    <m/>
    <x v="0"/>
    <x v="0"/>
    <n v="1.3841474130000002"/>
    <m/>
    <x v="22"/>
    <x v="3"/>
    <x v="0"/>
    <x v="0"/>
    <x v="1"/>
  </r>
  <r>
    <s v="Singapore"/>
    <x v="5"/>
    <s v="SG1"/>
    <m/>
    <x v="3"/>
    <x v="0"/>
    <x v="0"/>
    <x v="5"/>
    <x v="0"/>
    <x v="0"/>
    <x v="0"/>
    <m/>
    <x v="0"/>
    <x v="0"/>
    <n v="8.752967675999999"/>
    <m/>
    <x v="22"/>
    <x v="1"/>
    <x v="0"/>
    <x v="2"/>
    <x v="1"/>
  </r>
  <r>
    <s v="Singapore"/>
    <x v="3"/>
    <s v="SG4"/>
    <m/>
    <x v="4"/>
    <x v="1"/>
    <x v="2"/>
    <x v="2"/>
    <x v="0"/>
    <x v="0"/>
    <x v="0"/>
    <m/>
    <x v="0"/>
    <x v="0"/>
    <n v="2.3696905319999999"/>
    <m/>
    <x v="22"/>
    <x v="2"/>
    <x v="0"/>
    <x v="2"/>
    <x v="2"/>
  </r>
  <r>
    <s v="Singapore"/>
    <x v="5"/>
    <s v="SG4"/>
    <m/>
    <x v="1"/>
    <x v="1"/>
    <x v="4"/>
    <x v="0"/>
    <x v="0"/>
    <x v="0"/>
    <x v="0"/>
    <m/>
    <x v="0"/>
    <x v="0"/>
    <n v="4.1771816910000004"/>
    <m/>
    <x v="22"/>
    <x v="2"/>
    <x v="0"/>
    <x v="5"/>
    <x v="2"/>
  </r>
  <r>
    <s v="Singapore"/>
    <x v="4"/>
    <s v="SG2"/>
    <m/>
    <x v="4"/>
    <x v="1"/>
    <x v="4"/>
    <x v="0"/>
    <x v="0"/>
    <x v="0"/>
    <x v="0"/>
    <m/>
    <x v="0"/>
    <x v="0"/>
    <n v="17.761244004000002"/>
    <m/>
    <x v="22"/>
    <x v="2"/>
    <x v="0"/>
    <x v="3"/>
    <x v="1"/>
  </r>
  <r>
    <s v="Singapore"/>
    <x v="1"/>
    <s v="SG4"/>
    <m/>
    <x v="4"/>
    <x v="4"/>
    <x v="0"/>
    <x v="2"/>
    <x v="0"/>
    <x v="0"/>
    <x v="0"/>
    <m/>
    <x v="0"/>
    <x v="0"/>
    <n v="4.2183414090000007"/>
    <m/>
    <x v="22"/>
    <x v="3"/>
    <x v="0"/>
    <x v="0"/>
    <x v="0"/>
  </r>
  <r>
    <s v="Singapore"/>
    <x v="5"/>
    <s v="SG3"/>
    <m/>
    <x v="2"/>
    <x v="3"/>
    <x v="1"/>
    <x v="0"/>
    <x v="0"/>
    <x v="0"/>
    <x v="0"/>
    <m/>
    <x v="0"/>
    <x v="0"/>
    <n v="183.195751113"/>
    <m/>
    <x v="22"/>
    <x v="3"/>
    <x v="0"/>
    <x v="1"/>
    <x v="0"/>
  </r>
  <r>
    <s v="Singapore"/>
    <x v="2"/>
    <s v="SG4"/>
    <m/>
    <x v="1"/>
    <x v="1"/>
    <x v="3"/>
    <x v="4"/>
    <x v="0"/>
    <x v="0"/>
    <x v="0"/>
    <m/>
    <x v="0"/>
    <x v="0"/>
    <n v="4.7332585170000003"/>
    <m/>
    <x v="22"/>
    <x v="2"/>
    <x v="0"/>
    <x v="0"/>
    <x v="1"/>
  </r>
  <r>
    <s v="Singapore"/>
    <x v="2"/>
    <s v="SG3"/>
    <m/>
    <x v="5"/>
    <x v="1"/>
    <x v="0"/>
    <x v="4"/>
    <x v="0"/>
    <x v="0"/>
    <x v="0"/>
    <m/>
    <x v="0"/>
    <x v="0"/>
    <n v="27.392976333000004"/>
    <m/>
    <x v="22"/>
    <x v="0"/>
    <x v="0"/>
    <x v="5"/>
    <x v="0"/>
  </r>
  <r>
    <s v="Singapore"/>
    <x v="1"/>
    <s v="SG3"/>
    <m/>
    <x v="4"/>
    <x v="3"/>
    <x v="2"/>
    <x v="1"/>
    <x v="0"/>
    <x v="0"/>
    <x v="0"/>
    <m/>
    <x v="0"/>
    <x v="0"/>
    <n v="91.059800265000007"/>
    <m/>
    <x v="22"/>
    <x v="2"/>
    <x v="0"/>
    <x v="0"/>
    <x v="0"/>
  </r>
  <r>
    <s v="Singapore"/>
    <x v="3"/>
    <s v="SG2"/>
    <m/>
    <x v="4"/>
    <x v="4"/>
    <x v="4"/>
    <x v="0"/>
    <x v="0"/>
    <x v="0"/>
    <x v="0"/>
    <m/>
    <x v="0"/>
    <x v="0"/>
    <n v="2.0430300600000004"/>
    <m/>
    <x v="15"/>
    <x v="1"/>
    <x v="0"/>
    <x v="3"/>
    <x v="0"/>
  </r>
  <r>
    <s v="Singapore"/>
    <x v="5"/>
    <s v="SG3"/>
    <m/>
    <x v="2"/>
    <x v="1"/>
    <x v="0"/>
    <x v="2"/>
    <x v="0"/>
    <x v="0"/>
    <x v="0"/>
    <m/>
    <x v="0"/>
    <x v="0"/>
    <n v="1.7853534000000002"/>
    <m/>
    <x v="15"/>
    <x v="2"/>
    <x v="0"/>
    <x v="2"/>
    <x v="2"/>
  </r>
  <r>
    <s v="Singapore"/>
    <x v="4"/>
    <s v="SG1"/>
    <m/>
    <x v="5"/>
    <x v="2"/>
    <x v="3"/>
    <x v="3"/>
    <x v="0"/>
    <x v="0"/>
    <x v="0"/>
    <m/>
    <x v="0"/>
    <x v="0"/>
    <n v="-152.24432865300003"/>
    <m/>
    <x v="13"/>
    <x v="3"/>
    <x v="0"/>
    <x v="5"/>
    <x v="1"/>
  </r>
  <r>
    <s v="Singapore"/>
    <x v="2"/>
    <s v="SG2"/>
    <m/>
    <x v="5"/>
    <x v="3"/>
    <x v="0"/>
    <x v="2"/>
    <x v="0"/>
    <x v="0"/>
    <x v="0"/>
    <m/>
    <x v="0"/>
    <x v="0"/>
    <n v="-49.985096867999999"/>
    <m/>
    <x v="13"/>
    <x v="2"/>
    <x v="0"/>
    <x v="2"/>
    <x v="0"/>
  </r>
  <r>
    <s v="Singapore"/>
    <x v="3"/>
    <s v="SG1"/>
    <m/>
    <x v="3"/>
    <x v="4"/>
    <x v="2"/>
    <x v="3"/>
    <x v="0"/>
    <x v="0"/>
    <x v="0"/>
    <m/>
    <x v="0"/>
    <x v="0"/>
    <n v="-31.561620732000005"/>
    <m/>
    <x v="13"/>
    <x v="2"/>
    <x v="0"/>
    <x v="2"/>
    <x v="2"/>
  </r>
  <r>
    <s v="Singapore"/>
    <x v="2"/>
    <s v="SG3"/>
    <m/>
    <x v="2"/>
    <x v="4"/>
    <x v="0"/>
    <x v="0"/>
    <x v="0"/>
    <x v="0"/>
    <x v="0"/>
    <m/>
    <x v="0"/>
    <x v="0"/>
    <n v="-22.255567398000004"/>
    <m/>
    <x v="13"/>
    <x v="2"/>
    <x v="0"/>
    <x v="0"/>
    <x v="0"/>
  </r>
  <r>
    <s v="Singapore"/>
    <x v="0"/>
    <s v="SG4"/>
    <m/>
    <x v="0"/>
    <x v="1"/>
    <x v="0"/>
    <x v="0"/>
    <x v="0"/>
    <x v="0"/>
    <x v="0"/>
    <m/>
    <x v="0"/>
    <x v="0"/>
    <n v="-6.588577206000001"/>
    <m/>
    <x v="13"/>
    <x v="2"/>
    <x v="0"/>
    <x v="5"/>
    <x v="2"/>
  </r>
  <r>
    <s v="Singapore"/>
    <x v="0"/>
    <s v="SG1"/>
    <m/>
    <x v="3"/>
    <x v="3"/>
    <x v="0"/>
    <x v="5"/>
    <x v="0"/>
    <x v="0"/>
    <x v="0"/>
    <m/>
    <x v="0"/>
    <x v="0"/>
    <n v="-3.1793778989999999"/>
    <m/>
    <x v="13"/>
    <x v="3"/>
    <x v="0"/>
    <x v="4"/>
    <x v="0"/>
  </r>
  <r>
    <s v="Singapore"/>
    <x v="5"/>
    <s v="SG4"/>
    <m/>
    <x v="5"/>
    <x v="2"/>
    <x v="3"/>
    <x v="1"/>
    <x v="0"/>
    <x v="0"/>
    <x v="0"/>
    <m/>
    <x v="0"/>
    <x v="0"/>
    <n v="-190.34361441900001"/>
    <m/>
    <x v="13"/>
    <x v="1"/>
    <x v="0"/>
    <x v="5"/>
    <x v="2"/>
  </r>
  <r>
    <s v="Singapore"/>
    <x v="3"/>
    <s v="SG4"/>
    <m/>
    <x v="5"/>
    <x v="0"/>
    <x v="4"/>
    <x v="4"/>
    <x v="0"/>
    <x v="0"/>
    <x v="0"/>
    <m/>
    <x v="0"/>
    <x v="0"/>
    <n v="-10.834415550000001"/>
    <m/>
    <x v="13"/>
    <x v="0"/>
    <x v="0"/>
    <x v="1"/>
    <x v="1"/>
  </r>
  <r>
    <s v="Singapore"/>
    <x v="0"/>
    <s v="SG1"/>
    <m/>
    <x v="3"/>
    <x v="1"/>
    <x v="1"/>
    <x v="5"/>
    <x v="0"/>
    <x v="0"/>
    <x v="0"/>
    <m/>
    <x v="0"/>
    <x v="0"/>
    <n v="-4.0540296959999997"/>
    <m/>
    <x v="13"/>
    <x v="0"/>
    <x v="0"/>
    <x v="2"/>
    <x v="1"/>
  </r>
  <r>
    <s v="Singapore"/>
    <x v="4"/>
    <s v="SG1"/>
    <m/>
    <x v="5"/>
    <x v="0"/>
    <x v="2"/>
    <x v="4"/>
    <x v="0"/>
    <x v="0"/>
    <x v="0"/>
    <m/>
    <x v="0"/>
    <x v="0"/>
    <n v="-155.22572862000001"/>
    <m/>
    <x v="13"/>
    <x v="2"/>
    <x v="0"/>
    <x v="3"/>
    <x v="2"/>
  </r>
  <r>
    <s v="Singapore"/>
    <x v="5"/>
    <s v="SG1"/>
    <m/>
    <x v="3"/>
    <x v="0"/>
    <x v="4"/>
    <x v="2"/>
    <x v="0"/>
    <x v="0"/>
    <x v="0"/>
    <m/>
    <x v="0"/>
    <x v="0"/>
    <n v="-1.3841474130000002"/>
    <m/>
    <x v="13"/>
    <x v="0"/>
    <x v="0"/>
    <x v="2"/>
    <x v="1"/>
  </r>
  <r>
    <s v="Singapore"/>
    <x v="4"/>
    <s v="SG2"/>
    <m/>
    <x v="5"/>
    <x v="3"/>
    <x v="1"/>
    <x v="0"/>
    <x v="0"/>
    <x v="0"/>
    <x v="0"/>
    <m/>
    <x v="0"/>
    <x v="0"/>
    <n v="-8.3451717720000005"/>
    <m/>
    <x v="13"/>
    <x v="1"/>
    <x v="0"/>
    <x v="5"/>
    <x v="2"/>
  </r>
  <r>
    <s v="Singapore"/>
    <x v="4"/>
    <s v="SG3"/>
    <m/>
    <x v="3"/>
    <x v="2"/>
    <x v="1"/>
    <x v="3"/>
    <x v="0"/>
    <x v="0"/>
    <x v="0"/>
    <m/>
    <x v="0"/>
    <x v="0"/>
    <n v="-92.887949178"/>
    <m/>
    <x v="13"/>
    <x v="1"/>
    <x v="0"/>
    <x v="3"/>
    <x v="1"/>
  </r>
  <r>
    <s v="Singapore"/>
    <x v="4"/>
    <s v="SG1"/>
    <m/>
    <x v="2"/>
    <x v="0"/>
    <x v="2"/>
    <x v="2"/>
    <x v="0"/>
    <x v="0"/>
    <x v="0"/>
    <m/>
    <x v="0"/>
    <x v="0"/>
    <n v="-23.821116687000004"/>
    <m/>
    <x v="13"/>
    <x v="0"/>
    <x v="0"/>
    <x v="3"/>
    <x v="0"/>
  </r>
  <r>
    <s v="Singapore"/>
    <x v="2"/>
    <s v="SG2"/>
    <m/>
    <x v="0"/>
    <x v="4"/>
    <x v="2"/>
    <x v="5"/>
    <x v="0"/>
    <x v="0"/>
    <x v="0"/>
    <m/>
    <x v="0"/>
    <x v="0"/>
    <n v="-6.2102411910000006"/>
    <m/>
    <x v="13"/>
    <x v="0"/>
    <x v="0"/>
    <x v="0"/>
    <x v="1"/>
  </r>
  <r>
    <s v="Singapore"/>
    <x v="2"/>
    <s v="SG4"/>
    <m/>
    <x v="5"/>
    <x v="3"/>
    <x v="4"/>
    <x v="2"/>
    <x v="0"/>
    <x v="0"/>
    <x v="0"/>
    <m/>
    <x v="0"/>
    <x v="0"/>
    <n v="-75.354392259000008"/>
    <m/>
    <x v="13"/>
    <x v="2"/>
    <x v="0"/>
    <x v="0"/>
    <x v="0"/>
  </r>
  <r>
    <s v="Singapore"/>
    <x v="0"/>
    <s v="SG2"/>
    <m/>
    <x v="0"/>
    <x v="1"/>
    <x v="1"/>
    <x v="0"/>
    <x v="0"/>
    <x v="0"/>
    <x v="0"/>
    <m/>
    <x v="0"/>
    <x v="0"/>
    <n v="-21.438978534"/>
    <m/>
    <x v="13"/>
    <x v="0"/>
    <x v="0"/>
    <x v="0"/>
    <x v="0"/>
  </r>
  <r>
    <s v="Singapore"/>
    <x v="5"/>
    <s v="SG1"/>
    <m/>
    <x v="3"/>
    <x v="3"/>
    <x v="3"/>
    <x v="3"/>
    <x v="0"/>
    <x v="0"/>
    <x v="0"/>
    <m/>
    <x v="0"/>
    <x v="0"/>
    <n v="-5.5892155140000002"/>
    <m/>
    <x v="13"/>
    <x v="3"/>
    <x v="0"/>
    <x v="4"/>
    <x v="1"/>
  </r>
  <r>
    <s v="Singapore"/>
    <x v="1"/>
    <s v="SG1"/>
    <m/>
    <x v="2"/>
    <x v="2"/>
    <x v="0"/>
    <x v="3"/>
    <x v="0"/>
    <x v="0"/>
    <x v="0"/>
    <m/>
    <x v="0"/>
    <x v="0"/>
    <n v="-1.1795484060000001"/>
    <m/>
    <x v="13"/>
    <x v="2"/>
    <x v="0"/>
    <x v="2"/>
    <x v="1"/>
  </r>
  <r>
    <s v="Singapore"/>
    <x v="3"/>
    <s v="SG4"/>
    <m/>
    <x v="2"/>
    <x v="0"/>
    <x v="3"/>
    <x v="0"/>
    <x v="0"/>
    <x v="0"/>
    <x v="0"/>
    <m/>
    <x v="0"/>
    <x v="0"/>
    <n v="-38.034492705000005"/>
    <m/>
    <x v="13"/>
    <x v="0"/>
    <x v="0"/>
    <x v="1"/>
    <x v="2"/>
  </r>
  <r>
    <s v="Singapore"/>
    <x v="5"/>
    <s v="SG1"/>
    <m/>
    <x v="0"/>
    <x v="4"/>
    <x v="1"/>
    <x v="5"/>
    <x v="0"/>
    <x v="0"/>
    <x v="0"/>
    <m/>
    <x v="0"/>
    <x v="0"/>
    <n v="-37.200891573"/>
    <m/>
    <x v="13"/>
    <x v="2"/>
    <x v="0"/>
    <x v="4"/>
    <x v="1"/>
  </r>
  <r>
    <s v="Singapore"/>
    <x v="3"/>
    <s v="SG1"/>
    <m/>
    <x v="2"/>
    <x v="0"/>
    <x v="4"/>
    <x v="1"/>
    <x v="0"/>
    <x v="0"/>
    <x v="0"/>
    <m/>
    <x v="0"/>
    <x v="0"/>
    <n v="-38.600633565000003"/>
    <m/>
    <x v="13"/>
    <x v="2"/>
    <x v="0"/>
    <x v="5"/>
    <x v="1"/>
  </r>
  <r>
    <s v="Singapore"/>
    <x v="0"/>
    <s v="SG4"/>
    <m/>
    <x v="0"/>
    <x v="2"/>
    <x v="2"/>
    <x v="4"/>
    <x v="0"/>
    <x v="0"/>
    <x v="0"/>
    <m/>
    <x v="0"/>
    <x v="0"/>
    <n v="-13.082870304000002"/>
    <m/>
    <x v="13"/>
    <x v="1"/>
    <x v="0"/>
    <x v="5"/>
    <x v="2"/>
  </r>
  <r>
    <s v="Singapore"/>
    <x v="4"/>
    <s v="SG2"/>
    <m/>
    <x v="2"/>
    <x v="1"/>
    <x v="0"/>
    <x v="3"/>
    <x v="0"/>
    <x v="0"/>
    <x v="0"/>
    <m/>
    <x v="0"/>
    <x v="0"/>
    <n v="-116.849744235"/>
    <m/>
    <x v="13"/>
    <x v="3"/>
    <x v="0"/>
    <x v="0"/>
    <x v="2"/>
  </r>
  <r>
    <s v="Singapore"/>
    <x v="0"/>
    <s v="SG4"/>
    <m/>
    <x v="3"/>
    <x v="1"/>
    <x v="1"/>
    <x v="0"/>
    <x v="0"/>
    <x v="0"/>
    <x v="0"/>
    <m/>
    <x v="0"/>
    <x v="0"/>
    <n v="-10.466299359000001"/>
    <m/>
    <x v="13"/>
    <x v="2"/>
    <x v="0"/>
    <x v="1"/>
    <x v="0"/>
  </r>
  <r>
    <s v="Singapore"/>
    <x v="1"/>
    <s v="SG4"/>
    <m/>
    <x v="4"/>
    <x v="3"/>
    <x v="4"/>
    <x v="0"/>
    <x v="0"/>
    <x v="0"/>
    <x v="0"/>
    <m/>
    <x v="0"/>
    <x v="0"/>
    <n v="-5.6709117899999999"/>
    <m/>
    <x v="13"/>
    <x v="1"/>
    <x v="0"/>
    <x v="1"/>
    <x v="0"/>
  </r>
  <r>
    <s v="Singapore"/>
    <x v="3"/>
    <s v="SG3"/>
    <m/>
    <x v="2"/>
    <x v="4"/>
    <x v="0"/>
    <x v="2"/>
    <x v="0"/>
    <x v="0"/>
    <x v="0"/>
    <m/>
    <x v="0"/>
    <x v="0"/>
    <n v="-2.6165865240000001"/>
    <m/>
    <x v="13"/>
    <x v="2"/>
    <x v="0"/>
    <x v="1"/>
    <x v="0"/>
  </r>
  <r>
    <s v="Singapore"/>
    <x v="1"/>
    <s v="SG4"/>
    <m/>
    <x v="1"/>
    <x v="2"/>
    <x v="2"/>
    <x v="3"/>
    <x v="0"/>
    <x v="0"/>
    <x v="0"/>
    <m/>
    <x v="0"/>
    <x v="0"/>
    <n v="0.53591759999999999"/>
    <m/>
    <x v="23"/>
    <x v="0"/>
    <x v="0"/>
    <x v="0"/>
    <x v="2"/>
  </r>
  <r>
    <s v="Singapore"/>
    <x v="1"/>
    <s v="SG3"/>
    <m/>
    <x v="5"/>
    <x v="1"/>
    <x v="2"/>
    <x v="4"/>
    <x v="0"/>
    <x v="0"/>
    <x v="0"/>
    <m/>
    <x v="0"/>
    <x v="0"/>
    <n v="0.1744848"/>
    <m/>
    <x v="23"/>
    <x v="2"/>
    <x v="0"/>
    <x v="4"/>
    <x v="1"/>
  </r>
  <r>
    <s v="Singapore"/>
    <x v="5"/>
    <s v="SG1"/>
    <m/>
    <x v="4"/>
    <x v="2"/>
    <x v="2"/>
    <x v="3"/>
    <x v="0"/>
    <x v="0"/>
    <x v="0"/>
    <m/>
    <x v="0"/>
    <x v="0"/>
    <n v="1.480067316"/>
    <m/>
    <x v="23"/>
    <x v="0"/>
    <x v="0"/>
    <x v="3"/>
    <x v="1"/>
  </r>
  <r>
    <s v="Singapore"/>
    <x v="2"/>
    <s v="SG4"/>
    <m/>
    <x v="1"/>
    <x v="3"/>
    <x v="3"/>
    <x v="5"/>
    <x v="0"/>
    <x v="0"/>
    <x v="0"/>
    <m/>
    <x v="0"/>
    <x v="0"/>
    <n v="6.4688058540000011"/>
    <m/>
    <x v="23"/>
    <x v="0"/>
    <x v="0"/>
    <x v="5"/>
    <x v="2"/>
  </r>
  <r>
    <s v="Singapore"/>
    <x v="2"/>
    <s v="SG4"/>
    <m/>
    <x v="4"/>
    <x v="2"/>
    <x v="3"/>
    <x v="4"/>
    <x v="0"/>
    <x v="0"/>
    <x v="0"/>
    <m/>
    <x v="0"/>
    <x v="0"/>
    <n v="2.8480437270000003"/>
    <m/>
    <x v="23"/>
    <x v="2"/>
    <x v="0"/>
    <x v="5"/>
    <x v="1"/>
  </r>
  <r>
    <s v="Singapore"/>
    <x v="3"/>
    <s v="SG4"/>
    <m/>
    <x v="2"/>
    <x v="2"/>
    <x v="0"/>
    <x v="5"/>
    <x v="0"/>
    <x v="0"/>
    <x v="0"/>
    <m/>
    <x v="0"/>
    <x v="0"/>
    <n v="10.461454290000001"/>
    <m/>
    <x v="23"/>
    <x v="1"/>
    <x v="0"/>
    <x v="4"/>
    <x v="0"/>
  </r>
  <r>
    <s v="Singapore"/>
    <x v="2"/>
    <s v="SG3"/>
    <m/>
    <x v="0"/>
    <x v="0"/>
    <x v="4"/>
    <x v="1"/>
    <x v="0"/>
    <x v="0"/>
    <x v="0"/>
    <m/>
    <x v="0"/>
    <x v="0"/>
    <n v="0.41652014400000004"/>
    <m/>
    <x v="23"/>
    <x v="1"/>
    <x v="0"/>
    <x v="1"/>
    <x v="2"/>
  </r>
  <r>
    <s v="Singapore"/>
    <x v="1"/>
    <s v="SG3"/>
    <m/>
    <x v="5"/>
    <x v="2"/>
    <x v="1"/>
    <x v="3"/>
    <x v="0"/>
    <x v="0"/>
    <x v="0"/>
    <m/>
    <x v="0"/>
    <x v="0"/>
    <n v="0.96122430000000003"/>
    <m/>
    <x v="23"/>
    <x v="1"/>
    <x v="0"/>
    <x v="1"/>
    <x v="2"/>
  </r>
  <r>
    <s v="Singapore"/>
    <x v="5"/>
    <s v="SG4"/>
    <m/>
    <x v="0"/>
    <x v="3"/>
    <x v="1"/>
    <x v="0"/>
    <x v="0"/>
    <x v="0"/>
    <x v="0"/>
    <m/>
    <x v="0"/>
    <x v="0"/>
    <n v="1.7760060000000002"/>
    <m/>
    <x v="23"/>
    <x v="0"/>
    <x v="0"/>
    <x v="0"/>
    <x v="1"/>
  </r>
  <r>
    <s v="Singapore"/>
    <x v="4"/>
    <s v="SG2"/>
    <m/>
    <x v="1"/>
    <x v="0"/>
    <x v="2"/>
    <x v="0"/>
    <x v="0"/>
    <x v="0"/>
    <x v="0"/>
    <m/>
    <x v="0"/>
    <x v="0"/>
    <n v="0.20587648500000003"/>
    <m/>
    <x v="23"/>
    <x v="1"/>
    <x v="0"/>
    <x v="1"/>
    <x v="2"/>
  </r>
  <r>
    <s v="Singapore"/>
    <x v="3"/>
    <s v="SG3"/>
    <m/>
    <x v="5"/>
    <x v="4"/>
    <x v="1"/>
    <x v="3"/>
    <x v="0"/>
    <x v="0"/>
    <x v="0"/>
    <m/>
    <x v="0"/>
    <x v="0"/>
    <n v="0.17280226800000001"/>
    <m/>
    <x v="23"/>
    <x v="3"/>
    <x v="0"/>
    <x v="1"/>
    <x v="2"/>
  </r>
  <r>
    <s v="Singapore"/>
    <x v="4"/>
    <s v="SG4"/>
    <m/>
    <x v="5"/>
    <x v="2"/>
    <x v="2"/>
    <x v="3"/>
    <x v="0"/>
    <x v="0"/>
    <x v="0"/>
    <m/>
    <x v="0"/>
    <x v="0"/>
    <n v="0.26347204800000001"/>
    <m/>
    <x v="23"/>
    <x v="3"/>
    <x v="0"/>
    <x v="2"/>
    <x v="0"/>
  </r>
  <r>
    <s v="Singapore"/>
    <x v="5"/>
    <s v="SG4"/>
    <m/>
    <x v="4"/>
    <x v="3"/>
    <x v="3"/>
    <x v="5"/>
    <x v="0"/>
    <x v="0"/>
    <x v="0"/>
    <m/>
    <x v="0"/>
    <x v="0"/>
    <n v="7.0323606000000005"/>
    <m/>
    <x v="24"/>
    <x v="2"/>
    <x v="0"/>
    <x v="1"/>
    <x v="1"/>
  </r>
  <r>
    <s v="Singapore"/>
    <x v="0"/>
    <s v="SG1"/>
    <m/>
    <x v="5"/>
    <x v="4"/>
    <x v="1"/>
    <x v="2"/>
    <x v="0"/>
    <x v="0"/>
    <x v="0"/>
    <m/>
    <x v="0"/>
    <x v="0"/>
    <n v="-0.84126600000000007"/>
    <m/>
    <x v="24"/>
    <x v="0"/>
    <x v="0"/>
    <x v="1"/>
    <x v="2"/>
  </r>
  <r>
    <s v="Singapore"/>
    <x v="2"/>
    <s v="SG4"/>
    <m/>
    <x v="4"/>
    <x v="4"/>
    <x v="0"/>
    <x v="3"/>
    <x v="0"/>
    <x v="0"/>
    <x v="0"/>
    <m/>
    <x v="0"/>
    <x v="0"/>
    <n v="-3.0864024270000003"/>
    <m/>
    <x v="24"/>
    <x v="1"/>
    <x v="0"/>
    <x v="5"/>
    <x v="0"/>
  </r>
  <r>
    <s v="Singapore"/>
    <x v="3"/>
    <s v="SG3"/>
    <m/>
    <x v="4"/>
    <x v="4"/>
    <x v="2"/>
    <x v="0"/>
    <x v="0"/>
    <x v="0"/>
    <x v="0"/>
    <m/>
    <x v="0"/>
    <x v="0"/>
    <n v="4.8741238350000007"/>
    <m/>
    <x v="24"/>
    <x v="3"/>
    <x v="0"/>
    <x v="5"/>
    <x v="1"/>
  </r>
  <r>
    <s v="Singapore"/>
    <x v="2"/>
    <s v="SG3"/>
    <m/>
    <x v="2"/>
    <x v="2"/>
    <x v="4"/>
    <x v="3"/>
    <x v="0"/>
    <x v="0"/>
    <x v="0"/>
    <m/>
    <x v="0"/>
    <x v="0"/>
    <n v="0.68017914000000013"/>
    <m/>
    <x v="24"/>
    <x v="1"/>
    <x v="0"/>
    <x v="4"/>
    <x v="0"/>
  </r>
  <r>
    <s v="Singapore"/>
    <x v="4"/>
    <s v="SG4"/>
    <m/>
    <x v="4"/>
    <x v="2"/>
    <x v="1"/>
    <x v="1"/>
    <x v="0"/>
    <x v="0"/>
    <x v="0"/>
    <m/>
    <x v="0"/>
    <x v="0"/>
    <n v="0.62420379300000006"/>
    <m/>
    <x v="24"/>
    <x v="2"/>
    <x v="0"/>
    <x v="4"/>
    <x v="2"/>
  </r>
  <r>
    <s v="Singapore"/>
    <x v="3"/>
    <s v="SG2"/>
    <m/>
    <x v="2"/>
    <x v="3"/>
    <x v="0"/>
    <x v="0"/>
    <x v="0"/>
    <x v="0"/>
    <x v="0"/>
    <m/>
    <x v="0"/>
    <x v="0"/>
    <n v="7.3666859400000009"/>
    <m/>
    <x v="24"/>
    <x v="0"/>
    <x v="0"/>
    <x v="2"/>
    <x v="2"/>
  </r>
  <r>
    <s v="Singapore"/>
    <x v="3"/>
    <s v="SG4"/>
    <m/>
    <x v="5"/>
    <x v="0"/>
    <x v="2"/>
    <x v="2"/>
    <x v="0"/>
    <x v="0"/>
    <x v="0"/>
    <m/>
    <x v="0"/>
    <x v="0"/>
    <n v="0.84126600000000007"/>
    <m/>
    <x v="24"/>
    <x v="2"/>
    <x v="0"/>
    <x v="0"/>
    <x v="0"/>
  </r>
  <r>
    <s v="Singapore"/>
    <x v="2"/>
    <s v="SG2"/>
    <m/>
    <x v="0"/>
    <x v="3"/>
    <x v="3"/>
    <x v="2"/>
    <x v="0"/>
    <x v="0"/>
    <x v="0"/>
    <m/>
    <x v="0"/>
    <x v="0"/>
    <n v="0.25705349999999999"/>
    <m/>
    <x v="24"/>
    <x v="2"/>
    <x v="0"/>
    <x v="1"/>
    <x v="0"/>
  </r>
  <r>
    <s v="Singapore"/>
    <x v="0"/>
    <s v="SG4"/>
    <m/>
    <x v="5"/>
    <x v="1"/>
    <x v="0"/>
    <x v="5"/>
    <x v="0"/>
    <x v="0"/>
    <x v="0"/>
    <m/>
    <x v="0"/>
    <x v="0"/>
    <n v="0.63562320000000005"/>
    <m/>
    <x v="24"/>
    <x v="3"/>
    <x v="0"/>
    <x v="4"/>
    <x v="1"/>
  </r>
  <r>
    <s v="Singapore"/>
    <x v="0"/>
    <s v="SG1"/>
    <m/>
    <x v="0"/>
    <x v="0"/>
    <x v="3"/>
    <x v="2"/>
    <x v="0"/>
    <x v="0"/>
    <x v="0"/>
    <m/>
    <x v="0"/>
    <x v="0"/>
    <n v="0.42063300000000003"/>
    <m/>
    <x v="25"/>
    <x v="2"/>
    <x v="0"/>
    <x v="2"/>
    <x v="0"/>
  </r>
  <r>
    <s v="Singapore"/>
    <x v="5"/>
    <s v="SG2"/>
    <m/>
    <x v="3"/>
    <x v="1"/>
    <x v="4"/>
    <x v="4"/>
    <x v="0"/>
    <x v="0"/>
    <x v="0"/>
    <m/>
    <x v="0"/>
    <x v="0"/>
    <n v="0.83134217700000002"/>
    <m/>
    <x v="25"/>
    <x v="2"/>
    <x v="0"/>
    <x v="2"/>
    <x v="2"/>
  </r>
  <r>
    <s v="Singapore"/>
    <x v="3"/>
    <s v="SG4"/>
    <m/>
    <x v="3"/>
    <x v="0"/>
    <x v="0"/>
    <x v="3"/>
    <x v="0"/>
    <x v="0"/>
    <x v="0"/>
    <m/>
    <x v="0"/>
    <x v="0"/>
    <n v="11.372670000000001"/>
    <m/>
    <x v="25"/>
    <x v="2"/>
    <x v="0"/>
    <x v="2"/>
    <x v="2"/>
  </r>
  <r>
    <s v="Singapore"/>
    <x v="0"/>
    <s v="SG3"/>
    <m/>
    <x v="2"/>
    <x v="2"/>
    <x v="3"/>
    <x v="1"/>
    <x v="0"/>
    <x v="0"/>
    <x v="0"/>
    <m/>
    <x v="0"/>
    <x v="0"/>
    <n v="7.6960260000000007"/>
    <m/>
    <x v="25"/>
    <x v="1"/>
    <x v="0"/>
    <x v="1"/>
    <x v="2"/>
  </r>
  <r>
    <s v="Singapore"/>
    <x v="2"/>
    <s v="SG2"/>
    <m/>
    <x v="1"/>
    <x v="4"/>
    <x v="1"/>
    <x v="4"/>
    <x v="0"/>
    <x v="0"/>
    <x v="0"/>
    <m/>
    <x v="0"/>
    <x v="0"/>
    <n v="75.198929418000006"/>
    <m/>
    <x v="25"/>
    <x v="2"/>
    <x v="0"/>
    <x v="5"/>
    <x v="0"/>
  </r>
  <r>
    <s v="Singapore"/>
    <x v="4"/>
    <s v="SG1"/>
    <m/>
    <x v="5"/>
    <x v="0"/>
    <x v="0"/>
    <x v="3"/>
    <x v="0"/>
    <x v="0"/>
    <x v="0"/>
    <m/>
    <x v="0"/>
    <x v="0"/>
    <n v="8.2490804999999998"/>
    <m/>
    <x v="25"/>
    <x v="3"/>
    <x v="0"/>
    <x v="2"/>
    <x v="2"/>
  </r>
  <r>
    <s v="Singapore"/>
    <x v="4"/>
    <s v="SG3"/>
    <m/>
    <x v="5"/>
    <x v="0"/>
    <x v="1"/>
    <x v="3"/>
    <x v="0"/>
    <x v="0"/>
    <x v="0"/>
    <m/>
    <x v="0"/>
    <x v="0"/>
    <n v="5.9200200000000001"/>
    <m/>
    <x v="25"/>
    <x v="3"/>
    <x v="0"/>
    <x v="0"/>
    <x v="0"/>
  </r>
  <r>
    <s v="Singapore"/>
    <x v="2"/>
    <s v="SG2"/>
    <m/>
    <x v="1"/>
    <x v="1"/>
    <x v="3"/>
    <x v="1"/>
    <x v="0"/>
    <x v="0"/>
    <x v="0"/>
    <m/>
    <x v="0"/>
    <x v="0"/>
    <n v="70.105500000000006"/>
    <m/>
    <x v="25"/>
    <x v="3"/>
    <x v="0"/>
    <x v="1"/>
    <x v="2"/>
  </r>
  <r>
    <s v="Singapore"/>
    <x v="3"/>
    <s v="SG1"/>
    <m/>
    <x v="0"/>
    <x v="3"/>
    <x v="3"/>
    <x v="4"/>
    <x v="0"/>
    <x v="0"/>
    <x v="0"/>
    <m/>
    <x v="0"/>
    <x v="0"/>
    <n v="-78.310959300000007"/>
    <m/>
    <x v="25"/>
    <x v="3"/>
    <x v="0"/>
    <x v="2"/>
    <x v="2"/>
  </r>
  <r>
    <s v="Singapore"/>
    <x v="1"/>
    <s v="SG1"/>
    <m/>
    <x v="2"/>
    <x v="3"/>
    <x v="2"/>
    <x v="5"/>
    <x v="0"/>
    <x v="0"/>
    <x v="0"/>
    <m/>
    <x v="0"/>
    <x v="0"/>
    <n v="-2.8042199999999999"/>
    <m/>
    <x v="25"/>
    <x v="1"/>
    <x v="0"/>
    <x v="4"/>
    <x v="2"/>
  </r>
  <r>
    <s v="Singapore"/>
    <x v="2"/>
    <s v="SG3"/>
    <m/>
    <x v="0"/>
    <x v="2"/>
    <x v="0"/>
    <x v="4"/>
    <x v="0"/>
    <x v="0"/>
    <x v="0"/>
    <m/>
    <x v="0"/>
    <x v="0"/>
    <n v="68.012570402999998"/>
    <m/>
    <x v="25"/>
    <x v="2"/>
    <x v="0"/>
    <x v="5"/>
    <x v="1"/>
  </r>
  <r>
    <s v="Singapore"/>
    <x v="5"/>
    <s v="SG4"/>
    <m/>
    <x v="1"/>
    <x v="0"/>
    <x v="0"/>
    <x v="1"/>
    <x v="0"/>
    <x v="0"/>
    <x v="0"/>
    <m/>
    <x v="0"/>
    <x v="0"/>
    <n v="60.103610631000002"/>
    <m/>
    <x v="25"/>
    <x v="1"/>
    <x v="0"/>
    <x v="3"/>
    <x v="0"/>
  </r>
  <r>
    <s v="Singapore"/>
    <x v="4"/>
    <s v="SG1"/>
    <m/>
    <x v="5"/>
    <x v="1"/>
    <x v="0"/>
    <x v="5"/>
    <x v="0"/>
    <x v="0"/>
    <x v="0"/>
    <m/>
    <x v="0"/>
    <x v="0"/>
    <n v="7.0105500000000003"/>
    <m/>
    <x v="25"/>
    <x v="1"/>
    <x v="0"/>
    <x v="3"/>
    <x v="1"/>
  </r>
  <r>
    <s v="Singapore"/>
    <x v="5"/>
    <s v="SG1"/>
    <m/>
    <x v="5"/>
    <x v="2"/>
    <x v="0"/>
    <x v="1"/>
    <x v="0"/>
    <x v="0"/>
    <x v="0"/>
    <m/>
    <x v="0"/>
    <x v="0"/>
    <n v="0.56084400000000001"/>
    <m/>
    <x v="25"/>
    <x v="1"/>
    <x v="0"/>
    <x v="3"/>
    <x v="1"/>
  </r>
  <r>
    <s v="Singapore"/>
    <x v="1"/>
    <s v="SG3"/>
    <m/>
    <x v="4"/>
    <x v="0"/>
    <x v="0"/>
    <x v="2"/>
    <x v="0"/>
    <x v="0"/>
    <x v="0"/>
    <m/>
    <x v="0"/>
    <x v="0"/>
    <n v="1.1777724000000001"/>
    <m/>
    <x v="25"/>
    <x v="3"/>
    <x v="0"/>
    <x v="3"/>
    <x v="1"/>
  </r>
  <r>
    <s v="Singapore"/>
    <x v="4"/>
    <s v="SG3"/>
    <m/>
    <x v="1"/>
    <x v="3"/>
    <x v="2"/>
    <x v="0"/>
    <x v="0"/>
    <x v="0"/>
    <x v="0"/>
    <m/>
    <x v="0"/>
    <x v="0"/>
    <n v="4.2063300000000003"/>
    <m/>
    <x v="25"/>
    <x v="3"/>
    <x v="0"/>
    <x v="3"/>
    <x v="1"/>
  </r>
  <r>
    <s v="Singapore"/>
    <x v="0"/>
    <s v="SG1"/>
    <m/>
    <x v="4"/>
    <x v="4"/>
    <x v="3"/>
    <x v="5"/>
    <x v="0"/>
    <x v="0"/>
    <x v="0"/>
    <m/>
    <x v="0"/>
    <x v="0"/>
    <n v="0.81010800000000005"/>
    <m/>
    <x v="25"/>
    <x v="2"/>
    <x v="0"/>
    <x v="2"/>
    <x v="2"/>
  </r>
  <r>
    <s v="Singapore"/>
    <x v="1"/>
    <s v="SG3"/>
    <m/>
    <x v="0"/>
    <x v="0"/>
    <x v="2"/>
    <x v="0"/>
    <x v="0"/>
    <x v="0"/>
    <x v="0"/>
    <m/>
    <x v="0"/>
    <x v="0"/>
    <n v="1.4410575000000001"/>
    <m/>
    <x v="25"/>
    <x v="3"/>
    <x v="0"/>
    <x v="5"/>
    <x v="1"/>
  </r>
  <r>
    <s v="Singapore"/>
    <x v="1"/>
    <s v="SG1"/>
    <m/>
    <x v="3"/>
    <x v="3"/>
    <x v="4"/>
    <x v="2"/>
    <x v="0"/>
    <x v="0"/>
    <x v="0"/>
    <m/>
    <x v="0"/>
    <x v="0"/>
    <n v="20.330595000000002"/>
    <m/>
    <x v="25"/>
    <x v="0"/>
    <x v="0"/>
    <x v="4"/>
    <x v="0"/>
  </r>
  <r>
    <s v="Singapore"/>
    <x v="5"/>
    <s v="SG3"/>
    <m/>
    <x v="4"/>
    <x v="3"/>
    <x v="3"/>
    <x v="5"/>
    <x v="0"/>
    <x v="0"/>
    <x v="0"/>
    <m/>
    <x v="0"/>
    <x v="0"/>
    <n v="1.853901"/>
    <m/>
    <x v="25"/>
    <x v="1"/>
    <x v="0"/>
    <x v="1"/>
    <x v="1"/>
  </r>
  <r>
    <s v="Singapore"/>
    <x v="2"/>
    <s v="SG3"/>
    <m/>
    <x v="5"/>
    <x v="3"/>
    <x v="4"/>
    <x v="5"/>
    <x v="0"/>
    <x v="0"/>
    <x v="0"/>
    <m/>
    <x v="0"/>
    <x v="0"/>
    <n v="5.9200200000000001E-2"/>
    <m/>
    <x v="25"/>
    <x v="2"/>
    <x v="0"/>
    <x v="1"/>
    <x v="1"/>
  </r>
  <r>
    <s v="Singapore"/>
    <x v="5"/>
    <s v="SG1"/>
    <m/>
    <x v="5"/>
    <x v="0"/>
    <x v="1"/>
    <x v="4"/>
    <x v="0"/>
    <x v="0"/>
    <x v="0"/>
    <m/>
    <x v="0"/>
    <x v="0"/>
    <n v="5.0631750000000002"/>
    <m/>
    <x v="25"/>
    <x v="2"/>
    <x v="0"/>
    <x v="1"/>
    <x v="2"/>
  </r>
  <r>
    <s v="Singapore"/>
    <x v="3"/>
    <s v="SG2"/>
    <m/>
    <x v="5"/>
    <x v="0"/>
    <x v="0"/>
    <x v="1"/>
    <x v="0"/>
    <x v="0"/>
    <x v="0"/>
    <m/>
    <x v="0"/>
    <x v="0"/>
    <n v="7.4000250000000003"/>
    <m/>
    <x v="25"/>
    <x v="3"/>
    <x v="0"/>
    <x v="4"/>
    <x v="2"/>
  </r>
  <r>
    <s v="Singapore"/>
    <x v="2"/>
    <s v="SG1"/>
    <m/>
    <x v="1"/>
    <x v="2"/>
    <x v="2"/>
    <x v="3"/>
    <x v="0"/>
    <x v="0"/>
    <x v="0"/>
    <m/>
    <x v="0"/>
    <x v="0"/>
    <n v="5.8732051050000003"/>
    <m/>
    <x v="25"/>
    <x v="0"/>
    <x v="0"/>
    <x v="3"/>
    <x v="0"/>
  </r>
  <r>
    <s v="Singapore"/>
    <x v="5"/>
    <s v="SG3"/>
    <m/>
    <x v="2"/>
    <x v="3"/>
    <x v="4"/>
    <x v="3"/>
    <x v="0"/>
    <x v="0"/>
    <x v="0"/>
    <m/>
    <x v="0"/>
    <x v="0"/>
    <n v="3.5675910000000002"/>
    <m/>
    <x v="25"/>
    <x v="3"/>
    <x v="0"/>
    <x v="2"/>
    <x v="0"/>
  </r>
  <r>
    <s v="Singapore"/>
    <x v="4"/>
    <s v="SG1"/>
    <m/>
    <x v="2"/>
    <x v="0"/>
    <x v="3"/>
    <x v="3"/>
    <x v="0"/>
    <x v="0"/>
    <x v="0"/>
    <m/>
    <x v="0"/>
    <x v="0"/>
    <n v="1.86948"/>
    <m/>
    <x v="25"/>
    <x v="1"/>
    <x v="0"/>
    <x v="1"/>
    <x v="1"/>
  </r>
  <r>
    <s v="Singapore"/>
    <x v="0"/>
    <s v="SG4"/>
    <m/>
    <x v="1"/>
    <x v="0"/>
    <x v="4"/>
    <x v="5"/>
    <x v="0"/>
    <x v="0"/>
    <x v="0"/>
    <m/>
    <x v="0"/>
    <x v="0"/>
    <n v="1.5890580000000001"/>
    <m/>
    <x v="25"/>
    <x v="2"/>
    <x v="0"/>
    <x v="0"/>
    <x v="1"/>
  </r>
  <r>
    <s v="Singapore"/>
    <x v="3"/>
    <s v="SG4"/>
    <m/>
    <x v="4"/>
    <x v="4"/>
    <x v="4"/>
    <x v="3"/>
    <x v="0"/>
    <x v="0"/>
    <x v="0"/>
    <m/>
    <x v="0"/>
    <x v="0"/>
    <n v="1.3084023150000001"/>
    <m/>
    <x v="26"/>
    <x v="3"/>
    <x v="0"/>
    <x v="3"/>
    <x v="0"/>
  </r>
  <r>
    <s v="Singapore"/>
    <x v="3"/>
    <s v="SG3"/>
    <m/>
    <x v="1"/>
    <x v="0"/>
    <x v="3"/>
    <x v="4"/>
    <x v="0"/>
    <x v="0"/>
    <x v="0"/>
    <m/>
    <x v="0"/>
    <x v="0"/>
    <n v="-26.074541142000001"/>
    <m/>
    <x v="27"/>
    <x v="0"/>
    <x v="0"/>
    <x v="5"/>
    <x v="2"/>
  </r>
  <r>
    <s v="Singapore"/>
    <x v="1"/>
    <s v="SG1"/>
    <m/>
    <x v="1"/>
    <x v="1"/>
    <x v="1"/>
    <x v="0"/>
    <x v="0"/>
    <x v="0"/>
    <x v="0"/>
    <m/>
    <x v="0"/>
    <x v="0"/>
    <n v="14.003526888"/>
    <m/>
    <x v="27"/>
    <x v="3"/>
    <x v="0"/>
    <x v="3"/>
    <x v="2"/>
  </r>
  <r>
    <s v="Singapore"/>
    <x v="5"/>
    <s v="SG1"/>
    <m/>
    <x v="5"/>
    <x v="4"/>
    <x v="2"/>
    <x v="1"/>
    <x v="0"/>
    <x v="0"/>
    <x v="0"/>
    <m/>
    <x v="0"/>
    <x v="0"/>
    <n v="10.821749823000001"/>
    <m/>
    <x v="27"/>
    <x v="3"/>
    <x v="0"/>
    <x v="2"/>
    <x v="2"/>
  </r>
  <r>
    <s v="Singapore"/>
    <x v="4"/>
    <s v="SG3"/>
    <m/>
    <x v="0"/>
    <x v="3"/>
    <x v="4"/>
    <x v="0"/>
    <x v="0"/>
    <x v="0"/>
    <x v="0"/>
    <m/>
    <x v="0"/>
    <x v="0"/>
    <n v="5.4570121200000008"/>
    <m/>
    <x v="27"/>
    <x v="2"/>
    <x v="0"/>
    <x v="1"/>
    <x v="0"/>
  </r>
  <r>
    <s v="Singapore"/>
    <x v="4"/>
    <s v="SG3"/>
    <m/>
    <x v="0"/>
    <x v="3"/>
    <x v="1"/>
    <x v="5"/>
    <x v="0"/>
    <x v="0"/>
    <x v="0"/>
    <m/>
    <x v="0"/>
    <x v="0"/>
    <n v="17.915850000000002"/>
    <m/>
    <x v="27"/>
    <x v="2"/>
    <x v="0"/>
    <x v="3"/>
    <x v="2"/>
  </r>
  <r>
    <s v="Singapore"/>
    <x v="0"/>
    <s v="SG3"/>
    <m/>
    <x v="0"/>
    <x v="2"/>
    <x v="4"/>
    <x v="4"/>
    <x v="0"/>
    <x v="0"/>
    <x v="0"/>
    <m/>
    <x v="0"/>
    <x v="0"/>
    <n v="77.212219167000015"/>
    <m/>
    <x v="27"/>
    <x v="2"/>
    <x v="0"/>
    <x v="5"/>
    <x v="0"/>
  </r>
  <r>
    <s v="Singapore"/>
    <x v="1"/>
    <s v="SG4"/>
    <m/>
    <x v="2"/>
    <x v="1"/>
    <x v="0"/>
    <x v="4"/>
    <x v="0"/>
    <x v="0"/>
    <x v="0"/>
    <m/>
    <x v="0"/>
    <x v="0"/>
    <n v="13.67041671"/>
    <m/>
    <x v="27"/>
    <x v="0"/>
    <x v="0"/>
    <x v="5"/>
    <x v="0"/>
  </r>
  <r>
    <s v="Singapore"/>
    <x v="3"/>
    <s v="SG1"/>
    <m/>
    <x v="2"/>
    <x v="3"/>
    <x v="4"/>
    <x v="3"/>
    <x v="0"/>
    <x v="0"/>
    <x v="0"/>
    <m/>
    <x v="0"/>
    <x v="0"/>
    <n v="21.262499622"/>
    <m/>
    <x v="27"/>
    <x v="2"/>
    <x v="0"/>
    <x v="0"/>
    <x v="1"/>
  </r>
  <r>
    <s v="Singapore"/>
    <x v="3"/>
    <s v="SG4"/>
    <m/>
    <x v="3"/>
    <x v="2"/>
    <x v="1"/>
    <x v="5"/>
    <x v="0"/>
    <x v="0"/>
    <x v="0"/>
    <m/>
    <x v="0"/>
    <x v="0"/>
    <n v="3.660270471"/>
    <m/>
    <x v="27"/>
    <x v="0"/>
    <x v="0"/>
    <x v="2"/>
    <x v="1"/>
  </r>
  <r>
    <s v="Singapore"/>
    <x v="3"/>
    <s v="SG2"/>
    <m/>
    <x v="4"/>
    <x v="1"/>
    <x v="0"/>
    <x v="1"/>
    <x v="0"/>
    <x v="0"/>
    <x v="0"/>
    <m/>
    <x v="0"/>
    <x v="0"/>
    <n v="58.359993372000005"/>
    <m/>
    <x v="27"/>
    <x v="1"/>
    <x v="0"/>
    <x v="1"/>
    <x v="1"/>
  </r>
  <r>
    <s v="Singapore"/>
    <x v="4"/>
    <s v="SG3"/>
    <m/>
    <x v="5"/>
    <x v="1"/>
    <x v="1"/>
    <x v="1"/>
    <x v="0"/>
    <x v="0"/>
    <x v="0"/>
    <m/>
    <x v="0"/>
    <x v="0"/>
    <n v="45.917778285000004"/>
    <m/>
    <x v="27"/>
    <x v="0"/>
    <x v="0"/>
    <x v="1"/>
    <x v="1"/>
  </r>
  <r>
    <s v="Singapore"/>
    <x v="1"/>
    <s v="SG2"/>
    <m/>
    <x v="5"/>
    <x v="4"/>
    <x v="3"/>
    <x v="0"/>
    <x v="0"/>
    <x v="0"/>
    <x v="0"/>
    <m/>
    <x v="0"/>
    <x v="0"/>
    <n v="0.7078474440000001"/>
    <m/>
    <x v="27"/>
    <x v="3"/>
    <x v="0"/>
    <x v="3"/>
    <x v="1"/>
  </r>
  <r>
    <s v="Singapore"/>
    <x v="3"/>
    <s v="SG2"/>
    <m/>
    <x v="3"/>
    <x v="0"/>
    <x v="1"/>
    <x v="1"/>
    <x v="0"/>
    <x v="0"/>
    <x v="0"/>
    <m/>
    <x v="0"/>
    <x v="0"/>
    <n v="13.777444440000002"/>
    <m/>
    <x v="27"/>
    <x v="0"/>
    <x v="0"/>
    <x v="1"/>
    <x v="1"/>
  </r>
  <r>
    <s v="Singapore"/>
    <x v="3"/>
    <s v="SG1"/>
    <m/>
    <x v="2"/>
    <x v="1"/>
    <x v="3"/>
    <x v="2"/>
    <x v="0"/>
    <x v="0"/>
    <x v="0"/>
    <m/>
    <x v="0"/>
    <x v="0"/>
    <n v="8.9988510330000011"/>
    <m/>
    <x v="27"/>
    <x v="2"/>
    <x v="0"/>
    <x v="1"/>
    <x v="1"/>
  </r>
  <r>
    <s v="Singapore"/>
    <x v="0"/>
    <s v="SG1"/>
    <m/>
    <x v="5"/>
    <x v="1"/>
    <x v="0"/>
    <x v="4"/>
    <x v="0"/>
    <x v="0"/>
    <x v="0"/>
    <m/>
    <x v="0"/>
    <x v="0"/>
    <n v="28.237887819000001"/>
    <m/>
    <x v="27"/>
    <x v="3"/>
    <x v="0"/>
    <x v="5"/>
    <x v="1"/>
  </r>
  <r>
    <s v="Singapore"/>
    <x v="1"/>
    <s v="SG1"/>
    <m/>
    <x v="1"/>
    <x v="1"/>
    <x v="2"/>
    <x v="2"/>
    <x v="0"/>
    <x v="0"/>
    <x v="0"/>
    <m/>
    <x v="0"/>
    <x v="0"/>
    <n v="4.4938248659999998"/>
    <m/>
    <x v="27"/>
    <x v="0"/>
    <x v="0"/>
    <x v="0"/>
    <x v="2"/>
  </r>
  <r>
    <s v="Singapore"/>
    <x v="5"/>
    <s v="SG2"/>
    <m/>
    <x v="0"/>
    <x v="3"/>
    <x v="4"/>
    <x v="1"/>
    <x v="0"/>
    <x v="0"/>
    <x v="0"/>
    <m/>
    <x v="0"/>
    <x v="0"/>
    <n v="6.0004387980000002"/>
    <m/>
    <x v="27"/>
    <x v="3"/>
    <x v="0"/>
    <x v="3"/>
    <x v="2"/>
  </r>
  <r>
    <s v="Singapore"/>
    <x v="1"/>
    <s v="SG3"/>
    <m/>
    <x v="1"/>
    <x v="2"/>
    <x v="3"/>
    <x v="3"/>
    <x v="0"/>
    <x v="0"/>
    <x v="0"/>
    <m/>
    <x v="0"/>
    <x v="0"/>
    <n v="1.7136900000000002"/>
    <m/>
    <x v="27"/>
    <x v="0"/>
    <x v="0"/>
    <x v="3"/>
    <x v="2"/>
  </r>
  <r>
    <s v="Singapore"/>
    <x v="4"/>
    <s v="SG3"/>
    <m/>
    <x v="2"/>
    <x v="1"/>
    <x v="3"/>
    <x v="2"/>
    <x v="0"/>
    <x v="0"/>
    <x v="0"/>
    <m/>
    <x v="0"/>
    <x v="0"/>
    <n v="0.93474000000000002"/>
    <m/>
    <x v="27"/>
    <x v="3"/>
    <x v="0"/>
    <x v="2"/>
    <x v="0"/>
  </r>
  <r>
    <s v="Singapore"/>
    <x v="5"/>
    <s v="SG3"/>
    <m/>
    <x v="5"/>
    <x v="0"/>
    <x v="4"/>
    <x v="5"/>
    <x v="0"/>
    <x v="0"/>
    <x v="0"/>
    <m/>
    <x v="0"/>
    <x v="0"/>
    <n v="0.77895000000000003"/>
    <m/>
    <x v="27"/>
    <x v="0"/>
    <x v="0"/>
    <x v="3"/>
    <x v="2"/>
  </r>
  <r>
    <s v="Singapore"/>
    <x v="2"/>
    <s v="SG1"/>
    <m/>
    <x v="4"/>
    <x v="0"/>
    <x v="4"/>
    <x v="5"/>
    <x v="0"/>
    <x v="0"/>
    <x v="0"/>
    <m/>
    <x v="0"/>
    <x v="0"/>
    <n v="1.5579000000000001"/>
    <m/>
    <x v="27"/>
    <x v="3"/>
    <x v="0"/>
    <x v="2"/>
    <x v="0"/>
  </r>
  <r>
    <s v="Singapore"/>
    <x v="1"/>
    <s v="SG2"/>
    <m/>
    <x v="2"/>
    <x v="2"/>
    <x v="2"/>
    <x v="4"/>
    <x v="0"/>
    <x v="0"/>
    <x v="0"/>
    <m/>
    <x v="0"/>
    <x v="0"/>
    <n v="1.5579000000000001"/>
    <m/>
    <x v="27"/>
    <x v="1"/>
    <x v="0"/>
    <x v="3"/>
    <x v="0"/>
  </r>
  <r>
    <s v="Singapore"/>
    <x v="3"/>
    <s v="SG4"/>
    <m/>
    <x v="5"/>
    <x v="3"/>
    <x v="3"/>
    <x v="1"/>
    <x v="0"/>
    <x v="0"/>
    <x v="0"/>
    <m/>
    <x v="0"/>
    <x v="0"/>
    <n v="0.31158000000000002"/>
    <m/>
    <x v="27"/>
    <x v="1"/>
    <x v="0"/>
    <x v="1"/>
    <x v="1"/>
  </r>
  <r>
    <s v="Singapore"/>
    <x v="0"/>
    <s v="SG3"/>
    <m/>
    <x v="5"/>
    <x v="3"/>
    <x v="1"/>
    <x v="1"/>
    <x v="0"/>
    <x v="0"/>
    <x v="0"/>
    <m/>
    <x v="0"/>
    <x v="0"/>
    <n v="3.1158000000000001"/>
    <m/>
    <x v="27"/>
    <x v="3"/>
    <x v="0"/>
    <x v="5"/>
    <x v="2"/>
  </r>
  <r>
    <s v="Singapore"/>
    <x v="5"/>
    <s v="SG1"/>
    <m/>
    <x v="0"/>
    <x v="0"/>
    <x v="4"/>
    <x v="1"/>
    <x v="0"/>
    <x v="0"/>
    <x v="0"/>
    <m/>
    <x v="0"/>
    <x v="0"/>
    <n v="2.3368500000000001"/>
    <m/>
    <x v="27"/>
    <x v="0"/>
    <x v="0"/>
    <x v="1"/>
    <x v="0"/>
  </r>
  <r>
    <s v="Singapore"/>
    <x v="1"/>
    <s v="SG2"/>
    <m/>
    <x v="2"/>
    <x v="3"/>
    <x v="3"/>
    <x v="5"/>
    <x v="0"/>
    <x v="0"/>
    <x v="0"/>
    <m/>
    <x v="0"/>
    <x v="0"/>
    <n v="3.8947500000000003E-2"/>
    <m/>
    <x v="27"/>
    <x v="1"/>
    <x v="0"/>
    <x v="1"/>
    <x v="2"/>
  </r>
  <r>
    <s v="Singapore"/>
    <x v="4"/>
    <s v="SG1"/>
    <m/>
    <x v="1"/>
    <x v="3"/>
    <x v="3"/>
    <x v="5"/>
    <x v="0"/>
    <x v="0"/>
    <x v="0"/>
    <m/>
    <x v="0"/>
    <x v="0"/>
    <n v="1.2463200000000001"/>
    <m/>
    <x v="27"/>
    <x v="0"/>
    <x v="0"/>
    <x v="2"/>
    <x v="2"/>
  </r>
  <r>
    <s v="Singapore"/>
    <x v="3"/>
    <s v="SG2"/>
    <m/>
    <x v="5"/>
    <x v="3"/>
    <x v="0"/>
    <x v="1"/>
    <x v="0"/>
    <x v="0"/>
    <x v="0"/>
    <m/>
    <x v="0"/>
    <x v="0"/>
    <n v="0.46737000000000001"/>
    <m/>
    <x v="27"/>
    <x v="3"/>
    <x v="0"/>
    <x v="2"/>
    <x v="0"/>
  </r>
  <r>
    <s v="Singapore"/>
    <x v="1"/>
    <s v="SG1"/>
    <m/>
    <x v="1"/>
    <x v="4"/>
    <x v="3"/>
    <x v="5"/>
    <x v="0"/>
    <x v="0"/>
    <x v="0"/>
    <m/>
    <x v="0"/>
    <x v="0"/>
    <n v="1.5579000000000001"/>
    <m/>
    <x v="27"/>
    <x v="1"/>
    <x v="0"/>
    <x v="5"/>
    <x v="0"/>
  </r>
  <r>
    <s v="Singapore"/>
    <x v="0"/>
    <s v="SG2"/>
    <m/>
    <x v="4"/>
    <x v="3"/>
    <x v="2"/>
    <x v="2"/>
    <x v="0"/>
    <x v="0"/>
    <x v="0"/>
    <m/>
    <x v="0"/>
    <x v="0"/>
    <n v="0.31158000000000002"/>
    <m/>
    <x v="27"/>
    <x v="1"/>
    <x v="0"/>
    <x v="4"/>
    <x v="0"/>
  </r>
  <r>
    <s v="Singapore"/>
    <x v="4"/>
    <s v="SG3"/>
    <m/>
    <x v="0"/>
    <x v="2"/>
    <x v="3"/>
    <x v="3"/>
    <x v="0"/>
    <x v="0"/>
    <x v="0"/>
    <m/>
    <x v="0"/>
    <x v="0"/>
    <n v="35.744893812000001"/>
    <m/>
    <x v="27"/>
    <x v="0"/>
    <x v="0"/>
    <x v="0"/>
    <x v="0"/>
  </r>
  <r>
    <s v="Singapore"/>
    <x v="5"/>
    <s v="SG3"/>
    <m/>
    <x v="5"/>
    <x v="2"/>
    <x v="0"/>
    <x v="3"/>
    <x v="0"/>
    <x v="0"/>
    <x v="0"/>
    <m/>
    <x v="0"/>
    <x v="0"/>
    <n v="-2.513406807"/>
    <m/>
    <x v="27"/>
    <x v="1"/>
    <x v="0"/>
    <x v="5"/>
    <x v="1"/>
  </r>
  <r>
    <s v="Singapore"/>
    <x v="2"/>
    <s v="SG2"/>
    <m/>
    <x v="4"/>
    <x v="0"/>
    <x v="1"/>
    <x v="3"/>
    <x v="0"/>
    <x v="0"/>
    <x v="0"/>
    <m/>
    <x v="0"/>
    <x v="0"/>
    <n v="-0.30706209000000001"/>
    <m/>
    <x v="27"/>
    <x v="2"/>
    <x v="0"/>
    <x v="2"/>
    <x v="1"/>
  </r>
  <r>
    <s v="Singapore"/>
    <x v="5"/>
    <s v="SG3"/>
    <m/>
    <x v="2"/>
    <x v="4"/>
    <x v="3"/>
    <x v="1"/>
    <x v="0"/>
    <x v="0"/>
    <x v="0"/>
    <m/>
    <x v="0"/>
    <x v="0"/>
    <n v="10.020537432000001"/>
    <m/>
    <x v="27"/>
    <x v="3"/>
    <x v="0"/>
    <x v="0"/>
    <x v="1"/>
  </r>
  <r>
    <s v="Singapore"/>
    <x v="0"/>
    <s v="SG1"/>
    <m/>
    <x v="1"/>
    <x v="2"/>
    <x v="4"/>
    <x v="1"/>
    <x v="0"/>
    <x v="0"/>
    <x v="0"/>
    <m/>
    <x v="0"/>
    <x v="0"/>
    <n v="21.031650000000003"/>
    <m/>
    <x v="27"/>
    <x v="1"/>
    <x v="0"/>
    <x v="2"/>
    <x v="1"/>
  </r>
  <r>
    <s v="Singapore"/>
    <x v="5"/>
    <s v="SG4"/>
    <m/>
    <x v="5"/>
    <x v="0"/>
    <x v="1"/>
    <x v="4"/>
    <x v="0"/>
    <x v="0"/>
    <x v="0"/>
    <m/>
    <x v="0"/>
    <x v="0"/>
    <n v="16.825320000000001"/>
    <m/>
    <x v="27"/>
    <x v="1"/>
    <x v="0"/>
    <x v="5"/>
    <x v="1"/>
  </r>
  <r>
    <s v="Singapore"/>
    <x v="1"/>
    <s v="SG3"/>
    <m/>
    <x v="0"/>
    <x v="2"/>
    <x v="2"/>
    <x v="4"/>
    <x v="0"/>
    <x v="0"/>
    <x v="0"/>
    <m/>
    <x v="0"/>
    <x v="0"/>
    <n v="0.40723505999999998"/>
    <m/>
    <x v="12"/>
    <x v="3"/>
    <x v="0"/>
    <x v="5"/>
    <x v="1"/>
  </r>
  <r>
    <s v="Singapore"/>
    <x v="2"/>
    <s v="SG4"/>
    <m/>
    <x v="3"/>
    <x v="4"/>
    <x v="1"/>
    <x v="4"/>
    <x v="0"/>
    <x v="0"/>
    <x v="0"/>
    <m/>
    <x v="0"/>
    <x v="0"/>
    <n v="0.14433943500000002"/>
    <m/>
    <x v="12"/>
    <x v="1"/>
    <x v="0"/>
    <x v="3"/>
    <x v="0"/>
  </r>
  <r>
    <s v="Singapore"/>
    <x v="1"/>
    <s v="SG1"/>
    <m/>
    <x v="3"/>
    <x v="3"/>
    <x v="2"/>
    <x v="0"/>
    <x v="0"/>
    <x v="0"/>
    <x v="0"/>
    <m/>
    <x v="0"/>
    <x v="0"/>
    <n v="-2.9150645850000001"/>
    <m/>
    <x v="12"/>
    <x v="0"/>
    <x v="0"/>
    <x v="2"/>
    <x v="2"/>
  </r>
  <r>
    <s v="Singapore"/>
    <x v="2"/>
    <s v="SG4"/>
    <m/>
    <x v="1"/>
    <x v="3"/>
    <x v="0"/>
    <x v="0"/>
    <x v="0"/>
    <x v="0"/>
    <x v="0"/>
    <m/>
    <x v="0"/>
    <x v="0"/>
    <n v="8.9657144999999994E-2"/>
    <m/>
    <x v="12"/>
    <x v="2"/>
    <x v="0"/>
    <x v="1"/>
    <x v="2"/>
  </r>
  <r>
    <s v="Singapore"/>
    <x v="1"/>
    <s v="SG3"/>
    <m/>
    <x v="2"/>
    <x v="3"/>
    <x v="4"/>
    <x v="4"/>
    <x v="0"/>
    <x v="0"/>
    <x v="0"/>
    <m/>
    <x v="0"/>
    <x v="0"/>
    <n v="19.941120000000002"/>
    <m/>
    <x v="12"/>
    <x v="1"/>
    <x v="0"/>
    <x v="2"/>
    <x v="2"/>
  </r>
  <r>
    <s v="Singapore"/>
    <x v="1"/>
    <s v="SG2"/>
    <m/>
    <x v="5"/>
    <x v="0"/>
    <x v="3"/>
    <x v="1"/>
    <x v="0"/>
    <x v="0"/>
    <x v="0"/>
    <m/>
    <x v="0"/>
    <x v="0"/>
    <n v="7.3610775000000004"/>
    <m/>
    <x v="12"/>
    <x v="1"/>
    <x v="0"/>
    <x v="1"/>
    <x v="1"/>
  </r>
  <r>
    <s v="Singapore"/>
    <x v="5"/>
    <s v="SG2"/>
    <m/>
    <x v="2"/>
    <x v="3"/>
    <x v="2"/>
    <x v="0"/>
    <x v="0"/>
    <x v="0"/>
    <x v="0"/>
    <m/>
    <x v="0"/>
    <x v="0"/>
    <n v="-134.69307399000002"/>
    <m/>
    <x v="12"/>
    <x v="3"/>
    <x v="0"/>
    <x v="5"/>
    <x v="2"/>
  </r>
  <r>
    <s v="Singapore"/>
    <x v="1"/>
    <s v="SG2"/>
    <m/>
    <x v="5"/>
    <x v="0"/>
    <x v="4"/>
    <x v="1"/>
    <x v="0"/>
    <x v="0"/>
    <x v="0"/>
    <m/>
    <x v="0"/>
    <x v="0"/>
    <n v="4.5802260000000006"/>
    <m/>
    <x v="12"/>
    <x v="0"/>
    <x v="0"/>
    <x v="0"/>
    <x v="0"/>
  </r>
  <r>
    <s v="Singapore"/>
    <x v="2"/>
    <s v="SG1"/>
    <m/>
    <x v="5"/>
    <x v="0"/>
    <x v="4"/>
    <x v="1"/>
    <x v="0"/>
    <x v="0"/>
    <x v="0"/>
    <m/>
    <x v="0"/>
    <x v="0"/>
    <n v="186.67857677399999"/>
    <m/>
    <x v="12"/>
    <x v="2"/>
    <x v="0"/>
    <x v="4"/>
    <x v="0"/>
  </r>
  <r>
    <s v="Singapore"/>
    <x v="3"/>
    <s v="SG3"/>
    <m/>
    <x v="2"/>
    <x v="1"/>
    <x v="1"/>
    <x v="3"/>
    <x v="0"/>
    <x v="0"/>
    <x v="0"/>
    <m/>
    <x v="0"/>
    <x v="0"/>
    <n v="1.6617651930000001"/>
    <m/>
    <x v="12"/>
    <x v="1"/>
    <x v="0"/>
    <x v="2"/>
    <x v="2"/>
  </r>
  <r>
    <s v="Singapore"/>
    <x v="5"/>
    <s v="SG3"/>
    <m/>
    <x v="2"/>
    <x v="3"/>
    <x v="2"/>
    <x v="0"/>
    <x v="0"/>
    <x v="0"/>
    <x v="0"/>
    <m/>
    <x v="0"/>
    <x v="0"/>
    <n v="0.61342312500000007"/>
    <m/>
    <x v="12"/>
    <x v="2"/>
    <x v="0"/>
    <x v="3"/>
    <x v="1"/>
  </r>
  <r>
    <s v="Singapore"/>
    <x v="1"/>
    <s v="SG1"/>
    <m/>
    <x v="1"/>
    <x v="1"/>
    <x v="1"/>
    <x v="4"/>
    <x v="0"/>
    <x v="0"/>
    <x v="0"/>
    <m/>
    <x v="0"/>
    <x v="0"/>
    <n v="0.38168550000000001"/>
    <m/>
    <x v="12"/>
    <x v="2"/>
    <x v="0"/>
    <x v="3"/>
    <x v="1"/>
  </r>
  <r>
    <s v="Singapore"/>
    <x v="5"/>
    <s v="SG2"/>
    <m/>
    <x v="5"/>
    <x v="2"/>
    <x v="3"/>
    <x v="5"/>
    <x v="0"/>
    <x v="0"/>
    <x v="0"/>
    <m/>
    <x v="0"/>
    <x v="0"/>
    <n v="2.8083795930000002"/>
    <m/>
    <x v="12"/>
    <x v="2"/>
    <x v="0"/>
    <x v="4"/>
    <x v="1"/>
  </r>
  <r>
    <s v="Singapore"/>
    <x v="3"/>
    <s v="SG2"/>
    <m/>
    <x v="5"/>
    <x v="4"/>
    <x v="3"/>
    <x v="1"/>
    <x v="0"/>
    <x v="0"/>
    <x v="0"/>
    <m/>
    <x v="0"/>
    <x v="0"/>
    <n v="1.0409732010000001"/>
    <m/>
    <x v="12"/>
    <x v="1"/>
    <x v="0"/>
    <x v="4"/>
    <x v="0"/>
  </r>
  <r>
    <s v="Singapore"/>
    <x v="0"/>
    <s v="SG1"/>
    <m/>
    <x v="3"/>
    <x v="4"/>
    <x v="1"/>
    <x v="1"/>
    <x v="0"/>
    <x v="0"/>
    <x v="0"/>
    <m/>
    <x v="0"/>
    <x v="0"/>
    <n v="-17.387721900000003"/>
    <m/>
    <x v="12"/>
    <x v="2"/>
    <x v="0"/>
    <x v="5"/>
    <x v="2"/>
  </r>
  <r>
    <s v="Singapore"/>
    <x v="5"/>
    <s v="SG4"/>
    <m/>
    <x v="1"/>
    <x v="4"/>
    <x v="1"/>
    <x v="5"/>
    <x v="0"/>
    <x v="0"/>
    <x v="0"/>
    <m/>
    <x v="0"/>
    <x v="0"/>
    <n v="0.64629481500000008"/>
    <m/>
    <x v="12"/>
    <x v="3"/>
    <x v="0"/>
    <x v="0"/>
    <x v="0"/>
  </r>
  <r>
    <s v="Singapore"/>
    <x v="1"/>
    <s v="SG3"/>
    <m/>
    <x v="2"/>
    <x v="1"/>
    <x v="3"/>
    <x v="0"/>
    <x v="0"/>
    <x v="0"/>
    <x v="0"/>
    <m/>
    <x v="0"/>
    <x v="0"/>
    <n v="1.85436837"/>
    <m/>
    <x v="12"/>
    <x v="0"/>
    <x v="0"/>
    <x v="1"/>
    <x v="1"/>
  </r>
  <r>
    <s v="Singapore"/>
    <x v="5"/>
    <s v="SG3"/>
    <m/>
    <x v="1"/>
    <x v="1"/>
    <x v="1"/>
    <x v="3"/>
    <x v="0"/>
    <x v="0"/>
    <x v="0"/>
    <m/>
    <x v="0"/>
    <x v="0"/>
    <n v="0.19824277500000001"/>
    <m/>
    <x v="12"/>
    <x v="2"/>
    <x v="0"/>
    <x v="0"/>
    <x v="0"/>
  </r>
  <r>
    <s v="Singapore"/>
    <x v="0"/>
    <s v="SG4"/>
    <m/>
    <x v="1"/>
    <x v="1"/>
    <x v="1"/>
    <x v="3"/>
    <x v="0"/>
    <x v="0"/>
    <x v="0"/>
    <m/>
    <x v="0"/>
    <x v="0"/>
    <n v="-21.116010285000002"/>
    <m/>
    <x v="12"/>
    <x v="1"/>
    <x v="0"/>
    <x v="4"/>
    <x v="1"/>
  </r>
  <r>
    <s v="Singapore"/>
    <x v="0"/>
    <s v="SG4"/>
    <m/>
    <x v="5"/>
    <x v="4"/>
    <x v="2"/>
    <x v="0"/>
    <x v="0"/>
    <x v="0"/>
    <x v="0"/>
    <m/>
    <x v="0"/>
    <x v="0"/>
    <n v="4.5802259999999997E-2"/>
    <m/>
    <x v="12"/>
    <x v="2"/>
    <x v="0"/>
    <x v="1"/>
    <x v="0"/>
  </r>
  <r>
    <s v="Singapore"/>
    <x v="1"/>
    <s v="SG3"/>
    <m/>
    <x v="3"/>
    <x v="0"/>
    <x v="4"/>
    <x v="4"/>
    <x v="0"/>
    <x v="0"/>
    <x v="0"/>
    <m/>
    <x v="0"/>
    <x v="0"/>
    <n v="3.7015704"/>
    <m/>
    <x v="9"/>
    <x v="0"/>
    <x v="0"/>
    <x v="4"/>
    <x v="1"/>
  </r>
  <r>
    <s v="Singapore"/>
    <x v="4"/>
    <s v="SG1"/>
    <m/>
    <x v="3"/>
    <x v="0"/>
    <x v="3"/>
    <x v="2"/>
    <x v="0"/>
    <x v="0"/>
    <x v="0"/>
    <m/>
    <x v="0"/>
    <x v="0"/>
    <n v="0.133901505"/>
    <m/>
    <x v="5"/>
    <x v="0"/>
    <x v="0"/>
    <x v="0"/>
    <x v="0"/>
  </r>
  <r>
    <s v="Singapore"/>
    <x v="1"/>
    <s v="SG1"/>
    <m/>
    <x v="5"/>
    <x v="0"/>
    <x v="3"/>
    <x v="0"/>
    <x v="0"/>
    <x v="0"/>
    <x v="0"/>
    <m/>
    <x v="0"/>
    <x v="0"/>
    <n v="-129.379591197"/>
    <m/>
    <x v="5"/>
    <x v="0"/>
    <x v="0"/>
    <x v="2"/>
    <x v="2"/>
  </r>
  <r>
    <s v="Singapore"/>
    <x v="4"/>
    <s v="SG4"/>
    <m/>
    <x v="5"/>
    <x v="4"/>
    <x v="4"/>
    <x v="1"/>
    <x v="0"/>
    <x v="0"/>
    <x v="0"/>
    <m/>
    <x v="0"/>
    <x v="0"/>
    <n v="129.379591197"/>
    <m/>
    <x v="5"/>
    <x v="0"/>
    <x v="0"/>
    <x v="1"/>
    <x v="2"/>
  </r>
  <r>
    <s v="Singapore"/>
    <x v="4"/>
    <s v="SG4"/>
    <m/>
    <x v="2"/>
    <x v="4"/>
    <x v="4"/>
    <x v="3"/>
    <x v="0"/>
    <x v="0"/>
    <x v="0"/>
    <m/>
    <x v="0"/>
    <x v="0"/>
    <n v="-4.6737000000000002"/>
    <m/>
    <x v="5"/>
    <x v="0"/>
    <x v="0"/>
    <x v="3"/>
    <x v="0"/>
  </r>
  <r>
    <s v="Singapore"/>
    <x v="4"/>
    <s v="SG1"/>
    <m/>
    <x v="4"/>
    <x v="3"/>
    <x v="1"/>
    <x v="0"/>
    <x v="0"/>
    <x v="0"/>
    <x v="0"/>
    <m/>
    <x v="0"/>
    <x v="0"/>
    <n v="2.5175664000000002"/>
    <m/>
    <x v="8"/>
    <x v="2"/>
    <x v="0"/>
    <x v="5"/>
    <x v="0"/>
  </r>
  <r>
    <s v="Singapore"/>
    <x v="5"/>
    <s v="SG1"/>
    <m/>
    <x v="1"/>
    <x v="3"/>
    <x v="1"/>
    <x v="2"/>
    <x v="0"/>
    <x v="0"/>
    <x v="0"/>
    <m/>
    <x v="0"/>
    <x v="0"/>
    <n v="-173.01266239500001"/>
    <m/>
    <x v="16"/>
    <x v="3"/>
    <x v="0"/>
    <x v="2"/>
    <x v="1"/>
  </r>
  <r>
    <s v="Singapore"/>
    <x v="3"/>
    <s v="SG4"/>
    <m/>
    <x v="0"/>
    <x v="4"/>
    <x v="2"/>
    <x v="1"/>
    <x v="0"/>
    <x v="0"/>
    <x v="0"/>
    <m/>
    <x v="0"/>
    <x v="0"/>
    <n v="-94.388798879999996"/>
    <m/>
    <x v="16"/>
    <x v="2"/>
    <x v="0"/>
    <x v="3"/>
    <x v="2"/>
  </r>
  <r>
    <s v="Singapore"/>
    <x v="4"/>
    <s v="SG1"/>
    <m/>
    <x v="2"/>
    <x v="1"/>
    <x v="1"/>
    <x v="4"/>
    <x v="0"/>
    <x v="0"/>
    <x v="0"/>
    <m/>
    <x v="0"/>
    <x v="0"/>
    <n v="-60.180851313000005"/>
    <m/>
    <x v="16"/>
    <x v="3"/>
    <x v="0"/>
    <x v="5"/>
    <x v="0"/>
  </r>
  <r>
    <s v="Singapore"/>
    <x v="5"/>
    <s v="SG1"/>
    <m/>
    <x v="5"/>
    <x v="0"/>
    <x v="4"/>
    <x v="1"/>
    <x v="0"/>
    <x v="0"/>
    <x v="0"/>
    <m/>
    <x v="0"/>
    <x v="0"/>
    <n v="-40.472481573000003"/>
    <m/>
    <x v="16"/>
    <x v="1"/>
    <x v="0"/>
    <x v="4"/>
    <x v="1"/>
  </r>
  <r>
    <s v="Singapore"/>
    <x v="5"/>
    <s v="SG3"/>
    <m/>
    <x v="2"/>
    <x v="2"/>
    <x v="2"/>
    <x v="0"/>
    <x v="0"/>
    <x v="0"/>
    <x v="0"/>
    <m/>
    <x v="0"/>
    <x v="0"/>
    <n v="-7.3738211220000007"/>
    <m/>
    <x v="16"/>
    <x v="0"/>
    <x v="0"/>
    <x v="2"/>
    <x v="1"/>
  </r>
  <r>
    <s v="Singapore"/>
    <x v="4"/>
    <s v="SG3"/>
    <m/>
    <x v="4"/>
    <x v="1"/>
    <x v="3"/>
    <x v="2"/>
    <x v="0"/>
    <x v="0"/>
    <x v="0"/>
    <m/>
    <x v="0"/>
    <x v="0"/>
    <n v="-19.811191140000002"/>
    <m/>
    <x v="16"/>
    <x v="0"/>
    <x v="0"/>
    <x v="5"/>
    <x v="0"/>
  </r>
  <r>
    <s v="Singapore"/>
    <x v="1"/>
    <s v="SG1"/>
    <m/>
    <x v="3"/>
    <x v="2"/>
    <x v="0"/>
    <x v="1"/>
    <x v="0"/>
    <x v="0"/>
    <x v="0"/>
    <m/>
    <x v="0"/>
    <x v="0"/>
    <n v="-166.925136987"/>
    <m/>
    <x v="16"/>
    <x v="2"/>
    <x v="0"/>
    <x v="4"/>
    <x v="2"/>
  </r>
  <r>
    <s v="Singapore"/>
    <x v="4"/>
    <s v="SG4"/>
    <m/>
    <x v="4"/>
    <x v="4"/>
    <x v="0"/>
    <x v="2"/>
    <x v="0"/>
    <x v="0"/>
    <x v="0"/>
    <m/>
    <x v="0"/>
    <x v="0"/>
    <n v="-38.367369197999999"/>
    <m/>
    <x v="16"/>
    <x v="1"/>
    <x v="0"/>
    <x v="3"/>
    <x v="1"/>
  </r>
  <r>
    <s v="Singapore"/>
    <x v="5"/>
    <s v="SG4"/>
    <m/>
    <x v="1"/>
    <x v="4"/>
    <x v="2"/>
    <x v="5"/>
    <x v="0"/>
    <x v="0"/>
    <x v="0"/>
    <m/>
    <x v="0"/>
    <x v="0"/>
    <n v="-50.201847495000003"/>
    <m/>
    <x v="16"/>
    <x v="0"/>
    <x v="0"/>
    <x v="5"/>
    <x v="1"/>
  </r>
  <r>
    <s v="Singapore"/>
    <x v="3"/>
    <s v="SG3"/>
    <m/>
    <x v="0"/>
    <x v="0"/>
    <x v="1"/>
    <x v="5"/>
    <x v="0"/>
    <x v="0"/>
    <x v="0"/>
    <m/>
    <x v="0"/>
    <x v="0"/>
    <n v="-328.02891578100002"/>
    <m/>
    <x v="16"/>
    <x v="3"/>
    <x v="0"/>
    <x v="1"/>
    <x v="2"/>
  </r>
  <r>
    <s v="Singapore"/>
    <x v="5"/>
    <s v="SG2"/>
    <m/>
    <x v="4"/>
    <x v="0"/>
    <x v="3"/>
    <x v="3"/>
    <x v="0"/>
    <x v="0"/>
    <x v="0"/>
    <m/>
    <x v="0"/>
    <x v="0"/>
    <n v="0.323871831"/>
    <m/>
    <x v="18"/>
    <x v="2"/>
    <x v="0"/>
    <x v="1"/>
    <x v="2"/>
  </r>
  <r>
    <s v="Singapore"/>
    <x v="0"/>
    <s v="SG1"/>
    <m/>
    <x v="4"/>
    <x v="3"/>
    <x v="1"/>
    <x v="5"/>
    <x v="0"/>
    <x v="0"/>
    <x v="0"/>
    <m/>
    <x v="0"/>
    <x v="0"/>
    <n v="0.18892653300000001"/>
    <m/>
    <x v="18"/>
    <x v="3"/>
    <x v="0"/>
    <x v="5"/>
    <x v="2"/>
  </r>
  <r>
    <s v="Singapore"/>
    <x v="1"/>
    <s v="SG1"/>
    <m/>
    <x v="0"/>
    <x v="3"/>
    <x v="3"/>
    <x v="0"/>
    <x v="0"/>
    <x v="0"/>
    <x v="0"/>
    <m/>
    <x v="0"/>
    <x v="0"/>
    <n v="2.6998406999999999E-2"/>
    <m/>
    <x v="18"/>
    <x v="2"/>
    <x v="0"/>
    <x v="3"/>
    <x v="1"/>
  </r>
  <r>
    <s v="Singapore"/>
    <x v="0"/>
    <s v="SG4"/>
    <m/>
    <x v="0"/>
    <x v="4"/>
    <x v="3"/>
    <x v="5"/>
    <x v="0"/>
    <x v="0"/>
    <x v="0"/>
    <m/>
    <x v="0"/>
    <x v="0"/>
    <n v="0.31158000000000002"/>
    <m/>
    <x v="18"/>
    <x v="3"/>
    <x v="0"/>
    <x v="2"/>
    <x v="0"/>
  </r>
  <r>
    <s v="Singapore"/>
    <x v="2"/>
    <s v="SG1"/>
    <m/>
    <x v="1"/>
    <x v="0"/>
    <x v="0"/>
    <x v="3"/>
    <x v="0"/>
    <x v="0"/>
    <x v="0"/>
    <m/>
    <x v="0"/>
    <x v="0"/>
    <n v="0.75520760399999998"/>
    <m/>
    <x v="18"/>
    <x v="2"/>
    <x v="0"/>
    <x v="5"/>
    <x v="2"/>
  </r>
  <r>
    <s v="Singapore"/>
    <x v="1"/>
    <s v="SG2"/>
    <m/>
    <x v="2"/>
    <x v="3"/>
    <x v="4"/>
    <x v="4"/>
    <x v="0"/>
    <x v="0"/>
    <x v="0"/>
    <m/>
    <x v="0"/>
    <x v="0"/>
    <n v="3.0597156000000004E-2"/>
    <m/>
    <x v="18"/>
    <x v="3"/>
    <x v="0"/>
    <x v="1"/>
    <x v="2"/>
  </r>
  <r>
    <s v="Singapore"/>
    <x v="1"/>
    <s v="SG4"/>
    <m/>
    <x v="2"/>
    <x v="2"/>
    <x v="3"/>
    <x v="4"/>
    <x v="0"/>
    <x v="0"/>
    <x v="0"/>
    <m/>
    <x v="0"/>
    <x v="0"/>
    <n v="0.275389983"/>
    <m/>
    <x v="18"/>
    <x v="2"/>
    <x v="0"/>
    <x v="5"/>
    <x v="0"/>
  </r>
  <r>
    <s v="Singapore"/>
    <x v="4"/>
    <s v="SG4"/>
    <m/>
    <x v="1"/>
    <x v="4"/>
    <x v="1"/>
    <x v="1"/>
    <x v="0"/>
    <x v="0"/>
    <x v="0"/>
    <m/>
    <x v="0"/>
    <x v="0"/>
    <n v="2.274035472"/>
    <m/>
    <x v="18"/>
    <x v="2"/>
    <x v="0"/>
    <x v="2"/>
    <x v="0"/>
  </r>
  <r>
    <s v="Singapore"/>
    <x v="4"/>
    <s v="SG2"/>
    <m/>
    <x v="0"/>
    <x v="3"/>
    <x v="3"/>
    <x v="3"/>
    <x v="0"/>
    <x v="0"/>
    <x v="0"/>
    <m/>
    <x v="0"/>
    <x v="0"/>
    <n v="0.62566821900000003"/>
    <m/>
    <x v="18"/>
    <x v="0"/>
    <x v="0"/>
    <x v="0"/>
    <x v="1"/>
  </r>
  <r>
    <s v="Singapore"/>
    <x v="1"/>
    <s v="SG2"/>
    <m/>
    <x v="5"/>
    <x v="1"/>
    <x v="4"/>
    <x v="2"/>
    <x v="0"/>
    <x v="0"/>
    <x v="0"/>
    <m/>
    <x v="0"/>
    <x v="0"/>
    <n v="6.1194312000000008E-2"/>
    <m/>
    <x v="18"/>
    <x v="2"/>
    <x v="0"/>
    <x v="3"/>
    <x v="0"/>
  </r>
  <r>
    <s v="Singapore"/>
    <x v="2"/>
    <s v="SG3"/>
    <m/>
    <x v="2"/>
    <x v="3"/>
    <x v="1"/>
    <x v="2"/>
    <x v="0"/>
    <x v="0"/>
    <x v="0"/>
    <m/>
    <x v="0"/>
    <x v="0"/>
    <n v="0.77895000000000003"/>
    <m/>
    <x v="18"/>
    <x v="2"/>
    <x v="0"/>
    <x v="2"/>
    <x v="1"/>
  </r>
  <r>
    <s v="Singapore"/>
    <x v="1"/>
    <s v="SG3"/>
    <m/>
    <x v="3"/>
    <x v="1"/>
    <x v="3"/>
    <x v="5"/>
    <x v="0"/>
    <x v="0"/>
    <x v="0"/>
    <m/>
    <x v="0"/>
    <x v="0"/>
    <n v="6.1194312000000008E-2"/>
    <m/>
    <x v="18"/>
    <x v="1"/>
    <x v="0"/>
    <x v="0"/>
    <x v="2"/>
  </r>
  <r>
    <s v="Singapore"/>
    <x v="0"/>
    <s v="SG1"/>
    <m/>
    <x v="4"/>
    <x v="4"/>
    <x v="2"/>
    <x v="0"/>
    <x v="0"/>
    <x v="0"/>
    <x v="0"/>
    <m/>
    <x v="0"/>
    <x v="0"/>
    <n v="-10.627043481000001"/>
    <m/>
    <x v="28"/>
    <x v="2"/>
    <x v="0"/>
    <x v="0"/>
    <x v="2"/>
  </r>
  <r>
    <s v="Singapore"/>
    <x v="4"/>
    <s v="SG2"/>
    <m/>
    <x v="2"/>
    <x v="4"/>
    <x v="0"/>
    <x v="1"/>
    <x v="0"/>
    <x v="0"/>
    <x v="0"/>
    <m/>
    <x v="0"/>
    <x v="0"/>
    <n v="-4.8157960590000002"/>
    <m/>
    <x v="28"/>
    <x v="3"/>
    <x v="0"/>
    <x v="4"/>
    <x v="1"/>
  </r>
  <r>
    <s v="Singapore"/>
    <x v="1"/>
    <s v="SG1"/>
    <m/>
    <x v="5"/>
    <x v="4"/>
    <x v="2"/>
    <x v="3"/>
    <x v="0"/>
    <x v="0"/>
    <x v="0"/>
    <m/>
    <x v="0"/>
    <x v="0"/>
    <n v="-6.9482340000000002E-3"/>
    <m/>
    <x v="28"/>
    <x v="3"/>
    <x v="0"/>
    <x v="3"/>
    <x v="1"/>
  </r>
  <r>
    <s v="Singapore"/>
    <x v="1"/>
    <s v="SG4"/>
    <m/>
    <x v="1"/>
    <x v="4"/>
    <x v="4"/>
    <x v="0"/>
    <x v="0"/>
    <x v="0"/>
    <x v="0"/>
    <m/>
    <x v="0"/>
    <x v="0"/>
    <n v="1.1724755400000002"/>
    <m/>
    <x v="28"/>
    <x v="3"/>
    <x v="0"/>
    <x v="1"/>
    <x v="0"/>
  </r>
  <r>
    <s v="Singapore"/>
    <x v="3"/>
    <s v="SG1"/>
    <m/>
    <x v="0"/>
    <x v="4"/>
    <x v="2"/>
    <x v="4"/>
    <x v="0"/>
    <x v="0"/>
    <x v="0"/>
    <m/>
    <x v="0"/>
    <x v="0"/>
    <n v="0.95368406400000005"/>
    <m/>
    <x v="28"/>
    <x v="2"/>
    <x v="0"/>
    <x v="1"/>
    <x v="2"/>
  </r>
  <r>
    <s v="Singapore"/>
    <x v="3"/>
    <s v="SG1"/>
    <m/>
    <x v="2"/>
    <x v="0"/>
    <x v="4"/>
    <x v="1"/>
    <x v="0"/>
    <x v="0"/>
    <x v="0"/>
    <m/>
    <x v="0"/>
    <x v="0"/>
    <n v="5.5532903400000002"/>
    <m/>
    <x v="21"/>
    <x v="0"/>
    <x v="0"/>
    <x v="4"/>
    <x v="2"/>
  </r>
  <r>
    <s v="Singapore"/>
    <x v="5"/>
    <s v="SG4"/>
    <m/>
    <x v="2"/>
    <x v="2"/>
    <x v="1"/>
    <x v="1"/>
    <x v="0"/>
    <x v="0"/>
    <x v="0"/>
    <m/>
    <x v="0"/>
    <x v="0"/>
    <n v="0.55461240000000001"/>
    <m/>
    <x v="21"/>
    <x v="0"/>
    <x v="0"/>
    <x v="0"/>
    <x v="0"/>
  </r>
  <r>
    <s v="Singapore"/>
    <x v="5"/>
    <s v="SG3"/>
    <m/>
    <x v="0"/>
    <x v="1"/>
    <x v="2"/>
    <x v="1"/>
    <x v="0"/>
    <x v="0"/>
    <x v="0"/>
    <m/>
    <x v="0"/>
    <x v="0"/>
    <n v="0.34896959999999999"/>
    <m/>
    <x v="21"/>
    <x v="1"/>
    <x v="0"/>
    <x v="2"/>
    <x v="1"/>
  </r>
  <r>
    <s v="Singapore"/>
    <x v="1"/>
    <s v="SG1"/>
    <m/>
    <x v="2"/>
    <x v="0"/>
    <x v="0"/>
    <x v="0"/>
    <x v="0"/>
    <x v="0"/>
    <x v="0"/>
    <m/>
    <x v="0"/>
    <x v="0"/>
    <n v="0.96589800000000003"/>
    <m/>
    <x v="21"/>
    <x v="2"/>
    <x v="0"/>
    <x v="3"/>
    <x v="0"/>
  </r>
  <r>
    <s v="Singapore"/>
    <x v="1"/>
    <s v="SG1"/>
    <m/>
    <x v="2"/>
    <x v="1"/>
    <x v="0"/>
    <x v="4"/>
    <x v="0"/>
    <x v="0"/>
    <x v="0"/>
    <m/>
    <x v="0"/>
    <x v="0"/>
    <n v="0.41128560000000003"/>
    <m/>
    <x v="21"/>
    <x v="1"/>
    <x v="0"/>
    <x v="3"/>
    <x v="1"/>
  </r>
  <r>
    <s v="Singapore"/>
    <x v="2"/>
    <s v="SG3"/>
    <m/>
    <x v="5"/>
    <x v="3"/>
    <x v="3"/>
    <x v="1"/>
    <x v="0"/>
    <x v="0"/>
    <x v="0"/>
    <m/>
    <x v="0"/>
    <x v="0"/>
    <n v="12.209823144"/>
    <m/>
    <x v="15"/>
    <x v="3"/>
    <x v="0"/>
    <x v="0"/>
    <x v="2"/>
  </r>
  <r>
    <s v="Singapore"/>
    <x v="0"/>
    <s v="SG4"/>
    <m/>
    <x v="0"/>
    <x v="1"/>
    <x v="2"/>
    <x v="4"/>
    <x v="0"/>
    <x v="0"/>
    <x v="0"/>
    <m/>
    <x v="0"/>
    <x v="0"/>
    <n v="3.1437487260000001"/>
    <m/>
    <x v="15"/>
    <x v="3"/>
    <x v="0"/>
    <x v="4"/>
    <x v="2"/>
  </r>
  <r>
    <s v="Singapore"/>
    <x v="1"/>
    <s v="SG2"/>
    <m/>
    <x v="0"/>
    <x v="4"/>
    <x v="0"/>
    <x v="0"/>
    <x v="0"/>
    <x v="0"/>
    <x v="0"/>
    <m/>
    <x v="0"/>
    <x v="0"/>
    <n v="0.47129590799999999"/>
    <m/>
    <x v="29"/>
    <x v="2"/>
    <x v="0"/>
    <x v="0"/>
    <x v="0"/>
  </r>
  <r>
    <s v="Singapore"/>
    <x v="3"/>
    <s v="SG1"/>
    <m/>
    <x v="3"/>
    <x v="2"/>
    <x v="4"/>
    <x v="1"/>
    <x v="0"/>
    <x v="0"/>
    <x v="0"/>
    <m/>
    <x v="0"/>
    <x v="0"/>
    <n v="0.92595344400000013"/>
    <m/>
    <x v="29"/>
    <x v="3"/>
    <x v="0"/>
    <x v="3"/>
    <x v="2"/>
  </r>
  <r>
    <s v="Singapore"/>
    <x v="1"/>
    <s v="SG3"/>
    <m/>
    <x v="2"/>
    <x v="3"/>
    <x v="0"/>
    <x v="3"/>
    <x v="0"/>
    <x v="0"/>
    <x v="0"/>
    <m/>
    <x v="0"/>
    <x v="0"/>
    <n v="0.13718867400000001"/>
    <m/>
    <x v="29"/>
    <x v="3"/>
    <x v="0"/>
    <x v="2"/>
    <x v="0"/>
  </r>
  <r>
    <s v="Singapore"/>
    <x v="0"/>
    <s v="SG4"/>
    <m/>
    <x v="0"/>
    <x v="4"/>
    <x v="0"/>
    <x v="4"/>
    <x v="0"/>
    <x v="0"/>
    <x v="0"/>
    <m/>
    <x v="0"/>
    <x v="0"/>
    <n v="0.76799796300000012"/>
    <m/>
    <x v="29"/>
    <x v="0"/>
    <x v="0"/>
    <x v="1"/>
    <x v="0"/>
  </r>
  <r>
    <s v="Singapore"/>
    <x v="2"/>
    <s v="SG4"/>
    <m/>
    <x v="1"/>
    <x v="0"/>
    <x v="3"/>
    <x v="5"/>
    <x v="0"/>
    <x v="0"/>
    <x v="0"/>
    <m/>
    <x v="0"/>
    <x v="0"/>
    <n v="0.20545585199999999"/>
    <m/>
    <x v="29"/>
    <x v="2"/>
    <x v="0"/>
    <x v="1"/>
    <x v="0"/>
  </r>
  <r>
    <s v="Singapore"/>
    <x v="1"/>
    <s v="SG4"/>
    <m/>
    <x v="0"/>
    <x v="1"/>
    <x v="2"/>
    <x v="2"/>
    <x v="0"/>
    <x v="0"/>
    <x v="0"/>
    <m/>
    <x v="0"/>
    <x v="0"/>
    <n v="5.2968600000000002E-4"/>
    <m/>
    <x v="29"/>
    <x v="3"/>
    <x v="0"/>
    <x v="0"/>
    <x v="0"/>
  </r>
  <r>
    <s v="Singapore"/>
    <x v="1"/>
    <s v="SG2"/>
    <m/>
    <x v="4"/>
    <x v="3"/>
    <x v="2"/>
    <x v="5"/>
    <x v="0"/>
    <x v="0"/>
    <x v="0"/>
    <m/>
    <x v="0"/>
    <x v="0"/>
    <n v="0.793796787"/>
    <m/>
    <x v="29"/>
    <x v="3"/>
    <x v="0"/>
    <x v="4"/>
    <x v="2"/>
  </r>
  <r>
    <s v="Singapore"/>
    <x v="2"/>
    <s v="SG3"/>
    <m/>
    <x v="3"/>
    <x v="1"/>
    <x v="2"/>
    <x v="1"/>
    <x v="0"/>
    <x v="0"/>
    <x v="0"/>
    <m/>
    <x v="0"/>
    <x v="0"/>
    <n v="9.3474000000000007E-5"/>
    <m/>
    <x v="29"/>
    <x v="1"/>
    <x v="0"/>
    <x v="4"/>
    <x v="2"/>
  </r>
  <r>
    <s v="Singapore"/>
    <x v="4"/>
    <s v="SG3"/>
    <m/>
    <x v="5"/>
    <x v="4"/>
    <x v="0"/>
    <x v="1"/>
    <x v="0"/>
    <x v="0"/>
    <x v="0"/>
    <m/>
    <x v="0"/>
    <x v="0"/>
    <n v="1.3081374720000001"/>
    <m/>
    <x v="29"/>
    <x v="3"/>
    <x v="0"/>
    <x v="0"/>
    <x v="0"/>
  </r>
  <r>
    <s v="Singapore"/>
    <x v="5"/>
    <s v="SG2"/>
    <m/>
    <x v="0"/>
    <x v="2"/>
    <x v="4"/>
    <x v="5"/>
    <x v="0"/>
    <x v="0"/>
    <x v="0"/>
    <m/>
    <x v="0"/>
    <x v="0"/>
    <n v="0.40422831300000006"/>
    <m/>
    <x v="29"/>
    <x v="1"/>
    <x v="0"/>
    <x v="4"/>
    <x v="0"/>
  </r>
  <r>
    <s v="Singapore"/>
    <x v="1"/>
    <s v="SG3"/>
    <m/>
    <x v="5"/>
    <x v="0"/>
    <x v="3"/>
    <x v="3"/>
    <x v="0"/>
    <x v="0"/>
    <x v="0"/>
    <m/>
    <x v="0"/>
    <x v="0"/>
    <n v="4.9988493090000006"/>
    <m/>
    <x v="29"/>
    <x v="1"/>
    <x v="0"/>
    <x v="5"/>
    <x v="2"/>
  </r>
  <r>
    <s v="Singapore"/>
    <x v="5"/>
    <s v="SG2"/>
    <m/>
    <x v="0"/>
    <x v="1"/>
    <x v="1"/>
    <x v="1"/>
    <x v="0"/>
    <x v="0"/>
    <x v="0"/>
    <m/>
    <x v="0"/>
    <x v="0"/>
    <n v="1.6579016010000003"/>
    <m/>
    <x v="29"/>
    <x v="2"/>
    <x v="0"/>
    <x v="0"/>
    <x v="0"/>
  </r>
  <r>
    <s v="Singapore"/>
    <x v="4"/>
    <s v="SG2"/>
    <m/>
    <x v="3"/>
    <x v="4"/>
    <x v="0"/>
    <x v="0"/>
    <x v="0"/>
    <x v="0"/>
    <x v="0"/>
    <m/>
    <x v="0"/>
    <x v="0"/>
    <n v="0.19360023300000001"/>
    <m/>
    <x v="29"/>
    <x v="0"/>
    <x v="0"/>
    <x v="0"/>
    <x v="1"/>
  </r>
  <r>
    <s v="Singapore"/>
    <x v="1"/>
    <s v="SG3"/>
    <m/>
    <x v="3"/>
    <x v="4"/>
    <x v="4"/>
    <x v="5"/>
    <x v="0"/>
    <x v="0"/>
    <x v="0"/>
    <m/>
    <x v="0"/>
    <x v="0"/>
    <n v="0.7368399630000001"/>
    <m/>
    <x v="29"/>
    <x v="1"/>
    <x v="0"/>
    <x v="0"/>
    <x v="0"/>
  </r>
  <r>
    <s v="Singapore"/>
    <x v="1"/>
    <s v="SG1"/>
    <m/>
    <x v="5"/>
    <x v="2"/>
    <x v="4"/>
    <x v="1"/>
    <x v="0"/>
    <x v="0"/>
    <x v="0"/>
    <m/>
    <x v="0"/>
    <x v="0"/>
    <n v="1.6035153120000001"/>
    <m/>
    <x v="29"/>
    <x v="3"/>
    <x v="0"/>
    <x v="1"/>
    <x v="0"/>
  </r>
  <r>
    <s v="Singapore"/>
    <x v="4"/>
    <s v="SG1"/>
    <m/>
    <x v="0"/>
    <x v="2"/>
    <x v="3"/>
    <x v="0"/>
    <x v="0"/>
    <x v="0"/>
    <x v="0"/>
    <m/>
    <x v="0"/>
    <x v="0"/>
    <n v="5.1566490000000001E-3"/>
    <m/>
    <x v="29"/>
    <x v="2"/>
    <x v="0"/>
    <x v="4"/>
    <x v="0"/>
  </r>
  <r>
    <s v="Singapore"/>
    <x v="5"/>
    <s v="SG1"/>
    <m/>
    <x v="4"/>
    <x v="2"/>
    <x v="0"/>
    <x v="0"/>
    <x v="0"/>
    <x v="0"/>
    <x v="0"/>
    <m/>
    <x v="0"/>
    <x v="0"/>
    <n v="0.13438445400000001"/>
    <m/>
    <x v="29"/>
    <x v="2"/>
    <x v="0"/>
    <x v="0"/>
    <x v="2"/>
  </r>
  <r>
    <s v="Singapore"/>
    <x v="5"/>
    <s v="SG1"/>
    <m/>
    <x v="5"/>
    <x v="4"/>
    <x v="3"/>
    <x v="2"/>
    <x v="0"/>
    <x v="0"/>
    <x v="0"/>
    <m/>
    <x v="0"/>
    <x v="0"/>
    <n v="9.4216806720000008"/>
    <m/>
    <x v="22"/>
    <x v="3"/>
    <x v="0"/>
    <x v="4"/>
    <x v="1"/>
  </r>
  <r>
    <s v="Singapore"/>
    <x v="0"/>
    <s v="SG4"/>
    <m/>
    <x v="0"/>
    <x v="2"/>
    <x v="4"/>
    <x v="2"/>
    <x v="0"/>
    <x v="0"/>
    <x v="0"/>
    <m/>
    <x v="0"/>
    <x v="0"/>
    <n v="109.84444435800002"/>
    <m/>
    <x v="22"/>
    <x v="3"/>
    <x v="0"/>
    <x v="3"/>
    <x v="0"/>
  </r>
  <r>
    <s v="Singapore"/>
    <x v="5"/>
    <s v="SG1"/>
    <m/>
    <x v="0"/>
    <x v="1"/>
    <x v="3"/>
    <x v="4"/>
    <x v="0"/>
    <x v="0"/>
    <x v="0"/>
    <m/>
    <x v="0"/>
    <x v="0"/>
    <n v="6.6971316779999999"/>
    <m/>
    <x v="22"/>
    <x v="3"/>
    <x v="0"/>
    <x v="0"/>
    <x v="0"/>
  </r>
  <r>
    <s v="Singapore"/>
    <x v="3"/>
    <s v="SG1"/>
    <m/>
    <x v="0"/>
    <x v="4"/>
    <x v="3"/>
    <x v="4"/>
    <x v="0"/>
    <x v="0"/>
    <x v="0"/>
    <m/>
    <x v="0"/>
    <x v="0"/>
    <n v="87.318659205000003"/>
    <m/>
    <x v="22"/>
    <x v="0"/>
    <x v="0"/>
    <x v="5"/>
    <x v="0"/>
  </r>
  <r>
    <s v="Singapore"/>
    <x v="3"/>
    <s v="SG4"/>
    <m/>
    <x v="2"/>
    <x v="1"/>
    <x v="0"/>
    <x v="5"/>
    <x v="0"/>
    <x v="0"/>
    <x v="0"/>
    <m/>
    <x v="0"/>
    <x v="0"/>
    <n v="0.23782901400000001"/>
    <m/>
    <x v="22"/>
    <x v="1"/>
    <x v="0"/>
    <x v="2"/>
    <x v="1"/>
  </r>
  <r>
    <s v="Singapore"/>
    <x v="3"/>
    <s v="SG2"/>
    <m/>
    <x v="3"/>
    <x v="4"/>
    <x v="4"/>
    <x v="3"/>
    <x v="0"/>
    <x v="0"/>
    <x v="0"/>
    <m/>
    <x v="0"/>
    <x v="0"/>
    <n v="12.942706041000003"/>
    <m/>
    <x v="22"/>
    <x v="2"/>
    <x v="0"/>
    <x v="5"/>
    <x v="0"/>
  </r>
  <r>
    <s v="Singapore"/>
    <x v="3"/>
    <s v="SG4"/>
    <m/>
    <x v="0"/>
    <x v="4"/>
    <x v="0"/>
    <x v="0"/>
    <x v="0"/>
    <x v="0"/>
    <x v="0"/>
    <m/>
    <x v="0"/>
    <x v="0"/>
    <n v="20.080115838000001"/>
    <m/>
    <x v="22"/>
    <x v="3"/>
    <x v="0"/>
    <x v="5"/>
    <x v="0"/>
  </r>
  <r>
    <s v="Singapore"/>
    <x v="2"/>
    <s v="SG1"/>
    <m/>
    <x v="2"/>
    <x v="3"/>
    <x v="2"/>
    <x v="3"/>
    <x v="0"/>
    <x v="0"/>
    <x v="0"/>
    <m/>
    <x v="0"/>
    <x v="0"/>
    <n v="9.4264790040000008"/>
    <m/>
    <x v="22"/>
    <x v="0"/>
    <x v="0"/>
    <x v="0"/>
    <x v="2"/>
  </r>
  <r>
    <s v="Singapore"/>
    <x v="2"/>
    <s v="SG2"/>
    <m/>
    <x v="1"/>
    <x v="3"/>
    <x v="2"/>
    <x v="4"/>
    <x v="0"/>
    <x v="0"/>
    <x v="0"/>
    <m/>
    <x v="0"/>
    <x v="0"/>
    <n v="24.054957476999999"/>
    <m/>
    <x v="22"/>
    <x v="1"/>
    <x v="0"/>
    <x v="4"/>
    <x v="2"/>
  </r>
  <r>
    <s v="Singapore"/>
    <x v="3"/>
    <s v="SG4"/>
    <m/>
    <x v="3"/>
    <x v="1"/>
    <x v="4"/>
    <x v="1"/>
    <x v="0"/>
    <x v="0"/>
    <x v="0"/>
    <m/>
    <x v="0"/>
    <x v="0"/>
    <n v="24.662522898000002"/>
    <m/>
    <x v="22"/>
    <x v="3"/>
    <x v="0"/>
    <x v="2"/>
    <x v="2"/>
  </r>
  <r>
    <s v="Singapore"/>
    <x v="3"/>
    <s v="SG4"/>
    <m/>
    <x v="3"/>
    <x v="4"/>
    <x v="4"/>
    <x v="2"/>
    <x v="0"/>
    <x v="0"/>
    <x v="0"/>
    <m/>
    <x v="0"/>
    <x v="0"/>
    <n v="35.216422974000004"/>
    <m/>
    <x v="22"/>
    <x v="1"/>
    <x v="0"/>
    <x v="3"/>
    <x v="0"/>
  </r>
  <r>
    <s v="Singapore"/>
    <x v="0"/>
    <s v="SG4"/>
    <m/>
    <x v="1"/>
    <x v="4"/>
    <x v="3"/>
    <x v="0"/>
    <x v="0"/>
    <x v="0"/>
    <x v="0"/>
    <m/>
    <x v="0"/>
    <x v="0"/>
    <n v="37.985450013000005"/>
    <m/>
    <x v="22"/>
    <x v="3"/>
    <x v="0"/>
    <x v="5"/>
    <x v="0"/>
  </r>
  <r>
    <s v="Singapore"/>
    <x v="3"/>
    <s v="SG2"/>
    <m/>
    <x v="5"/>
    <x v="0"/>
    <x v="3"/>
    <x v="4"/>
    <x v="0"/>
    <x v="0"/>
    <x v="0"/>
    <m/>
    <x v="0"/>
    <x v="0"/>
    <n v="1.535528556"/>
    <m/>
    <x v="22"/>
    <x v="3"/>
    <x v="0"/>
    <x v="1"/>
    <x v="0"/>
  </r>
  <r>
    <s v="Singapore"/>
    <x v="3"/>
    <s v="SG4"/>
    <m/>
    <x v="0"/>
    <x v="3"/>
    <x v="1"/>
    <x v="5"/>
    <x v="0"/>
    <x v="0"/>
    <x v="0"/>
    <m/>
    <x v="0"/>
    <x v="0"/>
    <n v="36.197977869000006"/>
    <m/>
    <x v="22"/>
    <x v="0"/>
    <x v="0"/>
    <x v="1"/>
    <x v="2"/>
  </r>
  <r>
    <s v="Singapore"/>
    <x v="3"/>
    <s v="SG3"/>
    <m/>
    <x v="2"/>
    <x v="2"/>
    <x v="4"/>
    <x v="5"/>
    <x v="0"/>
    <x v="0"/>
    <x v="0"/>
    <m/>
    <x v="0"/>
    <x v="0"/>
    <n v="106.70923292400001"/>
    <m/>
    <x v="22"/>
    <x v="2"/>
    <x v="0"/>
    <x v="0"/>
    <x v="0"/>
  </r>
  <r>
    <s v="Singapore"/>
    <x v="1"/>
    <s v="SG3"/>
    <m/>
    <x v="3"/>
    <x v="0"/>
    <x v="3"/>
    <x v="1"/>
    <x v="0"/>
    <x v="0"/>
    <x v="0"/>
    <m/>
    <x v="0"/>
    <x v="0"/>
    <n v="0.28909950299999998"/>
    <m/>
    <x v="22"/>
    <x v="1"/>
    <x v="0"/>
    <x v="1"/>
    <x v="1"/>
  </r>
  <r>
    <s v="Singapore"/>
    <x v="0"/>
    <s v="SG4"/>
    <m/>
    <x v="2"/>
    <x v="0"/>
    <x v="1"/>
    <x v="1"/>
    <x v="0"/>
    <x v="0"/>
    <x v="0"/>
    <m/>
    <x v="0"/>
    <x v="0"/>
    <n v="4.3761411E-2"/>
    <m/>
    <x v="22"/>
    <x v="2"/>
    <x v="0"/>
    <x v="2"/>
    <x v="0"/>
  </r>
  <r>
    <s v="Singapore"/>
    <x v="4"/>
    <s v="SG3"/>
    <m/>
    <x v="1"/>
    <x v="1"/>
    <x v="4"/>
    <x v="3"/>
    <x v="0"/>
    <x v="0"/>
    <x v="0"/>
    <m/>
    <x v="0"/>
    <x v="0"/>
    <n v="26.678772657000003"/>
    <m/>
    <x v="22"/>
    <x v="0"/>
    <x v="0"/>
    <x v="3"/>
    <x v="1"/>
  </r>
  <r>
    <s v="Singapore"/>
    <x v="2"/>
    <s v="SG4"/>
    <m/>
    <x v="0"/>
    <x v="3"/>
    <x v="0"/>
    <x v="5"/>
    <x v="0"/>
    <x v="0"/>
    <x v="0"/>
    <m/>
    <x v="0"/>
    <x v="0"/>
    <n v="31.20707385"/>
    <m/>
    <x v="22"/>
    <x v="0"/>
    <x v="0"/>
    <x v="0"/>
    <x v="0"/>
  </r>
  <r>
    <s v="Singapore"/>
    <x v="3"/>
    <s v="SG3"/>
    <m/>
    <x v="0"/>
    <x v="1"/>
    <x v="2"/>
    <x v="4"/>
    <x v="0"/>
    <x v="0"/>
    <x v="0"/>
    <m/>
    <x v="0"/>
    <x v="0"/>
    <n v="0.20071983600000001"/>
    <m/>
    <x v="22"/>
    <x v="1"/>
    <x v="0"/>
    <x v="0"/>
    <x v="0"/>
  </r>
  <r>
    <s v="Singapore"/>
    <x v="4"/>
    <s v="SG2"/>
    <m/>
    <x v="3"/>
    <x v="1"/>
    <x v="2"/>
    <x v="5"/>
    <x v="0"/>
    <x v="0"/>
    <x v="0"/>
    <m/>
    <x v="0"/>
    <x v="0"/>
    <n v="52.002437157000003"/>
    <m/>
    <x v="22"/>
    <x v="3"/>
    <x v="0"/>
    <x v="0"/>
    <x v="0"/>
  </r>
  <r>
    <s v="Singapore"/>
    <x v="5"/>
    <s v="SG3"/>
    <m/>
    <x v="5"/>
    <x v="2"/>
    <x v="2"/>
    <x v="1"/>
    <x v="0"/>
    <x v="0"/>
    <x v="0"/>
    <m/>
    <x v="0"/>
    <x v="0"/>
    <n v="1.8791389800000002"/>
    <m/>
    <x v="22"/>
    <x v="2"/>
    <x v="0"/>
    <x v="5"/>
    <x v="1"/>
  </r>
  <r>
    <s v="Singapore"/>
    <x v="2"/>
    <s v="SG1"/>
    <m/>
    <x v="1"/>
    <x v="1"/>
    <x v="2"/>
    <x v="5"/>
    <x v="0"/>
    <x v="0"/>
    <x v="0"/>
    <m/>
    <x v="0"/>
    <x v="0"/>
    <n v="1.6990768979999999"/>
    <m/>
    <x v="23"/>
    <x v="0"/>
    <x v="0"/>
    <x v="2"/>
    <x v="0"/>
  </r>
  <r>
    <s v="Singapore"/>
    <x v="1"/>
    <s v="SG3"/>
    <m/>
    <x v="5"/>
    <x v="1"/>
    <x v="2"/>
    <x v="2"/>
    <x v="0"/>
    <x v="0"/>
    <x v="0"/>
    <m/>
    <x v="0"/>
    <x v="0"/>
    <n v="0.20875860000000002"/>
    <m/>
    <x v="23"/>
    <x v="2"/>
    <x v="0"/>
    <x v="0"/>
    <x v="1"/>
  </r>
  <r>
    <s v="Singapore"/>
    <x v="2"/>
    <s v="SG2"/>
    <m/>
    <x v="3"/>
    <x v="3"/>
    <x v="0"/>
    <x v="3"/>
    <x v="0"/>
    <x v="0"/>
    <x v="0"/>
    <m/>
    <x v="0"/>
    <x v="0"/>
    <n v="0.18828779400000001"/>
    <m/>
    <x v="23"/>
    <x v="2"/>
    <x v="0"/>
    <x v="0"/>
    <x v="2"/>
  </r>
  <r>
    <s v="Singapore"/>
    <x v="4"/>
    <s v="SG3"/>
    <m/>
    <x v="3"/>
    <x v="3"/>
    <x v="1"/>
    <x v="0"/>
    <x v="0"/>
    <x v="0"/>
    <x v="0"/>
    <m/>
    <x v="0"/>
    <x v="0"/>
    <n v="4.7749634999999999E-2"/>
    <m/>
    <x v="24"/>
    <x v="3"/>
    <x v="0"/>
    <x v="5"/>
    <x v="2"/>
  </r>
  <r>
    <s v="Singapore"/>
    <x v="0"/>
    <s v="SG2"/>
    <m/>
    <x v="5"/>
    <x v="2"/>
    <x v="0"/>
    <x v="0"/>
    <x v="0"/>
    <x v="0"/>
    <x v="0"/>
    <m/>
    <x v="0"/>
    <x v="0"/>
    <n v="0.97795614600000003"/>
    <m/>
    <x v="24"/>
    <x v="2"/>
    <x v="0"/>
    <x v="5"/>
    <x v="2"/>
  </r>
  <r>
    <s v="Singapore"/>
    <x v="5"/>
    <s v="SG1"/>
    <m/>
    <x v="0"/>
    <x v="2"/>
    <x v="1"/>
    <x v="5"/>
    <x v="0"/>
    <x v="0"/>
    <x v="0"/>
    <m/>
    <x v="0"/>
    <x v="0"/>
    <n v="7.3112247000000005E-2"/>
    <m/>
    <x v="24"/>
    <x v="0"/>
    <x v="0"/>
    <x v="4"/>
    <x v="0"/>
  </r>
  <r>
    <s v="Singapore"/>
    <x v="2"/>
    <s v="SG3"/>
    <m/>
    <x v="3"/>
    <x v="4"/>
    <x v="3"/>
    <x v="3"/>
    <x v="0"/>
    <x v="0"/>
    <x v="0"/>
    <m/>
    <x v="0"/>
    <x v="0"/>
    <n v="7.9764324210000002"/>
    <m/>
    <x v="24"/>
    <x v="2"/>
    <x v="0"/>
    <x v="2"/>
    <x v="0"/>
  </r>
  <r>
    <s v="Singapore"/>
    <x v="2"/>
    <s v="SG4"/>
    <m/>
    <x v="0"/>
    <x v="1"/>
    <x v="1"/>
    <x v="2"/>
    <x v="0"/>
    <x v="0"/>
    <x v="0"/>
    <m/>
    <x v="0"/>
    <x v="0"/>
    <n v="4.1798456999999997E-2"/>
    <m/>
    <x v="24"/>
    <x v="2"/>
    <x v="0"/>
    <x v="3"/>
    <x v="0"/>
  </r>
  <r>
    <s v="Singapore"/>
    <x v="2"/>
    <s v="SG1"/>
    <m/>
    <x v="5"/>
    <x v="0"/>
    <x v="3"/>
    <x v="2"/>
    <x v="0"/>
    <x v="0"/>
    <x v="0"/>
    <m/>
    <x v="0"/>
    <x v="0"/>
    <n v="1.23790734"/>
    <m/>
    <x v="24"/>
    <x v="1"/>
    <x v="0"/>
    <x v="1"/>
    <x v="0"/>
  </r>
  <r>
    <s v="Singapore"/>
    <x v="5"/>
    <s v="SG2"/>
    <m/>
    <x v="0"/>
    <x v="4"/>
    <x v="0"/>
    <x v="4"/>
    <x v="0"/>
    <x v="0"/>
    <x v="0"/>
    <m/>
    <x v="0"/>
    <x v="0"/>
    <n v="0.38783920500000002"/>
    <m/>
    <x v="24"/>
    <x v="0"/>
    <x v="0"/>
    <x v="2"/>
    <x v="2"/>
  </r>
  <r>
    <s v="Singapore"/>
    <x v="4"/>
    <s v="SG1"/>
    <m/>
    <x v="4"/>
    <x v="0"/>
    <x v="1"/>
    <x v="5"/>
    <x v="0"/>
    <x v="0"/>
    <x v="0"/>
    <m/>
    <x v="0"/>
    <x v="0"/>
    <n v="0.16825320000000002"/>
    <m/>
    <x v="24"/>
    <x v="3"/>
    <x v="0"/>
    <x v="5"/>
    <x v="1"/>
  </r>
  <r>
    <s v="Singapore"/>
    <x v="2"/>
    <s v="SG2"/>
    <m/>
    <x v="1"/>
    <x v="4"/>
    <x v="0"/>
    <x v="3"/>
    <x v="0"/>
    <x v="0"/>
    <x v="0"/>
    <m/>
    <x v="0"/>
    <x v="0"/>
    <n v="0.23887280700000002"/>
    <m/>
    <x v="24"/>
    <x v="1"/>
    <x v="0"/>
    <x v="5"/>
    <x v="2"/>
  </r>
  <r>
    <s v="Singapore"/>
    <x v="2"/>
    <s v="SG2"/>
    <m/>
    <x v="3"/>
    <x v="3"/>
    <x v="0"/>
    <x v="1"/>
    <x v="0"/>
    <x v="0"/>
    <x v="0"/>
    <m/>
    <x v="0"/>
    <x v="0"/>
    <n v="2.519015247"/>
    <m/>
    <x v="24"/>
    <x v="1"/>
    <x v="0"/>
    <x v="2"/>
    <x v="0"/>
  </r>
  <r>
    <s v="Singapore"/>
    <x v="2"/>
    <s v="SG4"/>
    <m/>
    <x v="3"/>
    <x v="0"/>
    <x v="1"/>
    <x v="1"/>
    <x v="0"/>
    <x v="0"/>
    <x v="0"/>
    <m/>
    <x v="0"/>
    <x v="0"/>
    <n v="0.23887280700000002"/>
    <m/>
    <x v="24"/>
    <x v="2"/>
    <x v="0"/>
    <x v="5"/>
    <x v="1"/>
  </r>
  <r>
    <s v="Singapore"/>
    <x v="3"/>
    <s v="SG2"/>
    <m/>
    <x v="2"/>
    <x v="3"/>
    <x v="4"/>
    <x v="5"/>
    <x v="0"/>
    <x v="0"/>
    <x v="0"/>
    <m/>
    <x v="0"/>
    <x v="0"/>
    <n v="0.47776119300000003"/>
    <m/>
    <x v="24"/>
    <x v="0"/>
    <x v="0"/>
    <x v="2"/>
    <x v="1"/>
  </r>
  <r>
    <s v="Singapore"/>
    <x v="1"/>
    <s v="SG1"/>
    <m/>
    <x v="3"/>
    <x v="1"/>
    <x v="2"/>
    <x v="5"/>
    <x v="0"/>
    <x v="0"/>
    <x v="0"/>
    <m/>
    <x v="0"/>
    <x v="0"/>
    <n v="1.8158259240000001"/>
    <m/>
    <x v="24"/>
    <x v="2"/>
    <x v="0"/>
    <x v="5"/>
    <x v="1"/>
  </r>
  <r>
    <s v="Singapore"/>
    <x v="1"/>
    <s v="SG3"/>
    <m/>
    <x v="0"/>
    <x v="3"/>
    <x v="1"/>
    <x v="1"/>
    <x v="0"/>
    <x v="0"/>
    <x v="0"/>
    <m/>
    <x v="0"/>
    <x v="0"/>
    <n v="-0.46892790000000001"/>
    <m/>
    <x v="24"/>
    <x v="2"/>
    <x v="0"/>
    <x v="1"/>
    <x v="1"/>
  </r>
  <r>
    <s v="Singapore"/>
    <x v="3"/>
    <s v="SG3"/>
    <m/>
    <x v="3"/>
    <x v="2"/>
    <x v="3"/>
    <x v="3"/>
    <x v="0"/>
    <x v="0"/>
    <x v="0"/>
    <m/>
    <x v="0"/>
    <x v="0"/>
    <n v="6.8890338"/>
    <m/>
    <x v="24"/>
    <x v="3"/>
    <x v="0"/>
    <x v="0"/>
    <x v="0"/>
  </r>
  <r>
    <s v="Singapore"/>
    <x v="4"/>
    <s v="SG4"/>
    <m/>
    <x v="3"/>
    <x v="3"/>
    <x v="4"/>
    <x v="3"/>
    <x v="0"/>
    <x v="0"/>
    <x v="0"/>
    <m/>
    <x v="0"/>
    <x v="0"/>
    <n v="1.2634101630000001"/>
    <m/>
    <x v="25"/>
    <x v="0"/>
    <x v="0"/>
    <x v="3"/>
    <x v="0"/>
  </r>
  <r>
    <s v="Singapore"/>
    <x v="2"/>
    <s v="SG2"/>
    <m/>
    <x v="5"/>
    <x v="2"/>
    <x v="0"/>
    <x v="0"/>
    <x v="0"/>
    <x v="0"/>
    <x v="0"/>
    <m/>
    <x v="0"/>
    <x v="0"/>
    <n v="1.1918713949999999"/>
    <m/>
    <x v="25"/>
    <x v="0"/>
    <x v="0"/>
    <x v="2"/>
    <x v="1"/>
  </r>
  <r>
    <s v="Singapore"/>
    <x v="1"/>
    <s v="SG3"/>
    <m/>
    <x v="0"/>
    <x v="0"/>
    <x v="2"/>
    <x v="4"/>
    <x v="0"/>
    <x v="0"/>
    <x v="0"/>
    <m/>
    <x v="0"/>
    <x v="0"/>
    <n v="0.53354959200000007"/>
    <m/>
    <x v="26"/>
    <x v="3"/>
    <x v="0"/>
    <x v="5"/>
    <x v="1"/>
  </r>
  <r>
    <s v="Singapore"/>
    <x v="2"/>
    <s v="SG1"/>
    <m/>
    <x v="0"/>
    <x v="0"/>
    <x v="4"/>
    <x v="3"/>
    <x v="0"/>
    <x v="0"/>
    <x v="0"/>
    <m/>
    <x v="0"/>
    <x v="0"/>
    <n v="0.47056369500000006"/>
    <m/>
    <x v="26"/>
    <x v="2"/>
    <x v="0"/>
    <x v="0"/>
    <x v="2"/>
  </r>
  <r>
    <s v="Singapore"/>
    <x v="5"/>
    <s v="SG3"/>
    <m/>
    <x v="0"/>
    <x v="1"/>
    <x v="1"/>
    <x v="2"/>
    <x v="0"/>
    <x v="0"/>
    <x v="0"/>
    <m/>
    <x v="0"/>
    <x v="0"/>
    <n v="7.7271840000000008E-2"/>
    <m/>
    <x v="26"/>
    <x v="2"/>
    <x v="0"/>
    <x v="3"/>
    <x v="1"/>
  </r>
  <r>
    <s v="Singapore"/>
    <x v="5"/>
    <s v="SG1"/>
    <m/>
    <x v="1"/>
    <x v="0"/>
    <x v="2"/>
    <x v="0"/>
    <x v="0"/>
    <x v="0"/>
    <x v="0"/>
    <m/>
    <x v="0"/>
    <x v="0"/>
    <n v="0.40785822000000005"/>
    <m/>
    <x v="26"/>
    <x v="2"/>
    <x v="0"/>
    <x v="0"/>
    <x v="0"/>
  </r>
  <r>
    <s v="Singapore"/>
    <x v="0"/>
    <s v="SG4"/>
    <m/>
    <x v="1"/>
    <x v="0"/>
    <x v="3"/>
    <x v="3"/>
    <x v="0"/>
    <x v="0"/>
    <x v="0"/>
    <m/>
    <x v="0"/>
    <x v="0"/>
    <n v="0.12291831000000002"/>
    <m/>
    <x v="26"/>
    <x v="3"/>
    <x v="0"/>
    <x v="3"/>
    <x v="0"/>
  </r>
  <r>
    <s v="Singapore"/>
    <x v="4"/>
    <s v="SG1"/>
    <m/>
    <x v="5"/>
    <x v="3"/>
    <x v="0"/>
    <x v="0"/>
    <x v="0"/>
    <x v="0"/>
    <x v="0"/>
    <m/>
    <x v="0"/>
    <x v="0"/>
    <n v="0.16069738500000003"/>
    <m/>
    <x v="26"/>
    <x v="3"/>
    <x v="0"/>
    <x v="2"/>
    <x v="2"/>
  </r>
  <r>
    <s v="Singapore"/>
    <x v="2"/>
    <s v="SG3"/>
    <m/>
    <x v="3"/>
    <x v="1"/>
    <x v="0"/>
    <x v="5"/>
    <x v="0"/>
    <x v="0"/>
    <x v="0"/>
    <m/>
    <x v="0"/>
    <x v="0"/>
    <n v="3.251399616"/>
    <m/>
    <x v="27"/>
    <x v="2"/>
    <x v="0"/>
    <x v="4"/>
    <x v="1"/>
  </r>
  <r>
    <s v="Singapore"/>
    <x v="4"/>
    <s v="SG2"/>
    <m/>
    <x v="2"/>
    <x v="1"/>
    <x v="4"/>
    <x v="5"/>
    <x v="0"/>
    <x v="0"/>
    <x v="0"/>
    <m/>
    <x v="0"/>
    <x v="0"/>
    <n v="0.545265"/>
    <m/>
    <x v="27"/>
    <x v="0"/>
    <x v="0"/>
    <x v="0"/>
    <x v="1"/>
  </r>
  <r>
    <s v="Singapore"/>
    <x v="4"/>
    <s v="SG2"/>
    <m/>
    <x v="5"/>
    <x v="4"/>
    <x v="2"/>
    <x v="3"/>
    <x v="0"/>
    <x v="0"/>
    <x v="0"/>
    <m/>
    <x v="0"/>
    <x v="0"/>
    <n v="9.1604520000000011"/>
    <m/>
    <x v="9"/>
    <x v="0"/>
    <x v="0"/>
    <x v="4"/>
    <x v="1"/>
  </r>
  <r>
    <s v="Singapore"/>
    <x v="1"/>
    <s v="SG3"/>
    <m/>
    <x v="5"/>
    <x v="2"/>
    <x v="4"/>
    <x v="1"/>
    <x v="0"/>
    <x v="0"/>
    <x v="0"/>
    <m/>
    <x v="0"/>
    <x v="0"/>
    <n v="0.71663399999999999"/>
    <m/>
    <x v="9"/>
    <x v="2"/>
    <x v="0"/>
    <x v="4"/>
    <x v="0"/>
  </r>
  <r>
    <s v="Singapore"/>
    <x v="0"/>
    <s v="SG1"/>
    <m/>
    <x v="4"/>
    <x v="4"/>
    <x v="4"/>
    <x v="0"/>
    <x v="0"/>
    <x v="0"/>
    <x v="0"/>
    <m/>
    <x v="0"/>
    <x v="0"/>
    <n v="119.93742414000002"/>
    <m/>
    <x v="9"/>
    <x v="1"/>
    <x v="0"/>
    <x v="5"/>
    <x v="2"/>
  </r>
  <r>
    <s v="Singapore"/>
    <x v="5"/>
    <s v="SG4"/>
    <m/>
    <x v="3"/>
    <x v="4"/>
    <x v="1"/>
    <x v="4"/>
    <x v="0"/>
    <x v="0"/>
    <x v="0"/>
    <m/>
    <x v="0"/>
    <x v="0"/>
    <n v="4.1128559999999998"/>
    <m/>
    <x v="9"/>
    <x v="2"/>
    <x v="0"/>
    <x v="3"/>
    <x v="1"/>
  </r>
  <r>
    <s v="Singapore"/>
    <x v="0"/>
    <s v="SG4"/>
    <m/>
    <x v="4"/>
    <x v="0"/>
    <x v="3"/>
    <x v="1"/>
    <x v="0"/>
    <x v="0"/>
    <x v="0"/>
    <m/>
    <x v="0"/>
    <x v="0"/>
    <n v="1.2463200000000001"/>
    <m/>
    <x v="9"/>
    <x v="2"/>
    <x v="0"/>
    <x v="2"/>
    <x v="1"/>
  </r>
  <r>
    <s v="Singapore"/>
    <x v="2"/>
    <s v="SG3"/>
    <m/>
    <x v="3"/>
    <x v="2"/>
    <x v="4"/>
    <x v="2"/>
    <x v="0"/>
    <x v="0"/>
    <x v="0"/>
    <m/>
    <x v="0"/>
    <x v="0"/>
    <n v="0.16030791000000003"/>
    <m/>
    <x v="9"/>
    <x v="3"/>
    <x v="0"/>
    <x v="0"/>
    <x v="1"/>
  </r>
  <r>
    <s v="Singapore"/>
    <x v="5"/>
    <s v="SG1"/>
    <m/>
    <x v="2"/>
    <x v="2"/>
    <x v="2"/>
    <x v="4"/>
    <x v="0"/>
    <x v="0"/>
    <x v="0"/>
    <m/>
    <x v="0"/>
    <x v="0"/>
    <n v="24.693182369999999"/>
    <m/>
    <x v="9"/>
    <x v="0"/>
    <x v="0"/>
    <x v="1"/>
    <x v="2"/>
  </r>
  <r>
    <s v="Singapore"/>
    <x v="1"/>
    <s v="SG3"/>
    <m/>
    <x v="2"/>
    <x v="2"/>
    <x v="4"/>
    <x v="3"/>
    <x v="0"/>
    <x v="0"/>
    <x v="0"/>
    <m/>
    <x v="0"/>
    <x v="0"/>
    <n v="16.825320000000001"/>
    <m/>
    <x v="9"/>
    <x v="2"/>
    <x v="0"/>
    <x v="0"/>
    <x v="1"/>
  </r>
  <r>
    <s v="Singapore"/>
    <x v="3"/>
    <s v="SG3"/>
    <m/>
    <x v="0"/>
    <x v="4"/>
    <x v="2"/>
    <x v="3"/>
    <x v="0"/>
    <x v="0"/>
    <x v="0"/>
    <m/>
    <x v="0"/>
    <x v="0"/>
    <n v="0.48731112000000004"/>
    <m/>
    <x v="7"/>
    <x v="2"/>
    <x v="0"/>
    <x v="4"/>
    <x v="2"/>
  </r>
  <r>
    <s v="Singapore"/>
    <x v="1"/>
    <s v="SG3"/>
    <m/>
    <x v="5"/>
    <x v="4"/>
    <x v="2"/>
    <x v="3"/>
    <x v="0"/>
    <x v="0"/>
    <x v="0"/>
    <m/>
    <x v="0"/>
    <x v="0"/>
    <n v="10.1543922"/>
    <m/>
    <x v="7"/>
    <x v="0"/>
    <x v="0"/>
    <x v="5"/>
    <x v="0"/>
  </r>
  <r>
    <s v="Singapore"/>
    <x v="4"/>
    <s v="SG4"/>
    <m/>
    <x v="3"/>
    <x v="3"/>
    <x v="4"/>
    <x v="1"/>
    <x v="0"/>
    <x v="0"/>
    <x v="0"/>
    <m/>
    <x v="0"/>
    <x v="0"/>
    <n v="0.9822559500000001"/>
    <m/>
    <x v="7"/>
    <x v="3"/>
    <x v="0"/>
    <x v="4"/>
    <x v="0"/>
  </r>
  <r>
    <s v="Singapore"/>
    <x v="0"/>
    <s v="SG3"/>
    <m/>
    <x v="1"/>
    <x v="3"/>
    <x v="4"/>
    <x v="3"/>
    <x v="0"/>
    <x v="0"/>
    <x v="0"/>
    <m/>
    <x v="0"/>
    <x v="0"/>
    <n v="14.640723567"/>
    <m/>
    <x v="7"/>
    <x v="2"/>
    <x v="0"/>
    <x v="3"/>
    <x v="0"/>
  </r>
  <r>
    <s v="Singapore"/>
    <x v="2"/>
    <s v="SG4"/>
    <m/>
    <x v="2"/>
    <x v="3"/>
    <x v="4"/>
    <x v="1"/>
    <x v="0"/>
    <x v="0"/>
    <x v="0"/>
    <m/>
    <x v="0"/>
    <x v="0"/>
    <n v="2.8042199999999999"/>
    <m/>
    <x v="7"/>
    <x v="2"/>
    <x v="0"/>
    <x v="3"/>
    <x v="2"/>
  </r>
  <r>
    <s v="Singapore"/>
    <x v="4"/>
    <s v="SG2"/>
    <m/>
    <x v="0"/>
    <x v="3"/>
    <x v="4"/>
    <x v="2"/>
    <x v="0"/>
    <x v="0"/>
    <x v="0"/>
    <m/>
    <x v="0"/>
    <x v="0"/>
    <n v="62.131264217999998"/>
    <m/>
    <x v="7"/>
    <x v="1"/>
    <x v="0"/>
    <x v="0"/>
    <x v="1"/>
  </r>
  <r>
    <s v="Singapore"/>
    <x v="3"/>
    <s v="SG2"/>
    <m/>
    <x v="2"/>
    <x v="2"/>
    <x v="0"/>
    <x v="4"/>
    <x v="0"/>
    <x v="0"/>
    <x v="0"/>
    <m/>
    <x v="0"/>
    <x v="0"/>
    <n v="9.0525362670000007"/>
    <m/>
    <x v="7"/>
    <x v="0"/>
    <x v="0"/>
    <x v="1"/>
    <x v="1"/>
  </r>
  <r>
    <s v="Singapore"/>
    <x v="4"/>
    <s v="SG2"/>
    <m/>
    <x v="4"/>
    <x v="4"/>
    <x v="4"/>
    <x v="4"/>
    <x v="0"/>
    <x v="0"/>
    <x v="0"/>
    <m/>
    <x v="0"/>
    <x v="0"/>
    <n v="17.980035480000002"/>
    <m/>
    <x v="5"/>
    <x v="2"/>
    <x v="0"/>
    <x v="0"/>
    <x v="1"/>
  </r>
  <r>
    <s v="Singapore"/>
    <x v="5"/>
    <s v="SG3"/>
    <m/>
    <x v="2"/>
    <x v="2"/>
    <x v="2"/>
    <x v="1"/>
    <x v="0"/>
    <x v="0"/>
    <x v="0"/>
    <m/>
    <x v="0"/>
    <x v="0"/>
    <n v="0.93325999500000001"/>
    <m/>
    <x v="5"/>
    <x v="2"/>
    <x v="0"/>
    <x v="0"/>
    <x v="1"/>
  </r>
  <r>
    <s v="Singapore"/>
    <x v="2"/>
    <s v="SG1"/>
    <m/>
    <x v="4"/>
    <x v="0"/>
    <x v="4"/>
    <x v="4"/>
    <x v="0"/>
    <x v="0"/>
    <x v="0"/>
    <m/>
    <x v="0"/>
    <x v="0"/>
    <n v="1.1617260300000001"/>
    <m/>
    <x v="5"/>
    <x v="2"/>
    <x v="0"/>
    <x v="0"/>
    <x v="0"/>
  </r>
  <r>
    <s v="Singapore"/>
    <x v="5"/>
    <s v="SG1"/>
    <m/>
    <x v="3"/>
    <x v="1"/>
    <x v="2"/>
    <x v="5"/>
    <x v="0"/>
    <x v="0"/>
    <x v="0"/>
    <m/>
    <x v="0"/>
    <x v="0"/>
    <n v="3.04849872"/>
    <m/>
    <x v="5"/>
    <x v="2"/>
    <x v="0"/>
    <x v="2"/>
    <x v="2"/>
  </r>
  <r>
    <s v="Singapore"/>
    <x v="0"/>
    <s v="SG1"/>
    <m/>
    <x v="4"/>
    <x v="1"/>
    <x v="1"/>
    <x v="4"/>
    <x v="0"/>
    <x v="0"/>
    <x v="0"/>
    <m/>
    <x v="0"/>
    <x v="0"/>
    <n v="0.38752762500000004"/>
    <m/>
    <x v="5"/>
    <x v="2"/>
    <x v="0"/>
    <x v="1"/>
    <x v="0"/>
  </r>
  <r>
    <s v="Singapore"/>
    <x v="5"/>
    <s v="SG2"/>
    <m/>
    <x v="5"/>
    <x v="4"/>
    <x v="2"/>
    <x v="4"/>
    <x v="0"/>
    <x v="0"/>
    <x v="0"/>
    <m/>
    <x v="0"/>
    <x v="0"/>
    <n v="0.49346482500000005"/>
    <m/>
    <x v="5"/>
    <x v="0"/>
    <x v="0"/>
    <x v="4"/>
    <x v="1"/>
  </r>
  <r>
    <s v="Singapore"/>
    <x v="1"/>
    <s v="SG3"/>
    <m/>
    <x v="0"/>
    <x v="0"/>
    <x v="1"/>
    <x v="5"/>
    <x v="0"/>
    <x v="0"/>
    <x v="0"/>
    <m/>
    <x v="0"/>
    <x v="0"/>
    <n v="7.2270980999999998E-2"/>
    <m/>
    <x v="5"/>
    <x v="3"/>
    <x v="0"/>
    <x v="2"/>
    <x v="0"/>
  </r>
  <r>
    <s v="Singapore"/>
    <x v="1"/>
    <s v="SG3"/>
    <m/>
    <x v="3"/>
    <x v="0"/>
    <x v="3"/>
    <x v="4"/>
    <x v="0"/>
    <x v="0"/>
    <x v="0"/>
    <m/>
    <x v="0"/>
    <x v="0"/>
    <n v="3.224853"/>
    <m/>
    <x v="5"/>
    <x v="3"/>
    <x v="0"/>
    <x v="2"/>
    <x v="2"/>
  </r>
  <r>
    <s v="Singapore"/>
    <x v="1"/>
    <s v="SG4"/>
    <m/>
    <x v="0"/>
    <x v="3"/>
    <x v="0"/>
    <x v="3"/>
    <x v="0"/>
    <x v="0"/>
    <x v="0"/>
    <m/>
    <x v="0"/>
    <x v="0"/>
    <n v="2.7263250000000001"/>
    <m/>
    <x v="5"/>
    <x v="0"/>
    <x v="0"/>
    <x v="5"/>
    <x v="1"/>
  </r>
  <r>
    <s v="Singapore"/>
    <x v="5"/>
    <s v="SG3"/>
    <m/>
    <x v="5"/>
    <x v="2"/>
    <x v="3"/>
    <x v="3"/>
    <x v="0"/>
    <x v="0"/>
    <x v="0"/>
    <m/>
    <x v="0"/>
    <x v="0"/>
    <n v="0.81789750000000006"/>
    <m/>
    <x v="5"/>
    <x v="0"/>
    <x v="0"/>
    <x v="2"/>
    <x v="2"/>
  </r>
  <r>
    <s v="Singapore"/>
    <x v="1"/>
    <s v="SG3"/>
    <m/>
    <x v="3"/>
    <x v="0"/>
    <x v="3"/>
    <x v="3"/>
    <x v="0"/>
    <x v="0"/>
    <x v="0"/>
    <m/>
    <x v="0"/>
    <x v="0"/>
    <n v="0.81789750000000006"/>
    <m/>
    <x v="5"/>
    <x v="3"/>
    <x v="0"/>
    <x v="1"/>
    <x v="2"/>
  </r>
  <r>
    <s v="Singapore"/>
    <x v="1"/>
    <s v="SG1"/>
    <m/>
    <x v="3"/>
    <x v="0"/>
    <x v="2"/>
    <x v="1"/>
    <x v="0"/>
    <x v="0"/>
    <x v="0"/>
    <m/>
    <x v="0"/>
    <x v="0"/>
    <n v="1.6825320000000001"/>
    <m/>
    <x v="5"/>
    <x v="1"/>
    <x v="0"/>
    <x v="3"/>
    <x v="1"/>
  </r>
  <r>
    <s v="Singapore"/>
    <x v="5"/>
    <s v="SG3"/>
    <m/>
    <x v="5"/>
    <x v="4"/>
    <x v="3"/>
    <x v="5"/>
    <x v="0"/>
    <x v="0"/>
    <x v="0"/>
    <m/>
    <x v="0"/>
    <x v="0"/>
    <n v="0.545265"/>
    <m/>
    <x v="5"/>
    <x v="2"/>
    <x v="0"/>
    <x v="5"/>
    <x v="2"/>
  </r>
  <r>
    <s v="Singapore"/>
    <x v="0"/>
    <s v="SG1"/>
    <m/>
    <x v="5"/>
    <x v="4"/>
    <x v="4"/>
    <x v="4"/>
    <x v="0"/>
    <x v="0"/>
    <x v="0"/>
    <m/>
    <x v="0"/>
    <x v="0"/>
    <n v="7.3641933000000002"/>
    <m/>
    <x v="5"/>
    <x v="0"/>
    <x v="0"/>
    <x v="4"/>
    <x v="2"/>
  </r>
  <r>
    <s v="Singapore"/>
    <x v="4"/>
    <s v="SG3"/>
    <m/>
    <x v="2"/>
    <x v="3"/>
    <x v="1"/>
    <x v="0"/>
    <x v="0"/>
    <x v="0"/>
    <x v="0"/>
    <m/>
    <x v="0"/>
    <x v="0"/>
    <n v="4.5568575000000004"/>
    <m/>
    <x v="5"/>
    <x v="2"/>
    <x v="0"/>
    <x v="4"/>
    <x v="2"/>
  </r>
  <r>
    <s v="Singapore"/>
    <x v="5"/>
    <s v="SG3"/>
    <m/>
    <x v="4"/>
    <x v="2"/>
    <x v="2"/>
    <x v="3"/>
    <x v="0"/>
    <x v="0"/>
    <x v="0"/>
    <m/>
    <x v="0"/>
    <x v="0"/>
    <n v="4.4587098000000003"/>
    <m/>
    <x v="5"/>
    <x v="3"/>
    <x v="0"/>
    <x v="3"/>
    <x v="2"/>
  </r>
  <r>
    <s v="Singapore"/>
    <x v="3"/>
    <s v="SG1"/>
    <m/>
    <x v="3"/>
    <x v="2"/>
    <x v="4"/>
    <x v="2"/>
    <x v="0"/>
    <x v="0"/>
    <x v="0"/>
    <m/>
    <x v="0"/>
    <x v="0"/>
    <n v="2.9413152"/>
    <m/>
    <x v="5"/>
    <x v="1"/>
    <x v="0"/>
    <x v="1"/>
    <x v="1"/>
  </r>
  <r>
    <s v="Singapore"/>
    <x v="3"/>
    <s v="SG3"/>
    <m/>
    <x v="3"/>
    <x v="0"/>
    <x v="3"/>
    <x v="0"/>
    <x v="0"/>
    <x v="0"/>
    <x v="0"/>
    <m/>
    <x v="0"/>
    <x v="0"/>
    <n v="0.94720320000000002"/>
    <m/>
    <x v="5"/>
    <x v="3"/>
    <x v="0"/>
    <x v="3"/>
    <x v="0"/>
  </r>
  <r>
    <s v="Singapore"/>
    <x v="5"/>
    <s v="SG4"/>
    <m/>
    <x v="2"/>
    <x v="1"/>
    <x v="1"/>
    <x v="1"/>
    <x v="0"/>
    <x v="0"/>
    <x v="0"/>
    <m/>
    <x v="0"/>
    <x v="0"/>
    <n v="1.6794162000000001"/>
    <m/>
    <x v="5"/>
    <x v="3"/>
    <x v="0"/>
    <x v="1"/>
    <x v="2"/>
  </r>
  <r>
    <s v="Singapore"/>
    <x v="0"/>
    <s v="SG2"/>
    <m/>
    <x v="4"/>
    <x v="2"/>
    <x v="1"/>
    <x v="1"/>
    <x v="0"/>
    <x v="0"/>
    <x v="0"/>
    <m/>
    <x v="0"/>
    <x v="0"/>
    <n v="1.4083416"/>
    <m/>
    <x v="5"/>
    <x v="2"/>
    <x v="0"/>
    <x v="5"/>
    <x v="2"/>
  </r>
  <r>
    <s v="Singapore"/>
    <x v="0"/>
    <s v="SG4"/>
    <m/>
    <x v="5"/>
    <x v="1"/>
    <x v="2"/>
    <x v="0"/>
    <x v="0"/>
    <x v="0"/>
    <x v="0"/>
    <m/>
    <x v="0"/>
    <x v="0"/>
    <n v="1.0952037000000001"/>
    <m/>
    <x v="5"/>
    <x v="3"/>
    <x v="0"/>
    <x v="5"/>
    <x v="2"/>
  </r>
  <r>
    <s v="Singapore"/>
    <x v="1"/>
    <s v="SG1"/>
    <m/>
    <x v="0"/>
    <x v="4"/>
    <x v="1"/>
    <x v="1"/>
    <x v="0"/>
    <x v="0"/>
    <x v="0"/>
    <m/>
    <x v="0"/>
    <x v="0"/>
    <n v="5.9231358000000007"/>
    <m/>
    <x v="5"/>
    <x v="0"/>
    <x v="0"/>
    <x v="2"/>
    <x v="2"/>
  </r>
  <r>
    <s v="Singapore"/>
    <x v="2"/>
    <s v="SG1"/>
    <m/>
    <x v="4"/>
    <x v="1"/>
    <x v="0"/>
    <x v="4"/>
    <x v="0"/>
    <x v="0"/>
    <x v="0"/>
    <m/>
    <x v="0"/>
    <x v="0"/>
    <n v="4.8684375000000006"/>
    <m/>
    <x v="5"/>
    <x v="0"/>
    <x v="0"/>
    <x v="4"/>
    <x v="1"/>
  </r>
  <r>
    <s v="Singapore"/>
    <x v="0"/>
    <s v="SG1"/>
    <m/>
    <x v="2"/>
    <x v="2"/>
    <x v="1"/>
    <x v="4"/>
    <x v="0"/>
    <x v="0"/>
    <x v="0"/>
    <m/>
    <x v="0"/>
    <x v="0"/>
    <n v="0.87242400000000009"/>
    <m/>
    <x v="5"/>
    <x v="2"/>
    <x v="0"/>
    <x v="1"/>
    <x v="0"/>
  </r>
  <r>
    <s v="Singapore"/>
    <x v="2"/>
    <s v="SG2"/>
    <m/>
    <x v="0"/>
    <x v="1"/>
    <x v="3"/>
    <x v="0"/>
    <x v="0"/>
    <x v="0"/>
    <x v="0"/>
    <m/>
    <x v="0"/>
    <x v="0"/>
    <n v="2.7621567000000002"/>
    <m/>
    <x v="5"/>
    <x v="0"/>
    <x v="0"/>
    <x v="2"/>
    <x v="0"/>
  </r>
  <r>
    <s v="Singapore"/>
    <x v="5"/>
    <s v="SG2"/>
    <m/>
    <x v="2"/>
    <x v="2"/>
    <x v="3"/>
    <x v="3"/>
    <x v="0"/>
    <x v="0"/>
    <x v="0"/>
    <m/>
    <x v="0"/>
    <x v="0"/>
    <n v="57.474965960999995"/>
    <m/>
    <x v="5"/>
    <x v="0"/>
    <x v="0"/>
    <x v="0"/>
    <x v="0"/>
  </r>
  <r>
    <s v="Singapore"/>
    <x v="3"/>
    <s v="SG1"/>
    <m/>
    <x v="1"/>
    <x v="0"/>
    <x v="4"/>
    <x v="4"/>
    <x v="0"/>
    <x v="0"/>
    <x v="0"/>
    <m/>
    <x v="0"/>
    <x v="0"/>
    <n v="45.144685989000003"/>
    <m/>
    <x v="5"/>
    <x v="2"/>
    <x v="0"/>
    <x v="2"/>
    <x v="1"/>
  </r>
  <r>
    <s v="Singapore"/>
    <x v="2"/>
    <s v="SG2"/>
    <m/>
    <x v="3"/>
    <x v="1"/>
    <x v="1"/>
    <x v="2"/>
    <x v="0"/>
    <x v="0"/>
    <x v="0"/>
    <m/>
    <x v="0"/>
    <x v="0"/>
    <n v="17.103280518000002"/>
    <m/>
    <x v="5"/>
    <x v="0"/>
    <x v="0"/>
    <x v="1"/>
    <x v="2"/>
  </r>
  <r>
    <s v="Singapore"/>
    <x v="1"/>
    <s v="SG3"/>
    <m/>
    <x v="3"/>
    <x v="3"/>
    <x v="4"/>
    <x v="5"/>
    <x v="0"/>
    <x v="0"/>
    <x v="0"/>
    <m/>
    <x v="0"/>
    <x v="0"/>
    <n v="31.783263165000001"/>
    <m/>
    <x v="5"/>
    <x v="2"/>
    <x v="0"/>
    <x v="4"/>
    <x v="2"/>
  </r>
  <r>
    <s v="Singapore"/>
    <x v="3"/>
    <s v="SG4"/>
    <m/>
    <x v="4"/>
    <x v="3"/>
    <x v="3"/>
    <x v="3"/>
    <x v="0"/>
    <x v="0"/>
    <x v="0"/>
    <m/>
    <x v="0"/>
    <x v="0"/>
    <n v="29.294767179000001"/>
    <m/>
    <x v="5"/>
    <x v="1"/>
    <x v="0"/>
    <x v="2"/>
    <x v="2"/>
  </r>
  <r>
    <s v="Singapore"/>
    <x v="3"/>
    <s v="SG3"/>
    <m/>
    <x v="5"/>
    <x v="2"/>
    <x v="1"/>
    <x v="4"/>
    <x v="0"/>
    <x v="0"/>
    <x v="0"/>
    <m/>
    <x v="0"/>
    <x v="0"/>
    <n v="24.660544365000003"/>
    <m/>
    <x v="5"/>
    <x v="1"/>
    <x v="0"/>
    <x v="4"/>
    <x v="1"/>
  </r>
  <r>
    <s v="Singapore"/>
    <x v="0"/>
    <s v="SG1"/>
    <m/>
    <x v="5"/>
    <x v="3"/>
    <x v="2"/>
    <x v="1"/>
    <x v="0"/>
    <x v="0"/>
    <x v="0"/>
    <m/>
    <x v="0"/>
    <x v="0"/>
    <n v="10.761474672"/>
    <m/>
    <x v="5"/>
    <x v="3"/>
    <x v="0"/>
    <x v="0"/>
    <x v="1"/>
  </r>
  <r>
    <s v="Singapore"/>
    <x v="2"/>
    <s v="SG3"/>
    <m/>
    <x v="2"/>
    <x v="2"/>
    <x v="0"/>
    <x v="0"/>
    <x v="0"/>
    <x v="0"/>
    <x v="0"/>
    <m/>
    <x v="0"/>
    <x v="0"/>
    <n v="5.0475960000000004"/>
    <m/>
    <x v="5"/>
    <x v="3"/>
    <x v="0"/>
    <x v="1"/>
    <x v="0"/>
  </r>
  <r>
    <s v="Singapore"/>
    <x v="4"/>
    <s v="SG1"/>
    <m/>
    <x v="5"/>
    <x v="4"/>
    <x v="4"/>
    <x v="1"/>
    <x v="0"/>
    <x v="0"/>
    <x v="0"/>
    <m/>
    <x v="0"/>
    <x v="0"/>
    <n v="23.154335487000001"/>
    <m/>
    <x v="5"/>
    <x v="0"/>
    <x v="0"/>
    <x v="5"/>
    <x v="0"/>
  </r>
  <r>
    <s v="Singapore"/>
    <x v="1"/>
    <s v="SG1"/>
    <m/>
    <x v="0"/>
    <x v="2"/>
    <x v="0"/>
    <x v="0"/>
    <x v="0"/>
    <x v="0"/>
    <x v="0"/>
    <m/>
    <x v="0"/>
    <x v="0"/>
    <n v="18.104714217000001"/>
    <m/>
    <x v="5"/>
    <x v="2"/>
    <x v="0"/>
    <x v="3"/>
    <x v="1"/>
  </r>
  <r>
    <s v="Singapore"/>
    <x v="5"/>
    <s v="SG1"/>
    <m/>
    <x v="2"/>
    <x v="4"/>
    <x v="3"/>
    <x v="3"/>
    <x v="0"/>
    <x v="0"/>
    <x v="0"/>
    <m/>
    <x v="0"/>
    <x v="0"/>
    <n v="-129.379591197"/>
    <m/>
    <x v="5"/>
    <x v="2"/>
    <x v="0"/>
    <x v="1"/>
    <x v="0"/>
  </r>
  <r>
    <s v="Singapore"/>
    <x v="5"/>
    <s v="SG3"/>
    <m/>
    <x v="0"/>
    <x v="2"/>
    <x v="3"/>
    <x v="4"/>
    <x v="0"/>
    <x v="0"/>
    <x v="0"/>
    <m/>
    <x v="0"/>
    <x v="0"/>
    <n v="1.2472080030000001"/>
    <m/>
    <x v="5"/>
    <x v="1"/>
    <x v="0"/>
    <x v="1"/>
    <x v="2"/>
  </r>
  <r>
    <s v="Singapore"/>
    <x v="1"/>
    <s v="SG3"/>
    <m/>
    <x v="0"/>
    <x v="0"/>
    <x v="1"/>
    <x v="5"/>
    <x v="0"/>
    <x v="0"/>
    <x v="0"/>
    <m/>
    <x v="0"/>
    <x v="0"/>
    <n v="11.292126570000001"/>
    <m/>
    <x v="5"/>
    <x v="0"/>
    <x v="0"/>
    <x v="2"/>
    <x v="1"/>
  </r>
  <r>
    <s v="Singapore"/>
    <x v="3"/>
    <s v="SG1"/>
    <m/>
    <x v="4"/>
    <x v="0"/>
    <x v="1"/>
    <x v="0"/>
    <x v="0"/>
    <x v="0"/>
    <x v="0"/>
    <m/>
    <x v="0"/>
    <x v="0"/>
    <n v="1.230148998"/>
    <m/>
    <x v="5"/>
    <x v="2"/>
    <x v="0"/>
    <x v="0"/>
    <x v="0"/>
  </r>
  <r>
    <s v="Singapore"/>
    <x v="2"/>
    <s v="SG1"/>
    <m/>
    <x v="4"/>
    <x v="2"/>
    <x v="2"/>
    <x v="3"/>
    <x v="0"/>
    <x v="0"/>
    <x v="0"/>
    <m/>
    <x v="0"/>
    <x v="0"/>
    <n v="89.711983079999996"/>
    <m/>
    <x v="5"/>
    <x v="1"/>
    <x v="0"/>
    <x v="5"/>
    <x v="0"/>
  </r>
  <r>
    <s v="Singapore"/>
    <x v="1"/>
    <s v="SG3"/>
    <m/>
    <x v="2"/>
    <x v="3"/>
    <x v="4"/>
    <x v="5"/>
    <x v="0"/>
    <x v="0"/>
    <x v="0"/>
    <m/>
    <x v="0"/>
    <x v="0"/>
    <n v="119.60711818200001"/>
    <m/>
    <x v="5"/>
    <x v="3"/>
    <x v="0"/>
    <x v="2"/>
    <x v="0"/>
  </r>
  <r>
    <s v="Singapore"/>
    <x v="2"/>
    <s v="SG2"/>
    <m/>
    <x v="5"/>
    <x v="4"/>
    <x v="3"/>
    <x v="0"/>
    <x v="0"/>
    <x v="0"/>
    <x v="0"/>
    <m/>
    <x v="0"/>
    <x v="0"/>
    <n v="13.972945311"/>
    <m/>
    <x v="5"/>
    <x v="3"/>
    <x v="0"/>
    <x v="2"/>
    <x v="0"/>
  </r>
  <r>
    <s v="Singapore"/>
    <x v="0"/>
    <s v="SG4"/>
    <m/>
    <x v="5"/>
    <x v="3"/>
    <x v="3"/>
    <x v="2"/>
    <x v="0"/>
    <x v="0"/>
    <x v="0"/>
    <m/>
    <x v="0"/>
    <x v="0"/>
    <n v="20.500047783000003"/>
    <m/>
    <x v="5"/>
    <x v="3"/>
    <x v="0"/>
    <x v="1"/>
    <x v="0"/>
  </r>
  <r>
    <s v="Singapore"/>
    <x v="5"/>
    <s v="SG3"/>
    <m/>
    <x v="1"/>
    <x v="3"/>
    <x v="2"/>
    <x v="5"/>
    <x v="0"/>
    <x v="0"/>
    <x v="0"/>
    <m/>
    <x v="0"/>
    <x v="0"/>
    <n v="0.50489981100000003"/>
    <m/>
    <x v="5"/>
    <x v="3"/>
    <x v="0"/>
    <x v="5"/>
    <x v="1"/>
  </r>
  <r>
    <s v="Singapore"/>
    <x v="4"/>
    <s v="SG3"/>
    <m/>
    <x v="4"/>
    <x v="4"/>
    <x v="2"/>
    <x v="4"/>
    <x v="0"/>
    <x v="0"/>
    <x v="0"/>
    <m/>
    <x v="0"/>
    <x v="0"/>
    <n v="18.101941155000002"/>
    <m/>
    <x v="5"/>
    <x v="0"/>
    <x v="0"/>
    <x v="0"/>
    <x v="0"/>
  </r>
  <r>
    <s v="Singapore"/>
    <x v="1"/>
    <s v="SG4"/>
    <m/>
    <x v="3"/>
    <x v="2"/>
    <x v="1"/>
    <x v="5"/>
    <x v="0"/>
    <x v="0"/>
    <x v="0"/>
    <m/>
    <x v="0"/>
    <x v="0"/>
    <n v="9.6775969049999997"/>
    <m/>
    <x v="5"/>
    <x v="1"/>
    <x v="0"/>
    <x v="3"/>
    <x v="0"/>
  </r>
  <r>
    <s v="Singapore"/>
    <x v="0"/>
    <s v="SG3"/>
    <m/>
    <x v="4"/>
    <x v="0"/>
    <x v="4"/>
    <x v="0"/>
    <x v="0"/>
    <x v="0"/>
    <x v="0"/>
    <m/>
    <x v="0"/>
    <x v="0"/>
    <n v="-2.6631365760000003"/>
    <m/>
    <x v="5"/>
    <x v="0"/>
    <x v="0"/>
    <x v="0"/>
    <x v="2"/>
  </r>
  <r>
    <s v="Singapore"/>
    <x v="3"/>
    <s v="SG2"/>
    <m/>
    <x v="4"/>
    <x v="0"/>
    <x v="2"/>
    <x v="2"/>
    <x v="0"/>
    <x v="0"/>
    <x v="0"/>
    <m/>
    <x v="0"/>
    <x v="0"/>
    <n v="6.7978499130000012"/>
    <m/>
    <x v="5"/>
    <x v="3"/>
    <x v="0"/>
    <x v="2"/>
    <x v="2"/>
  </r>
  <r>
    <s v="Singapore"/>
    <x v="4"/>
    <s v="SG3"/>
    <m/>
    <x v="0"/>
    <x v="2"/>
    <x v="0"/>
    <x v="2"/>
    <x v="0"/>
    <x v="0"/>
    <x v="0"/>
    <m/>
    <x v="0"/>
    <x v="0"/>
    <n v="8.641016982"/>
    <m/>
    <x v="5"/>
    <x v="1"/>
    <x v="0"/>
    <x v="5"/>
    <x v="0"/>
  </r>
  <r>
    <s v="Singapore"/>
    <x v="3"/>
    <s v="SG4"/>
    <m/>
    <x v="1"/>
    <x v="4"/>
    <x v="3"/>
    <x v="3"/>
    <x v="0"/>
    <x v="0"/>
    <x v="0"/>
    <m/>
    <x v="0"/>
    <x v="0"/>
    <n v="10.730410146000001"/>
    <m/>
    <x v="5"/>
    <x v="3"/>
    <x v="0"/>
    <x v="2"/>
    <x v="2"/>
  </r>
  <r>
    <s v="Singapore"/>
    <x v="2"/>
    <s v="SG1"/>
    <m/>
    <x v="0"/>
    <x v="3"/>
    <x v="0"/>
    <x v="2"/>
    <x v="0"/>
    <x v="0"/>
    <x v="0"/>
    <m/>
    <x v="0"/>
    <x v="0"/>
    <n v="6.2347158"/>
    <m/>
    <x v="5"/>
    <x v="3"/>
    <x v="0"/>
    <x v="3"/>
    <x v="2"/>
  </r>
  <r>
    <s v="Singapore"/>
    <x v="5"/>
    <s v="SG2"/>
    <m/>
    <x v="3"/>
    <x v="3"/>
    <x v="4"/>
    <x v="1"/>
    <x v="0"/>
    <x v="0"/>
    <x v="0"/>
    <m/>
    <x v="0"/>
    <x v="0"/>
    <n v="-1.7136900000000002"/>
    <m/>
    <x v="5"/>
    <x v="0"/>
    <x v="0"/>
    <x v="1"/>
    <x v="1"/>
  </r>
  <r>
    <s v="Singapore"/>
    <x v="3"/>
    <s v="SG1"/>
    <m/>
    <x v="4"/>
    <x v="1"/>
    <x v="1"/>
    <x v="5"/>
    <x v="0"/>
    <x v="0"/>
    <x v="0"/>
    <m/>
    <x v="0"/>
    <x v="0"/>
    <n v="440.57412000000005"/>
    <m/>
    <x v="10"/>
    <x v="3"/>
    <x v="0"/>
    <x v="1"/>
    <x v="2"/>
  </r>
  <r>
    <s v="Singapore"/>
    <x v="3"/>
    <s v="SG4"/>
    <m/>
    <x v="3"/>
    <x v="3"/>
    <x v="1"/>
    <x v="5"/>
    <x v="0"/>
    <x v="0"/>
    <x v="0"/>
    <m/>
    <x v="0"/>
    <x v="0"/>
    <n v="261.32136704999999"/>
    <m/>
    <x v="10"/>
    <x v="0"/>
    <x v="0"/>
    <x v="3"/>
    <x v="0"/>
  </r>
  <r>
    <s v="Singapore"/>
    <x v="5"/>
    <s v="SG1"/>
    <m/>
    <x v="5"/>
    <x v="3"/>
    <x v="3"/>
    <x v="4"/>
    <x v="0"/>
    <x v="0"/>
    <x v="0"/>
    <m/>
    <x v="0"/>
    <x v="0"/>
    <n v="311.58000000000004"/>
    <m/>
    <x v="10"/>
    <x v="3"/>
    <x v="0"/>
    <x v="0"/>
    <x v="0"/>
  </r>
  <r>
    <s v="Singapore"/>
    <x v="5"/>
    <s v="SG2"/>
    <m/>
    <x v="5"/>
    <x v="1"/>
    <x v="2"/>
    <x v="0"/>
    <x v="0"/>
    <x v="0"/>
    <x v="0"/>
    <m/>
    <x v="0"/>
    <x v="0"/>
    <n v="350.12634075"/>
    <m/>
    <x v="10"/>
    <x v="1"/>
    <x v="0"/>
    <x v="4"/>
    <x v="1"/>
  </r>
  <r>
    <s v="Singapore"/>
    <x v="4"/>
    <s v="SG1"/>
    <m/>
    <x v="5"/>
    <x v="1"/>
    <x v="3"/>
    <x v="3"/>
    <x v="0"/>
    <x v="0"/>
    <x v="0"/>
    <m/>
    <x v="0"/>
    <x v="0"/>
    <n v="124.72118977500001"/>
    <m/>
    <x v="10"/>
    <x v="3"/>
    <x v="0"/>
    <x v="1"/>
    <x v="1"/>
  </r>
  <r>
    <s v="Singapore"/>
    <x v="4"/>
    <s v="SG1"/>
    <m/>
    <x v="0"/>
    <x v="0"/>
    <x v="0"/>
    <x v="3"/>
    <x v="0"/>
    <x v="0"/>
    <x v="0"/>
    <m/>
    <x v="0"/>
    <x v="0"/>
    <n v="191.6217"/>
    <m/>
    <x v="10"/>
    <x v="0"/>
    <x v="0"/>
    <x v="3"/>
    <x v="1"/>
  </r>
  <r>
    <s v="Singapore"/>
    <x v="2"/>
    <s v="SG2"/>
    <m/>
    <x v="3"/>
    <x v="4"/>
    <x v="0"/>
    <x v="0"/>
    <x v="0"/>
    <x v="0"/>
    <x v="0"/>
    <m/>
    <x v="0"/>
    <x v="0"/>
    <n v="46.830474000000002"/>
    <m/>
    <x v="10"/>
    <x v="0"/>
    <x v="0"/>
    <x v="3"/>
    <x v="0"/>
  </r>
  <r>
    <s v="Singapore"/>
    <x v="1"/>
    <s v="SG2"/>
    <m/>
    <x v="2"/>
    <x v="2"/>
    <x v="2"/>
    <x v="5"/>
    <x v="0"/>
    <x v="0"/>
    <x v="0"/>
    <m/>
    <x v="0"/>
    <x v="0"/>
    <n v="12.930570000000001"/>
    <m/>
    <x v="10"/>
    <x v="0"/>
    <x v="0"/>
    <x v="5"/>
    <x v="1"/>
  </r>
  <r>
    <s v="Singapore"/>
    <x v="5"/>
    <s v="SG1"/>
    <m/>
    <x v="5"/>
    <x v="3"/>
    <x v="2"/>
    <x v="3"/>
    <x v="0"/>
    <x v="0"/>
    <x v="0"/>
    <m/>
    <x v="0"/>
    <x v="0"/>
    <n v="2.4614820000000002"/>
    <m/>
    <x v="10"/>
    <x v="0"/>
    <x v="0"/>
    <x v="3"/>
    <x v="2"/>
  </r>
  <r>
    <s v="Singapore"/>
    <x v="4"/>
    <s v="SG4"/>
    <m/>
    <x v="5"/>
    <x v="0"/>
    <x v="1"/>
    <x v="0"/>
    <x v="0"/>
    <x v="0"/>
    <x v="0"/>
    <m/>
    <x v="0"/>
    <x v="0"/>
    <n v="8.5118826510000005"/>
    <m/>
    <x v="10"/>
    <x v="2"/>
    <x v="0"/>
    <x v="2"/>
    <x v="1"/>
  </r>
  <r>
    <s v="Singapore"/>
    <x v="5"/>
    <s v="SG3"/>
    <m/>
    <x v="1"/>
    <x v="1"/>
    <x v="4"/>
    <x v="0"/>
    <x v="0"/>
    <x v="0"/>
    <x v="0"/>
    <m/>
    <x v="0"/>
    <x v="0"/>
    <n v="33.163064036999998"/>
    <m/>
    <x v="10"/>
    <x v="3"/>
    <x v="0"/>
    <x v="4"/>
    <x v="0"/>
  </r>
  <r>
    <s v="Singapore"/>
    <x v="1"/>
    <s v="SG2"/>
    <m/>
    <x v="4"/>
    <x v="4"/>
    <x v="1"/>
    <x v="1"/>
    <x v="0"/>
    <x v="0"/>
    <x v="0"/>
    <m/>
    <x v="0"/>
    <x v="0"/>
    <n v="3.2404320000000002"/>
    <m/>
    <x v="10"/>
    <x v="1"/>
    <x v="0"/>
    <x v="2"/>
    <x v="2"/>
  </r>
  <r>
    <s v="Singapore"/>
    <x v="4"/>
    <s v="SG2"/>
    <m/>
    <x v="4"/>
    <x v="4"/>
    <x v="1"/>
    <x v="2"/>
    <x v="0"/>
    <x v="0"/>
    <x v="0"/>
    <m/>
    <x v="0"/>
    <x v="0"/>
    <n v="29.958417000000001"/>
    <m/>
    <x v="10"/>
    <x v="0"/>
    <x v="0"/>
    <x v="0"/>
    <x v="0"/>
  </r>
  <r>
    <s v="Singapore"/>
    <x v="5"/>
    <s v="SG1"/>
    <m/>
    <x v="5"/>
    <x v="1"/>
    <x v="0"/>
    <x v="1"/>
    <x v="0"/>
    <x v="0"/>
    <x v="0"/>
    <m/>
    <x v="0"/>
    <x v="0"/>
    <n v="-75.198929418000006"/>
    <m/>
    <x v="10"/>
    <x v="2"/>
    <x v="0"/>
    <x v="4"/>
    <x v="0"/>
  </r>
  <r>
    <s v="Singapore"/>
    <x v="5"/>
    <s v="SG3"/>
    <m/>
    <x v="3"/>
    <x v="1"/>
    <x v="0"/>
    <x v="5"/>
    <x v="0"/>
    <x v="0"/>
    <x v="0"/>
    <m/>
    <x v="0"/>
    <x v="0"/>
    <n v="8.1010799999999996"/>
    <m/>
    <x v="10"/>
    <x v="3"/>
    <x v="0"/>
    <x v="1"/>
    <x v="2"/>
  </r>
  <r>
    <s v="Singapore"/>
    <x v="1"/>
    <s v="SG4"/>
    <m/>
    <x v="5"/>
    <x v="1"/>
    <x v="0"/>
    <x v="4"/>
    <x v="0"/>
    <x v="0"/>
    <x v="0"/>
    <m/>
    <x v="0"/>
    <x v="0"/>
    <n v="7.7895000000000003"/>
    <m/>
    <x v="10"/>
    <x v="3"/>
    <x v="0"/>
    <x v="3"/>
    <x v="0"/>
  </r>
  <r>
    <s v="Singapore"/>
    <x v="4"/>
    <s v="SG3"/>
    <m/>
    <x v="2"/>
    <x v="3"/>
    <x v="3"/>
    <x v="2"/>
    <x v="0"/>
    <x v="0"/>
    <x v="0"/>
    <m/>
    <x v="0"/>
    <x v="0"/>
    <n v="249.44237955000003"/>
    <m/>
    <x v="10"/>
    <x v="0"/>
    <x v="0"/>
    <x v="0"/>
    <x v="0"/>
  </r>
  <r>
    <s v="Singapore"/>
    <x v="0"/>
    <s v="SG3"/>
    <m/>
    <x v="5"/>
    <x v="0"/>
    <x v="0"/>
    <x v="5"/>
    <x v="0"/>
    <x v="0"/>
    <x v="0"/>
    <m/>
    <x v="0"/>
    <x v="0"/>
    <n v="288.18475085699998"/>
    <m/>
    <x v="10"/>
    <x v="2"/>
    <x v="0"/>
    <x v="2"/>
    <x v="1"/>
  </r>
  <r>
    <s v="Singapore"/>
    <x v="0"/>
    <s v="SG2"/>
    <m/>
    <x v="1"/>
    <x v="4"/>
    <x v="4"/>
    <x v="3"/>
    <x v="0"/>
    <x v="0"/>
    <x v="0"/>
    <m/>
    <x v="0"/>
    <x v="0"/>
    <n v="1.4270364"/>
    <m/>
    <x v="10"/>
    <x v="0"/>
    <x v="0"/>
    <x v="2"/>
    <x v="2"/>
  </r>
  <r>
    <s v="Singapore"/>
    <x v="2"/>
    <s v="SG3"/>
    <m/>
    <x v="1"/>
    <x v="4"/>
    <x v="1"/>
    <x v="4"/>
    <x v="0"/>
    <x v="0"/>
    <x v="0"/>
    <m/>
    <x v="0"/>
    <x v="0"/>
    <n v="9.6091271999999996"/>
    <m/>
    <x v="10"/>
    <x v="0"/>
    <x v="0"/>
    <x v="5"/>
    <x v="1"/>
  </r>
  <r>
    <s v="Singapore"/>
    <x v="1"/>
    <s v="SG2"/>
    <m/>
    <x v="0"/>
    <x v="4"/>
    <x v="0"/>
    <x v="1"/>
    <x v="0"/>
    <x v="0"/>
    <x v="0"/>
    <m/>
    <x v="0"/>
    <x v="0"/>
    <n v="4.7640582"/>
    <m/>
    <x v="11"/>
    <x v="1"/>
    <x v="0"/>
    <x v="0"/>
    <x v="0"/>
  </r>
  <r>
    <s v="Singapore"/>
    <x v="2"/>
    <s v="SG1"/>
    <m/>
    <x v="1"/>
    <x v="0"/>
    <x v="4"/>
    <x v="3"/>
    <x v="0"/>
    <x v="0"/>
    <x v="0"/>
    <m/>
    <x v="0"/>
    <x v="0"/>
    <n v="1.4779018349999999"/>
    <m/>
    <x v="11"/>
    <x v="2"/>
    <x v="0"/>
    <x v="2"/>
    <x v="2"/>
  </r>
  <r>
    <s v="Singapore"/>
    <x v="3"/>
    <s v="SG4"/>
    <m/>
    <x v="1"/>
    <x v="3"/>
    <x v="0"/>
    <x v="2"/>
    <x v="0"/>
    <x v="0"/>
    <x v="0"/>
    <m/>
    <x v="0"/>
    <x v="0"/>
    <n v="7.9452900000000009"/>
    <m/>
    <x v="11"/>
    <x v="2"/>
    <x v="0"/>
    <x v="3"/>
    <x v="0"/>
  </r>
  <r>
    <s v="Singapore"/>
    <x v="1"/>
    <s v="SG2"/>
    <m/>
    <x v="2"/>
    <x v="3"/>
    <x v="2"/>
    <x v="4"/>
    <x v="0"/>
    <x v="0"/>
    <x v="0"/>
    <m/>
    <x v="0"/>
    <x v="0"/>
    <n v="0.62316000000000005"/>
    <m/>
    <x v="11"/>
    <x v="0"/>
    <x v="0"/>
    <x v="0"/>
    <x v="0"/>
  </r>
  <r>
    <s v="Singapore"/>
    <x v="2"/>
    <s v="SG1"/>
    <m/>
    <x v="2"/>
    <x v="3"/>
    <x v="0"/>
    <x v="4"/>
    <x v="0"/>
    <x v="0"/>
    <x v="0"/>
    <m/>
    <x v="0"/>
    <x v="0"/>
    <n v="4.783142475"/>
    <m/>
    <x v="11"/>
    <x v="3"/>
    <x v="0"/>
    <x v="1"/>
    <x v="2"/>
  </r>
  <r>
    <s v="Singapore"/>
    <x v="1"/>
    <s v="SG1"/>
    <m/>
    <x v="1"/>
    <x v="0"/>
    <x v="3"/>
    <x v="5"/>
    <x v="0"/>
    <x v="0"/>
    <x v="0"/>
    <m/>
    <x v="0"/>
    <x v="0"/>
    <n v="2.3368500000000001"/>
    <m/>
    <x v="11"/>
    <x v="0"/>
    <x v="0"/>
    <x v="0"/>
    <x v="0"/>
  </r>
  <r>
    <s v="Singapore"/>
    <x v="5"/>
    <s v="SG3"/>
    <m/>
    <x v="0"/>
    <x v="2"/>
    <x v="4"/>
    <x v="3"/>
    <x v="0"/>
    <x v="0"/>
    <x v="0"/>
    <m/>
    <x v="0"/>
    <x v="0"/>
    <n v="0.21810600000000002"/>
    <m/>
    <x v="11"/>
    <x v="2"/>
    <x v="0"/>
    <x v="4"/>
    <x v="2"/>
  </r>
  <r>
    <s v="Singapore"/>
    <x v="5"/>
    <s v="SG1"/>
    <m/>
    <x v="3"/>
    <x v="3"/>
    <x v="1"/>
    <x v="1"/>
    <x v="0"/>
    <x v="0"/>
    <x v="0"/>
    <m/>
    <x v="0"/>
    <x v="0"/>
    <n v="5.4137025000000003"/>
    <m/>
    <x v="11"/>
    <x v="3"/>
    <x v="0"/>
    <x v="2"/>
    <x v="1"/>
  </r>
  <r>
    <s v="Singapore"/>
    <x v="1"/>
    <s v="SG3"/>
    <m/>
    <x v="4"/>
    <x v="2"/>
    <x v="3"/>
    <x v="4"/>
    <x v="0"/>
    <x v="0"/>
    <x v="0"/>
    <m/>
    <x v="0"/>
    <x v="0"/>
    <n v="1.20332196"/>
    <m/>
    <x v="11"/>
    <x v="2"/>
    <x v="0"/>
    <x v="0"/>
    <x v="0"/>
  </r>
  <r>
    <s v="Singapore"/>
    <x v="4"/>
    <s v="SG2"/>
    <m/>
    <x v="0"/>
    <x v="1"/>
    <x v="4"/>
    <x v="1"/>
    <x v="0"/>
    <x v="0"/>
    <x v="0"/>
    <m/>
    <x v="0"/>
    <x v="0"/>
    <n v="4.36212"/>
    <m/>
    <x v="11"/>
    <x v="1"/>
    <x v="0"/>
    <x v="2"/>
    <x v="1"/>
  </r>
  <r>
    <s v="Singapore"/>
    <x v="5"/>
    <s v="SG2"/>
    <m/>
    <x v="5"/>
    <x v="0"/>
    <x v="3"/>
    <x v="0"/>
    <x v="0"/>
    <x v="0"/>
    <x v="0"/>
    <m/>
    <x v="0"/>
    <x v="0"/>
    <n v="24.272082000000001"/>
    <m/>
    <x v="11"/>
    <x v="1"/>
    <x v="0"/>
    <x v="5"/>
    <x v="1"/>
  </r>
  <r>
    <s v="Singapore"/>
    <x v="4"/>
    <s v="SG4"/>
    <m/>
    <x v="3"/>
    <x v="1"/>
    <x v="3"/>
    <x v="3"/>
    <x v="0"/>
    <x v="0"/>
    <x v="0"/>
    <m/>
    <x v="0"/>
    <x v="0"/>
    <n v="7.0261290000000001"/>
    <m/>
    <x v="11"/>
    <x v="2"/>
    <x v="0"/>
    <x v="1"/>
    <x v="0"/>
  </r>
  <r>
    <s v="Singapore"/>
    <x v="3"/>
    <s v="SG4"/>
    <m/>
    <x v="3"/>
    <x v="0"/>
    <x v="4"/>
    <x v="0"/>
    <x v="0"/>
    <x v="0"/>
    <x v="0"/>
    <m/>
    <x v="0"/>
    <x v="0"/>
    <n v="14.5523439"/>
    <m/>
    <x v="11"/>
    <x v="1"/>
    <x v="0"/>
    <x v="2"/>
    <x v="0"/>
  </r>
  <r>
    <s v="Singapore"/>
    <x v="1"/>
    <s v="SG1"/>
    <m/>
    <x v="1"/>
    <x v="4"/>
    <x v="4"/>
    <x v="0"/>
    <x v="0"/>
    <x v="0"/>
    <x v="0"/>
    <m/>
    <x v="0"/>
    <x v="0"/>
    <n v="9.7758225000000003"/>
    <m/>
    <x v="11"/>
    <x v="2"/>
    <x v="0"/>
    <x v="3"/>
    <x v="2"/>
  </r>
  <r>
    <s v="Singapore"/>
    <x v="2"/>
    <s v="SG4"/>
    <m/>
    <x v="1"/>
    <x v="1"/>
    <x v="3"/>
    <x v="4"/>
    <x v="0"/>
    <x v="0"/>
    <x v="0"/>
    <m/>
    <x v="0"/>
    <x v="0"/>
    <n v="19.7308035"/>
    <m/>
    <x v="11"/>
    <x v="1"/>
    <x v="0"/>
    <x v="1"/>
    <x v="0"/>
  </r>
  <r>
    <s v="Singapore"/>
    <x v="0"/>
    <s v="SG2"/>
    <m/>
    <x v="5"/>
    <x v="4"/>
    <x v="3"/>
    <x v="2"/>
    <x v="0"/>
    <x v="0"/>
    <x v="0"/>
    <m/>
    <x v="0"/>
    <x v="0"/>
    <n v="45.802260000000004"/>
    <m/>
    <x v="11"/>
    <x v="3"/>
    <x v="0"/>
    <x v="5"/>
    <x v="2"/>
  </r>
  <r>
    <s v="Singapore"/>
    <x v="0"/>
    <s v="SG3"/>
    <m/>
    <x v="4"/>
    <x v="3"/>
    <x v="2"/>
    <x v="3"/>
    <x v="0"/>
    <x v="0"/>
    <x v="0"/>
    <m/>
    <x v="0"/>
    <x v="0"/>
    <n v="49.572378"/>
    <m/>
    <x v="11"/>
    <x v="1"/>
    <x v="0"/>
    <x v="3"/>
    <x v="2"/>
  </r>
  <r>
    <s v="Singapore"/>
    <x v="0"/>
    <s v="SG1"/>
    <m/>
    <x v="5"/>
    <x v="0"/>
    <x v="4"/>
    <x v="3"/>
    <x v="0"/>
    <x v="0"/>
    <x v="0"/>
    <m/>
    <x v="0"/>
    <x v="0"/>
    <n v="5.8421250000000002"/>
    <m/>
    <x v="11"/>
    <x v="0"/>
    <x v="0"/>
    <x v="4"/>
    <x v="1"/>
  </r>
  <r>
    <s v="Singapore"/>
    <x v="1"/>
    <s v="SG4"/>
    <m/>
    <x v="1"/>
    <x v="1"/>
    <x v="1"/>
    <x v="0"/>
    <x v="0"/>
    <x v="0"/>
    <x v="0"/>
    <m/>
    <x v="0"/>
    <x v="0"/>
    <n v="0.77895000000000003"/>
    <m/>
    <x v="11"/>
    <x v="0"/>
    <x v="0"/>
    <x v="1"/>
    <x v="0"/>
  </r>
  <r>
    <s v="Singapore"/>
    <x v="0"/>
    <s v="SG3"/>
    <m/>
    <x v="4"/>
    <x v="2"/>
    <x v="4"/>
    <x v="0"/>
    <x v="0"/>
    <x v="0"/>
    <x v="0"/>
    <m/>
    <x v="0"/>
    <x v="0"/>
    <n v="0.74779200000000001"/>
    <m/>
    <x v="11"/>
    <x v="0"/>
    <x v="0"/>
    <x v="4"/>
    <x v="2"/>
  </r>
  <r>
    <s v="Singapore"/>
    <x v="2"/>
    <s v="SG1"/>
    <m/>
    <x v="4"/>
    <x v="0"/>
    <x v="4"/>
    <x v="1"/>
    <x v="0"/>
    <x v="0"/>
    <x v="0"/>
    <m/>
    <x v="0"/>
    <x v="0"/>
    <n v="2.0983043520000004"/>
    <m/>
    <x v="8"/>
    <x v="2"/>
    <x v="0"/>
    <x v="4"/>
    <x v="2"/>
  </r>
  <r>
    <s v="Singapore"/>
    <x v="3"/>
    <s v="SG4"/>
    <m/>
    <x v="4"/>
    <x v="1"/>
    <x v="0"/>
    <x v="2"/>
    <x v="0"/>
    <x v="0"/>
    <x v="0"/>
    <m/>
    <x v="0"/>
    <x v="0"/>
    <n v="3.168721863"/>
    <m/>
    <x v="8"/>
    <x v="0"/>
    <x v="0"/>
    <x v="3"/>
    <x v="1"/>
  </r>
  <r>
    <s v="Singapore"/>
    <x v="4"/>
    <s v="SG2"/>
    <m/>
    <x v="1"/>
    <x v="3"/>
    <x v="4"/>
    <x v="4"/>
    <x v="0"/>
    <x v="0"/>
    <x v="0"/>
    <m/>
    <x v="0"/>
    <x v="0"/>
    <n v="3.1687374420000003"/>
    <m/>
    <x v="8"/>
    <x v="2"/>
    <x v="0"/>
    <x v="4"/>
    <x v="2"/>
  </r>
  <r>
    <s v="Singapore"/>
    <x v="0"/>
    <s v="SG1"/>
    <m/>
    <x v="1"/>
    <x v="0"/>
    <x v="3"/>
    <x v="2"/>
    <x v="0"/>
    <x v="0"/>
    <x v="0"/>
    <m/>
    <x v="0"/>
    <x v="0"/>
    <n v="9.6201882900000015"/>
    <m/>
    <x v="8"/>
    <x v="1"/>
    <x v="0"/>
    <x v="5"/>
    <x v="1"/>
  </r>
  <r>
    <s v="Singapore"/>
    <x v="5"/>
    <s v="SG1"/>
    <m/>
    <x v="2"/>
    <x v="2"/>
    <x v="1"/>
    <x v="2"/>
    <x v="0"/>
    <x v="0"/>
    <x v="0"/>
    <m/>
    <x v="0"/>
    <x v="0"/>
    <n v="1.40211"/>
    <m/>
    <x v="8"/>
    <x v="3"/>
    <x v="0"/>
    <x v="4"/>
    <x v="2"/>
  </r>
  <r>
    <s v="Singapore"/>
    <x v="1"/>
    <s v="SG4"/>
    <m/>
    <x v="1"/>
    <x v="3"/>
    <x v="4"/>
    <x v="4"/>
    <x v="0"/>
    <x v="0"/>
    <x v="0"/>
    <m/>
    <x v="0"/>
    <x v="0"/>
    <n v="0.83628071999999998"/>
    <m/>
    <x v="8"/>
    <x v="2"/>
    <x v="0"/>
    <x v="4"/>
    <x v="2"/>
  </r>
  <r>
    <s v="Singapore"/>
    <x v="3"/>
    <s v="SG2"/>
    <m/>
    <x v="5"/>
    <x v="2"/>
    <x v="1"/>
    <x v="3"/>
    <x v="0"/>
    <x v="0"/>
    <x v="0"/>
    <m/>
    <x v="0"/>
    <x v="0"/>
    <n v="10.243192500000001"/>
    <m/>
    <x v="8"/>
    <x v="0"/>
    <x v="0"/>
    <x v="1"/>
    <x v="1"/>
  </r>
  <r>
    <s v="Singapore"/>
    <x v="2"/>
    <s v="SG1"/>
    <m/>
    <x v="1"/>
    <x v="3"/>
    <x v="0"/>
    <x v="4"/>
    <x v="0"/>
    <x v="0"/>
    <x v="0"/>
    <m/>
    <x v="0"/>
    <x v="0"/>
    <n v="115.729660872"/>
    <m/>
    <x v="8"/>
    <x v="0"/>
    <x v="0"/>
    <x v="2"/>
    <x v="2"/>
  </r>
  <r>
    <s v="Singapore"/>
    <x v="4"/>
    <s v="SG2"/>
    <m/>
    <x v="1"/>
    <x v="2"/>
    <x v="3"/>
    <x v="3"/>
    <x v="0"/>
    <x v="0"/>
    <x v="0"/>
    <m/>
    <x v="0"/>
    <x v="0"/>
    <n v="0.264843"/>
    <m/>
    <x v="8"/>
    <x v="0"/>
    <x v="0"/>
    <x v="4"/>
    <x v="2"/>
  </r>
  <r>
    <s v="Singapore"/>
    <x v="3"/>
    <s v="SG4"/>
    <m/>
    <x v="2"/>
    <x v="4"/>
    <x v="1"/>
    <x v="4"/>
    <x v="0"/>
    <x v="0"/>
    <x v="0"/>
    <m/>
    <x v="0"/>
    <x v="0"/>
    <n v="1.8507540420000002"/>
    <m/>
    <x v="8"/>
    <x v="2"/>
    <x v="0"/>
    <x v="2"/>
    <x v="2"/>
  </r>
  <r>
    <s v="Singapore"/>
    <x v="5"/>
    <s v="SG4"/>
    <m/>
    <x v="3"/>
    <x v="1"/>
    <x v="3"/>
    <x v="5"/>
    <x v="0"/>
    <x v="0"/>
    <x v="0"/>
    <m/>
    <x v="0"/>
    <x v="0"/>
    <n v="-0.41751720000000003"/>
    <m/>
    <x v="8"/>
    <x v="3"/>
    <x v="0"/>
    <x v="2"/>
    <x v="0"/>
  </r>
  <r>
    <s v="Singapore"/>
    <x v="3"/>
    <s v="SG3"/>
    <m/>
    <x v="0"/>
    <x v="3"/>
    <x v="4"/>
    <x v="3"/>
    <x v="0"/>
    <x v="0"/>
    <x v="0"/>
    <m/>
    <x v="0"/>
    <x v="0"/>
    <n v="1.642556286"/>
    <m/>
    <x v="8"/>
    <x v="2"/>
    <x v="0"/>
    <x v="1"/>
    <x v="2"/>
  </r>
  <r>
    <s v="Singapore"/>
    <x v="5"/>
    <s v="SG4"/>
    <m/>
    <x v="5"/>
    <x v="4"/>
    <x v="3"/>
    <x v="4"/>
    <x v="0"/>
    <x v="0"/>
    <x v="0"/>
    <m/>
    <x v="0"/>
    <x v="0"/>
    <n v="0.82852237800000017"/>
    <m/>
    <x v="8"/>
    <x v="0"/>
    <x v="0"/>
    <x v="1"/>
    <x v="1"/>
  </r>
  <r>
    <s v="Singapore"/>
    <x v="2"/>
    <s v="SG3"/>
    <m/>
    <x v="2"/>
    <x v="1"/>
    <x v="0"/>
    <x v="2"/>
    <x v="0"/>
    <x v="0"/>
    <x v="0"/>
    <m/>
    <x v="0"/>
    <x v="0"/>
    <n v="3.1424556689999998"/>
    <m/>
    <x v="8"/>
    <x v="0"/>
    <x v="0"/>
    <x v="1"/>
    <x v="0"/>
  </r>
  <r>
    <s v="Singapore"/>
    <x v="2"/>
    <s v="SG1"/>
    <m/>
    <x v="1"/>
    <x v="0"/>
    <x v="4"/>
    <x v="2"/>
    <x v="0"/>
    <x v="0"/>
    <x v="0"/>
    <m/>
    <x v="0"/>
    <x v="0"/>
    <n v="0.31158000000000002"/>
    <m/>
    <x v="8"/>
    <x v="1"/>
    <x v="0"/>
    <x v="0"/>
    <x v="0"/>
  </r>
  <r>
    <s v="Singapore"/>
    <x v="2"/>
    <s v="SG4"/>
    <m/>
    <x v="5"/>
    <x v="3"/>
    <x v="2"/>
    <x v="5"/>
    <x v="0"/>
    <x v="0"/>
    <x v="0"/>
    <m/>
    <x v="0"/>
    <x v="0"/>
    <n v="0.86546018700000005"/>
    <m/>
    <x v="8"/>
    <x v="0"/>
    <x v="0"/>
    <x v="0"/>
    <x v="1"/>
  </r>
  <r>
    <s v="Singapore"/>
    <x v="0"/>
    <s v="SG2"/>
    <m/>
    <x v="1"/>
    <x v="1"/>
    <x v="0"/>
    <x v="5"/>
    <x v="0"/>
    <x v="0"/>
    <x v="0"/>
    <m/>
    <x v="0"/>
    <x v="0"/>
    <n v="4.4101967940000009"/>
    <m/>
    <x v="8"/>
    <x v="1"/>
    <x v="0"/>
    <x v="4"/>
    <x v="1"/>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r>
    <m/>
    <x v="6"/>
    <m/>
    <m/>
    <x v="6"/>
    <x v="5"/>
    <x v="5"/>
    <x v="6"/>
    <x v="1"/>
    <x v="0"/>
    <x v="1"/>
    <m/>
    <x v="1"/>
    <x v="1"/>
    <m/>
    <m/>
    <x v="30"/>
    <x v="4"/>
    <x v="1"/>
    <x v="6"/>
    <x v="3"/>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ontract_Name" xr10:uid="{DFC45F99-60E9-4B6F-AAEE-CF50ABAF448E}" sourceName="Contract Name">
  <data>
    <tabular pivotCacheId="1224039251">
      <items count="8">
        <i x="7" s="1"/>
        <i x="3" s="1"/>
        <i x="0" s="1"/>
        <i x="2" s="1"/>
        <i x="5" s="1"/>
        <i x="1" s="1"/>
        <i x="4" s="1"/>
        <i x="6"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LFS_Branch" xr10:uid="{2987FEA5-9D49-44B4-808A-CE1368FDE96E}" sourceName="LFS Branch">
  <data>
    <tabular pivotCacheId="1224039251">
      <items count="6">
        <i x="5" s="1"/>
        <i x="4" s="1"/>
        <i x="3" s="1"/>
        <i x="2" s="1"/>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lendar_Year" xr10:uid="{AD551303-CBC5-4A55-89B1-F3629E5B5E7B}" sourceName="Calendar Year">
  <data>
    <tabular pivotCacheId="1224039251">
      <items count="2">
        <i x="0" s="1"/>
        <i x="1"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ite" xr10:uid="{E81A7176-D4B5-4D2F-A9A7-97DE2B2C9EA0}" sourceName="Site">
  <data>
    <tabular pivotCacheId="1224039251">
      <items count="42">
        <i x="35"/>
        <i x="19"/>
        <i x="7"/>
        <i x="18"/>
        <i x="20"/>
        <i x="21"/>
        <i x="22"/>
        <i x="9"/>
        <i x="12"/>
        <i x="8"/>
        <i x="10"/>
        <i x="11"/>
        <i x="17"/>
        <i x="40"/>
        <i x="13"/>
        <i x="14"/>
        <i x="38"/>
        <i x="39"/>
        <i x="15"/>
        <i x="16"/>
        <i x="2"/>
        <i x="23"/>
        <i x="24"/>
        <i x="25"/>
        <i x="3"/>
        <i x="36"/>
        <i x="4"/>
        <i x="37"/>
        <i x="26"/>
        <i x="27"/>
        <i x="28"/>
        <i x="29"/>
        <i x="5" s="1"/>
        <i x="41"/>
        <i x="0"/>
        <i x="30"/>
        <i x="31"/>
        <i x="32"/>
        <i x="33"/>
        <i x="34"/>
        <i x="1"/>
        <i x="6"/>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Vertical_Market" xr10:uid="{759D00F2-42D0-4A75-AD57-AD81DA723CC6}" sourceName="Vertical Market">
  <data>
    <tabular pivotCacheId="1224039251">
      <items count="32">
        <i x="6" s="1"/>
        <i x="18" s="1"/>
        <i x="13" s="1"/>
        <i x="3" s="1"/>
        <i x="26" s="1"/>
        <i x="9" s="1"/>
        <i x="12" s="1"/>
        <i x="7" s="1"/>
        <i x="24" s="1"/>
        <i x="15" s="1"/>
        <i x="4" s="1"/>
        <i x="0" s="1"/>
        <i x="25" s="1"/>
        <i x="19" s="1"/>
        <i x="27" s="1"/>
        <i x="20" s="1"/>
        <i x="10" s="1"/>
        <i x="30" s="1"/>
        <i x="28" s="1"/>
        <i x="14" s="1"/>
        <i x="8" s="1"/>
        <i x="29" s="1"/>
        <i x="16" s="1"/>
        <i x="1" s="1"/>
        <i x="23" s="1"/>
        <i x="31" s="1"/>
        <i x="22" s="1"/>
        <i x="11" s="1"/>
        <i x="2" s="1"/>
        <i x="21" s="1"/>
        <i x="17" s="1"/>
        <i x="5" s="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Key_Account" xr10:uid="{D72DFA1C-32D4-4F11-B54B-E2547D60D63E}" sourceName="Key Account">
  <data>
    <tabular pivotCacheId="1224039251">
      <items count="51">
        <i x="7" s="1"/>
        <i x="21" s="1"/>
        <i x="2" s="1"/>
        <i x="13" s="1"/>
        <i x="32" s="1"/>
        <i x="0" s="1"/>
        <i x="22" s="1"/>
        <i x="14" s="1"/>
        <i x="50" s="1"/>
        <i x="33" s="1"/>
        <i x="26" s="1"/>
        <i x="39" s="1"/>
        <i x="11" s="1"/>
        <i x="18" s="1"/>
        <i x="19" s="1"/>
        <i x="25" s="1"/>
        <i x="43" s="1"/>
        <i x="30" s="1"/>
        <i x="15" s="1"/>
        <i x="46" s="1"/>
        <i x="1" s="1"/>
        <i x="48" s="1"/>
        <i x="24" s="1"/>
        <i x="28" s="1"/>
        <i x="40" s="1"/>
        <i x="12" s="1"/>
        <i x="49" s="1"/>
        <i x="5" s="1"/>
        <i x="36" s="1"/>
        <i x="45" s="1"/>
        <i x="44" s="1"/>
        <i x="23" s="1"/>
        <i x="31" s="1"/>
        <i x="42" s="1"/>
        <i x="9" s="1"/>
        <i x="8" s="1"/>
        <i x="38" s="1"/>
        <i x="4" s="1"/>
        <i x="10" s="1"/>
        <i x="47" s="1"/>
        <i x="34" s="1"/>
        <i x="41" s="1"/>
        <i x="16" s="1"/>
        <i x="17" s="1"/>
        <i x="29" s="1"/>
        <i x="3" s="1"/>
        <i x="27" s="1"/>
        <i x="37" s="1"/>
        <i x="35" s="1"/>
        <i x="20" s="1"/>
        <i x="6" s="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tity" xr10:uid="{81C3BC8A-1AB2-4EAA-8420-BCDA230295C3}" sourceName="Entity">
  <data>
    <tabular pivotCacheId="1224039251">
      <items count="7">
        <i x="5" s="1"/>
        <i x="1" s="1"/>
        <i x="0" s="1"/>
        <i x="2" s="1"/>
        <i x="3" s="1"/>
        <i x="6" s="1"/>
        <i x="4" s="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 xr10:uid="{D3C06E2D-0AC2-439F-99F8-E61033C08B76}" sourceName="Division">
  <data>
    <tabular pivotCacheId="1224039251">
      <items count="4">
        <i x="0" s="1"/>
        <i x="2" s="1"/>
        <i x="3" s="1"/>
        <i x="1" s="1"/>
      </items>
    </tabular>
  </data>
  <extLs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l_Key_Customer" xr10:uid="{876D581C-BD72-4BE7-9785-8617843A8D23}" sourceName="Local Key Customer">
  <data>
    <tabular pivotCacheId="1224039251">
      <items count="7">
        <i x="4" s="1"/>
        <i x="0" s="1"/>
        <i x="2" s="1"/>
        <i x="3" s="1"/>
        <i x="5" s="1"/>
        <i x="1" s="1"/>
        <i x="6" s="1"/>
      </items>
    </tabular>
  </data>
  <extLs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 xr10:uid="{3EA739CD-AFA0-4DDE-9A15-0751D2F96EC0}" sourceName="Unit">
  <data>
    <tabular pivotCacheId="1224039251">
      <items count="4">
        <i x="1" s="1"/>
        <i x="0" s="1"/>
        <i x="2" s="1"/>
        <i x="3"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 Name 1" xr10:uid="{C5E257E3-0921-41AE-818C-C65C175E47FC}" cache="SegmentaciónDeDatos_Contract_Name" caption="Contract Name" style="DSV" rowHeight="194400"/>
  <slicer name="LFS Branch 1" xr10:uid="{6E880F21-6E10-4B92-A679-4DF60BD4F0D8}" cache="SegmentaciónDeDatos_LFS_Branch" caption="LFS Branch" style="DSV" rowHeight="194400"/>
  <slicer name="Calendar Year 1" xr10:uid="{03AA3098-F220-4B9B-A1B5-4A667C5EE77E}" cache="SegmentaciónDeDatos_Calendar_Year" caption="Year" style="DSV" rowHeight="193675"/>
  <slicer name="Site 1" xr10:uid="{273A4A7E-4F11-4B95-8944-6FEE57113975}" cache="SegmentaciónDeDatos_Site" caption="LFS Site" style="DSV" rowHeight="194400"/>
  <slicer name="Vertical Market 1" xr10:uid="{F825A079-F448-476A-B1F2-641088F60F58}" cache="SegmentaciónDeDatos_Vertical_Market" caption="Vertical Market" style="DSV" rowHeight="184150"/>
  <slicer name="Key Account 1" xr10:uid="{76A32AB7-5960-4727-991B-4D7149E65C93}" cache="SegmentaciónDeDatos_Key_Account" caption="Key Account" style="DSV" rowHeight="184150"/>
  <slicer name="Entity 2" xr10:uid="{C3A5B283-E333-4D81-9B0C-5AC50C4B3447}" cache="Slicer_Entity" caption="Entity" style="DSV" rowHeight="188383"/>
  <slicer name="Division 1" xr10:uid="{C6BF2F7E-6A13-4A1C-AD6E-53148B2B88AB}" cache="Slicer_Division" caption="Division" style="DSV" rowHeight="177800"/>
  <slicer name="Local Key Customer 1" xr10:uid="{4BEA1F8F-C93C-4FDC-8140-E281F6327CCC}" cache="Slicer_Local_Key_Customer" caption="Local Key Customer" startItem="2" style="DSV" rowHeight="177800"/>
  <slicer name="Unit 1" xr10:uid="{DC7E7211-166F-4D0B-9DA2-E9A93E45CA0C}" cache="Slicer_Unit" caption="Unit" style="DSV" rowHeight="177800"/>
</slicers>
</file>

<file path=xl/theme/theme1.xml><?xml version="1.0" encoding="utf-8"?>
<a:theme xmlns:a="http://schemas.openxmlformats.org/drawingml/2006/main" name="Office Theme">
  <a:themeElements>
    <a:clrScheme name="DB Schenker">
      <a:dk1>
        <a:sysClr val="windowText" lastClr="000000"/>
      </a:dk1>
      <a:lt1>
        <a:sysClr val="window" lastClr="FFFFFF"/>
      </a:lt1>
      <a:dk2>
        <a:srgbClr val="878C96"/>
      </a:dk2>
      <a:lt2>
        <a:srgbClr val="C8C8CD"/>
      </a:lt2>
      <a:accent1>
        <a:srgbClr val="FF0000"/>
      </a:accent1>
      <a:accent2>
        <a:srgbClr val="000066"/>
      </a:accent2>
      <a:accent3>
        <a:srgbClr val="F0CD0A"/>
      </a:accent3>
      <a:accent4>
        <a:srgbClr val="E67800"/>
      </a:accent4>
      <a:accent5>
        <a:srgbClr val="8CB90F"/>
      </a:accent5>
      <a:accent6>
        <a:srgbClr val="004BB4"/>
      </a:accent6>
      <a:hlink>
        <a:srgbClr val="0000FF"/>
      </a:hlink>
      <a:folHlink>
        <a:srgbClr val="8CB90F"/>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07/relationships/slicer" Target="../slicers/slicer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D92C-4B76-4FC6-A067-1763F7A0C950}">
  <sheetPr codeName="Sheet5">
    <pageSetUpPr fitToPage="1"/>
  </sheetPr>
  <dimension ref="A2:AE120"/>
  <sheetViews>
    <sheetView showGridLines="0" tabSelected="1" zoomScale="57" zoomScaleNormal="90" workbookViewId="0">
      <selection activeCell="M68" sqref="M68"/>
    </sheetView>
  </sheetViews>
  <sheetFormatPr defaultColWidth="0" defaultRowHeight="14.4" outlineLevelRow="1"/>
  <cols>
    <col min="1" max="1" width="25.44140625" style="1" customWidth="1"/>
    <col min="2" max="14" width="16.44140625" style="1" customWidth="1"/>
    <col min="15" max="15" width="9.109375" style="1" customWidth="1"/>
    <col min="16" max="16" width="9.109375" style="1" hidden="1" customWidth="1"/>
    <col min="17" max="31" width="9.5546875" hidden="1" customWidth="1"/>
    <col min="32" max="16384" width="9.109375" hidden="1"/>
  </cols>
  <sheetData>
    <row r="2" spans="1:14">
      <c r="F2"/>
      <c r="G2"/>
      <c r="L2" s="2" t="s">
        <v>0</v>
      </c>
      <c r="M2" s="3" t="s">
        <v>1</v>
      </c>
    </row>
    <row r="3" spans="1:14">
      <c r="L3" s="4"/>
      <c r="M3" s="5"/>
    </row>
    <row r="4" spans="1:14">
      <c r="A4" s="1" t="s">
        <v>2</v>
      </c>
      <c r="B4" s="1" t="s">
        <v>3</v>
      </c>
      <c r="L4" s="4"/>
      <c r="M4" s="5"/>
    </row>
    <row r="7" spans="1:14">
      <c r="A7"/>
      <c r="B7"/>
    </row>
    <row r="8" spans="1:14">
      <c r="A8"/>
      <c r="B8"/>
    </row>
    <row r="9" spans="1:14">
      <c r="A9"/>
      <c r="B9"/>
      <c r="C9"/>
    </row>
    <row r="10" spans="1:14">
      <c r="A10"/>
      <c r="B10"/>
    </row>
    <row r="11" spans="1:14">
      <c r="A11"/>
      <c r="B11"/>
    </row>
    <row r="12" spans="1:14">
      <c r="A12"/>
      <c r="B12"/>
    </row>
    <row r="13" spans="1:14" ht="6" customHeight="1">
      <c r="A13" s="6"/>
      <c r="B13" s="6"/>
      <c r="C13" s="6"/>
      <c r="D13" s="6"/>
      <c r="E13" s="6"/>
      <c r="F13" s="6"/>
      <c r="G13" s="6"/>
      <c r="H13" s="6"/>
      <c r="I13" s="6"/>
      <c r="J13" s="6"/>
      <c r="K13" s="6"/>
      <c r="L13" s="6"/>
      <c r="M13" s="6"/>
      <c r="N13" s="6"/>
    </row>
    <row r="14" spans="1:14" ht="4.5" customHeight="1">
      <c r="B14" s="7">
        <v>1</v>
      </c>
      <c r="C14" s="7">
        <v>2</v>
      </c>
      <c r="D14" s="7">
        <v>3</v>
      </c>
      <c r="E14" s="7">
        <v>4</v>
      </c>
      <c r="F14" s="7">
        <v>5</v>
      </c>
      <c r="G14" s="7">
        <v>6</v>
      </c>
      <c r="H14" s="7">
        <v>7</v>
      </c>
      <c r="I14" s="7">
        <v>8</v>
      </c>
      <c r="J14" s="7">
        <v>9</v>
      </c>
      <c r="K14" s="7">
        <v>10</v>
      </c>
      <c r="L14" s="7">
        <v>11</v>
      </c>
      <c r="M14" s="7">
        <v>12</v>
      </c>
    </row>
    <row r="15" spans="1:14" ht="15" thickBot="1">
      <c r="A15" s="1" t="s">
        <v>4</v>
      </c>
      <c r="B15" s="7"/>
      <c r="C15" s="7"/>
      <c r="D15" s="7"/>
      <c r="E15" s="7"/>
      <c r="F15" s="7"/>
      <c r="G15" s="7"/>
      <c r="H15" s="7"/>
      <c r="I15" s="7"/>
      <c r="J15" s="7"/>
      <c r="K15" s="7"/>
      <c r="L15" s="7"/>
      <c r="M15" s="8"/>
    </row>
    <row r="16" spans="1:14" ht="15.6" thickTop="1" thickBot="1">
      <c r="A16" s="9" t="s">
        <v>5</v>
      </c>
      <c r="B16" s="9" t="s">
        <v>6</v>
      </c>
      <c r="C16" s="9" t="s">
        <v>7</v>
      </c>
      <c r="D16" s="9" t="s">
        <v>8</v>
      </c>
      <c r="E16" s="9" t="s">
        <v>9</v>
      </c>
      <c r="F16" s="9" t="s">
        <v>10</v>
      </c>
      <c r="G16" s="9" t="s">
        <v>11</v>
      </c>
      <c r="H16" s="9" t="s">
        <v>12</v>
      </c>
      <c r="I16" s="9" t="s">
        <v>13</v>
      </c>
      <c r="J16" s="9" t="s">
        <v>14</v>
      </c>
      <c r="K16" s="9" t="s">
        <v>15</v>
      </c>
      <c r="L16" s="9" t="s">
        <v>16</v>
      </c>
      <c r="M16" s="9" t="s">
        <v>17</v>
      </c>
      <c r="N16" s="10" t="s">
        <v>18</v>
      </c>
    </row>
    <row r="17" spans="1:14" ht="6.6" customHeight="1" thickTop="1"/>
    <row r="18" spans="1:14" outlineLevel="1">
      <c r="A18" s="1" t="s">
        <v>19</v>
      </c>
      <c r="B18" s="11">
        <f>SUMIFS([1]PIVOT!$D:$D,[1]PIVOT!$B:$B,$A18,[1]PIVOT!$A:$A,B$14)*-1</f>
        <v>486.03387568500062</v>
      </c>
      <c r="C18" s="11">
        <f>SUMIFS([1]PIVOT!$D:$D,[1]PIVOT!$B:$B,$A18,[1]PIVOT!$A:$A,C$14)*-1</f>
        <v>0</v>
      </c>
      <c r="D18" s="11">
        <f>SUMIFS([1]PIVOT!$D:$D,[1]PIVOT!$B:$B,$A18,[1]PIVOT!$A:$A,D$14)*-1</f>
        <v>0</v>
      </c>
      <c r="E18" s="11">
        <f>SUMIFS([1]PIVOT!$D:$D,[1]PIVOT!$B:$B,$A18,[1]PIVOT!$A:$A,E$14)*-1</f>
        <v>0</v>
      </c>
      <c r="F18" s="11">
        <f>SUMIFS([1]PIVOT!$D:$D,[1]PIVOT!$B:$B,$A18,[1]PIVOT!$A:$A,F$14)*-1</f>
        <v>0</v>
      </c>
      <c r="G18" s="11">
        <f>SUMIFS([1]PIVOT!$D:$D,[1]PIVOT!$B:$B,$A18,[1]PIVOT!$A:$A,G$14)*-1</f>
        <v>0</v>
      </c>
      <c r="H18" s="11">
        <f>SUMIFS([1]PIVOT!$D:$D,[1]PIVOT!$B:$B,$A18,[1]PIVOT!$A:$A,H$14)*-1</f>
        <v>0</v>
      </c>
      <c r="I18" s="11">
        <f>SUMIFS([1]PIVOT!$D:$D,[1]PIVOT!$B:$B,$A18,[1]PIVOT!$A:$A,I$14)*-1</f>
        <v>0</v>
      </c>
      <c r="J18" s="11">
        <f>SUMIFS([1]PIVOT!$D:$D,[1]PIVOT!$B:$B,$A18,[1]PIVOT!$A:$A,J$14)*-1</f>
        <v>0</v>
      </c>
      <c r="K18" s="11">
        <f>SUMIFS([1]PIVOT!$D:$D,[1]PIVOT!$B:$B,$A18,[1]PIVOT!$A:$A,K$14)*-1</f>
        <v>0</v>
      </c>
      <c r="L18" s="11">
        <f>SUMIFS([1]PIVOT!$D:$D,[1]PIVOT!$B:$B,$A18,[1]PIVOT!$A:$A,L$14)*-1</f>
        <v>0</v>
      </c>
      <c r="M18" s="11">
        <f>SUMIFS([1]PIVOT!$D:$D,[1]PIVOT!$B:$B,$A18,[1]PIVOT!$A:$A,M$14)*-1</f>
        <v>0</v>
      </c>
      <c r="N18" s="12">
        <f t="shared" ref="N18:N37" si="0">SUM(B18:M18)</f>
        <v>486.03387568500062</v>
      </c>
    </row>
    <row r="19" spans="1:14" outlineLevel="1">
      <c r="A19" s="1" t="s">
        <v>20</v>
      </c>
      <c r="B19" s="11">
        <f>SUMIFS([1]PIVOT!$D:$D,[1]PIVOT!$B:$B,$A19,[1]PIVOT!$A:$A,B$14)*-1</f>
        <v>108.38179436400003</v>
      </c>
      <c r="C19" s="11">
        <f>SUMIFS([1]PIVOT!$D:$D,[1]PIVOT!$B:$B,$A19,[1]PIVOT!$A:$A,C$14)*-1</f>
        <v>0</v>
      </c>
      <c r="D19" s="11">
        <f>SUMIFS([1]PIVOT!$D:$D,[1]PIVOT!$B:$B,$A19,[1]PIVOT!$A:$A,D$14)*-1</f>
        <v>0</v>
      </c>
      <c r="E19" s="11">
        <f>SUMIFS([1]PIVOT!$D:$D,[1]PIVOT!$B:$B,$A19,[1]PIVOT!$A:$A,E$14)*-1</f>
        <v>0</v>
      </c>
      <c r="F19" s="11">
        <f>SUMIFS([1]PIVOT!$D:$D,[1]PIVOT!$B:$B,$A19,[1]PIVOT!$A:$A,F$14)*-1</f>
        <v>0</v>
      </c>
      <c r="G19" s="11">
        <f>SUMIFS([1]PIVOT!$D:$D,[1]PIVOT!$B:$B,$A19,[1]PIVOT!$A:$A,G$14)*-1</f>
        <v>0</v>
      </c>
      <c r="H19" s="11">
        <f>SUMIFS([1]PIVOT!$D:$D,[1]PIVOT!$B:$B,$A19,[1]PIVOT!$A:$A,H$14)*-1</f>
        <v>0</v>
      </c>
      <c r="I19" s="11">
        <f>SUMIFS([1]PIVOT!$D:$D,[1]PIVOT!$B:$B,$A19,[1]PIVOT!$A:$A,I$14)*-1</f>
        <v>0</v>
      </c>
      <c r="J19" s="11">
        <f>SUMIFS([1]PIVOT!$D:$D,[1]PIVOT!$B:$B,$A19,[1]PIVOT!$A:$A,J$14)*-1</f>
        <v>0</v>
      </c>
      <c r="K19" s="11">
        <f>SUMIFS([1]PIVOT!$D:$D,[1]PIVOT!$B:$B,$A19,[1]PIVOT!$A:$A,K$14)*-1</f>
        <v>0</v>
      </c>
      <c r="L19" s="11">
        <f>SUMIFS([1]PIVOT!$D:$D,[1]PIVOT!$B:$B,$A19,[1]PIVOT!$A:$A,L$14)*-1</f>
        <v>0</v>
      </c>
      <c r="M19" s="11">
        <f>SUMIFS([1]PIVOT!$D:$D,[1]PIVOT!$B:$B,$A19,[1]PIVOT!$A:$A,M$14)*-1</f>
        <v>0</v>
      </c>
      <c r="N19" s="12">
        <f t="shared" si="0"/>
        <v>108.38179436400003</v>
      </c>
    </row>
    <row r="20" spans="1:14" outlineLevel="1">
      <c r="A20" s="1" t="s">
        <v>21</v>
      </c>
      <c r="B20" s="11">
        <f>SUMIFS([1]PIVOT!$D:$D,[1]PIVOT!$B:$B,$A20,[1]PIVOT!$A:$A,B$14)*-1</f>
        <v>182.68070937300007</v>
      </c>
      <c r="C20" s="11">
        <f>SUMIFS([1]PIVOT!$D:$D,[1]PIVOT!$B:$B,$A20,[1]PIVOT!$A:$A,C$14)*-1</f>
        <v>0</v>
      </c>
      <c r="D20" s="11">
        <f>SUMIFS([1]PIVOT!$D:$D,[1]PIVOT!$B:$B,$A20,[1]PIVOT!$A:$A,D$14)*-1</f>
        <v>0</v>
      </c>
      <c r="E20" s="11">
        <f>SUMIFS([1]PIVOT!$D:$D,[1]PIVOT!$B:$B,$A20,[1]PIVOT!$A:$A,E$14)*-1</f>
        <v>0</v>
      </c>
      <c r="F20" s="11">
        <f>SUMIFS([1]PIVOT!$D:$D,[1]PIVOT!$B:$B,$A20,[1]PIVOT!$A:$A,F$14)*-1</f>
        <v>0</v>
      </c>
      <c r="G20" s="11">
        <f>SUMIFS([1]PIVOT!$D:$D,[1]PIVOT!$B:$B,$A20,[1]PIVOT!$A:$A,G$14)*-1</f>
        <v>0</v>
      </c>
      <c r="H20" s="11">
        <f>SUMIFS([1]PIVOT!$D:$D,[1]PIVOT!$B:$B,$A20,[1]PIVOT!$A:$A,H$14)*-1</f>
        <v>0</v>
      </c>
      <c r="I20" s="11">
        <f>SUMIFS([1]PIVOT!$D:$D,[1]PIVOT!$B:$B,$A20,[1]PIVOT!$A:$A,I$14)*-1</f>
        <v>0</v>
      </c>
      <c r="J20" s="11">
        <f>SUMIFS([1]PIVOT!$D:$D,[1]PIVOT!$B:$B,$A20,[1]PIVOT!$A:$A,J$14)*-1</f>
        <v>0</v>
      </c>
      <c r="K20" s="11">
        <f>SUMIFS([1]PIVOT!$D:$D,[1]PIVOT!$B:$B,$A20,[1]PIVOT!$A:$A,K$14)*-1</f>
        <v>0</v>
      </c>
      <c r="L20" s="11">
        <f>SUMIFS([1]PIVOT!$D:$D,[1]PIVOT!$B:$B,$A20,[1]PIVOT!$A:$A,L$14)*-1</f>
        <v>0</v>
      </c>
      <c r="M20" s="11">
        <f>SUMIFS([1]PIVOT!$D:$D,[1]PIVOT!$B:$B,$A20,[1]PIVOT!$A:$A,M$14)*-1</f>
        <v>0</v>
      </c>
      <c r="N20" s="12">
        <f t="shared" si="0"/>
        <v>182.68070937300007</v>
      </c>
    </row>
    <row r="21" spans="1:14" outlineLevel="1">
      <c r="A21" s="1" t="s">
        <v>22</v>
      </c>
      <c r="B21" s="11">
        <f>SUMIFS([1]PIVOT!$D:$D,[1]PIVOT!$B:$B,$A21,[1]PIVOT!$A:$A,B$14)*-1</f>
        <v>5814.9713950020005</v>
      </c>
      <c r="C21" s="11">
        <f>SUMIFS([1]PIVOT!$D:$D,[1]PIVOT!$B:$B,$A21,[1]PIVOT!$A:$A,C$14)*-1</f>
        <v>0</v>
      </c>
      <c r="D21" s="11">
        <f>SUMIFS([1]PIVOT!$D:$D,[1]PIVOT!$B:$B,$A21,[1]PIVOT!$A:$A,D$14)*-1</f>
        <v>0</v>
      </c>
      <c r="E21" s="11">
        <f>SUMIFS([1]PIVOT!$D:$D,[1]PIVOT!$B:$B,$A21,[1]PIVOT!$A:$A,E$14)*-1</f>
        <v>0</v>
      </c>
      <c r="F21" s="11">
        <f>SUMIFS([1]PIVOT!$D:$D,[1]PIVOT!$B:$B,$A21,[1]PIVOT!$A:$A,F$14)*-1</f>
        <v>0</v>
      </c>
      <c r="G21" s="11">
        <f>SUMIFS([1]PIVOT!$D:$D,[1]PIVOT!$B:$B,$A21,[1]PIVOT!$A:$A,G$14)*-1</f>
        <v>0</v>
      </c>
      <c r="H21" s="11">
        <f>SUMIFS([1]PIVOT!$D:$D,[1]PIVOT!$B:$B,$A21,[1]PIVOT!$A:$A,H$14)*-1</f>
        <v>0</v>
      </c>
      <c r="I21" s="11">
        <f>SUMIFS([1]PIVOT!$D:$D,[1]PIVOT!$B:$B,$A21,[1]PIVOT!$A:$A,I$14)*-1</f>
        <v>0</v>
      </c>
      <c r="J21" s="11">
        <f>SUMIFS([1]PIVOT!$D:$D,[1]PIVOT!$B:$B,$A21,[1]PIVOT!$A:$A,J$14)*-1</f>
        <v>0</v>
      </c>
      <c r="K21" s="11">
        <f>SUMIFS([1]PIVOT!$D:$D,[1]PIVOT!$B:$B,$A21,[1]PIVOT!$A:$A,K$14)*-1</f>
        <v>0</v>
      </c>
      <c r="L21" s="11">
        <f>SUMIFS([1]PIVOT!$D:$D,[1]PIVOT!$B:$B,$A21,[1]PIVOT!$A:$A,L$14)*-1</f>
        <v>0</v>
      </c>
      <c r="M21" s="11">
        <f>SUMIFS([1]PIVOT!$D:$D,[1]PIVOT!$B:$B,$A21,[1]PIVOT!$A:$A,M$14)*-1</f>
        <v>0</v>
      </c>
      <c r="N21" s="12">
        <f t="shared" si="0"/>
        <v>5814.9713950020005</v>
      </c>
    </row>
    <row r="22" spans="1:14" outlineLevel="1">
      <c r="A22" s="1" t="s">
        <v>23</v>
      </c>
      <c r="B22" s="11">
        <f>SUMIFS([1]PIVOT!$D:$D,[1]PIVOT!$B:$B,$A22,[1]PIVOT!$A:$A,B$14)*-1</f>
        <v>214.56297708299999</v>
      </c>
      <c r="C22" s="11">
        <f>SUMIFS([1]PIVOT!$D:$D,[1]PIVOT!$B:$B,$A22,[1]PIVOT!$A:$A,C$14)*-1</f>
        <v>0</v>
      </c>
      <c r="D22" s="11">
        <f>SUMIFS([1]PIVOT!$D:$D,[1]PIVOT!$B:$B,$A22,[1]PIVOT!$A:$A,D$14)*-1</f>
        <v>0</v>
      </c>
      <c r="E22" s="11">
        <f>SUMIFS([1]PIVOT!$D:$D,[1]PIVOT!$B:$B,$A22,[1]PIVOT!$A:$A,E$14)*-1</f>
        <v>0</v>
      </c>
      <c r="F22" s="11">
        <f>SUMIFS([1]PIVOT!$D:$D,[1]PIVOT!$B:$B,$A22,[1]PIVOT!$A:$A,F$14)*-1</f>
        <v>0</v>
      </c>
      <c r="G22" s="11">
        <f>SUMIFS([1]PIVOT!$D:$D,[1]PIVOT!$B:$B,$A22,[1]PIVOT!$A:$A,G$14)*-1</f>
        <v>0</v>
      </c>
      <c r="H22" s="11">
        <f>SUMIFS([1]PIVOT!$D:$D,[1]PIVOT!$B:$B,$A22,[1]PIVOT!$A:$A,H$14)*-1</f>
        <v>0</v>
      </c>
      <c r="I22" s="11">
        <f>SUMIFS([1]PIVOT!$D:$D,[1]PIVOT!$B:$B,$A22,[1]PIVOT!$A:$A,I$14)*-1</f>
        <v>0</v>
      </c>
      <c r="J22" s="11">
        <f>SUMIFS([1]PIVOT!$D:$D,[1]PIVOT!$B:$B,$A22,[1]PIVOT!$A:$A,J$14)*-1</f>
        <v>0</v>
      </c>
      <c r="K22" s="11">
        <f>SUMIFS([1]PIVOT!$D:$D,[1]PIVOT!$B:$B,$A22,[1]PIVOT!$A:$A,K$14)*-1</f>
        <v>0</v>
      </c>
      <c r="L22" s="11">
        <f>SUMIFS([1]PIVOT!$D:$D,[1]PIVOT!$B:$B,$A22,[1]PIVOT!$A:$A,L$14)*-1</f>
        <v>0</v>
      </c>
      <c r="M22" s="11">
        <f>SUMIFS([1]PIVOT!$D:$D,[1]PIVOT!$B:$B,$A22,[1]PIVOT!$A:$A,M$14)*-1</f>
        <v>0</v>
      </c>
      <c r="N22" s="12">
        <f t="shared" si="0"/>
        <v>214.56297708299999</v>
      </c>
    </row>
    <row r="23" spans="1:14" outlineLevel="1">
      <c r="A23" s="13" t="s">
        <v>24</v>
      </c>
      <c r="B23" s="14">
        <f>SUMIFS([1]PIVOT!$D:$D,[1]PIVOT!$B:$B,$A23,[1]PIVOT!$A:$A,B$14)*-1</f>
        <v>0</v>
      </c>
      <c r="C23" s="14">
        <f>SUMIFS([1]PIVOT!$D:$D,[1]PIVOT!$B:$B,$A23,[1]PIVOT!$A:$A,C$14)*-1</f>
        <v>0</v>
      </c>
      <c r="D23" s="14">
        <f>SUMIFS([1]PIVOT!$D:$D,[1]PIVOT!$B:$B,$A23,[1]PIVOT!$A:$A,D$14)*-1</f>
        <v>0</v>
      </c>
      <c r="E23" s="14">
        <f>SUMIFS([1]PIVOT!$D:$D,[1]PIVOT!$B:$B,$A23,[1]PIVOT!$A:$A,E$14)*-1</f>
        <v>0</v>
      </c>
      <c r="F23" s="14">
        <f>SUMIFS([1]PIVOT!$D:$D,[1]PIVOT!$B:$B,$A23,[1]PIVOT!$A:$A,F$14)*-1</f>
        <v>0</v>
      </c>
      <c r="G23" s="14">
        <f>SUMIFS([1]PIVOT!$D:$D,[1]PIVOT!$B:$B,$A23,[1]PIVOT!$A:$A,G$14)*-1</f>
        <v>0</v>
      </c>
      <c r="H23" s="14">
        <f>SUMIFS([1]PIVOT!$D:$D,[1]PIVOT!$B:$B,$A23,[1]PIVOT!$A:$A,H$14)*-1</f>
        <v>0</v>
      </c>
      <c r="I23" s="14">
        <f>SUMIFS([1]PIVOT!$D:$D,[1]PIVOT!$B:$B,$A23,[1]PIVOT!$A:$A,I$14)*-1</f>
        <v>0</v>
      </c>
      <c r="J23" s="14">
        <f>SUMIFS([1]PIVOT!$D:$D,[1]PIVOT!$B:$B,$A23,[1]PIVOT!$A:$A,J$14)*-1</f>
        <v>0</v>
      </c>
      <c r="K23" s="14">
        <f>SUMIFS([1]PIVOT!$D:$D,[1]PIVOT!$B:$B,$A23,[1]PIVOT!$A:$A,K$14)*-1</f>
        <v>0</v>
      </c>
      <c r="L23" s="14">
        <f>SUMIFS([1]PIVOT!$D:$D,[1]PIVOT!$B:$B,$A23,[1]PIVOT!$A:$A,L$14)*-1</f>
        <v>0</v>
      </c>
      <c r="M23" s="14">
        <f>SUMIFS([1]PIVOT!$D:$D,[1]PIVOT!$B:$B,$A23,[1]PIVOT!$A:$A,M$14)*-1</f>
        <v>0</v>
      </c>
      <c r="N23" s="15">
        <f t="shared" si="0"/>
        <v>0</v>
      </c>
    </row>
    <row r="24" spans="1:14" ht="15" thickBot="1">
      <c r="A24" s="16" t="s">
        <v>25</v>
      </c>
      <c r="B24" s="17">
        <f>SUM(B18:B23)</f>
        <v>6806.6307515070012</v>
      </c>
      <c r="C24" s="17">
        <f t="shared" ref="C24:L24" si="1">SUM(C18:C23)</f>
        <v>0</v>
      </c>
      <c r="D24" s="17">
        <f t="shared" si="1"/>
        <v>0</v>
      </c>
      <c r="E24" s="17">
        <f t="shared" si="1"/>
        <v>0</v>
      </c>
      <c r="F24" s="17">
        <f t="shared" si="1"/>
        <v>0</v>
      </c>
      <c r="G24" s="17">
        <f t="shared" si="1"/>
        <v>0</v>
      </c>
      <c r="H24" s="17">
        <f t="shared" si="1"/>
        <v>0</v>
      </c>
      <c r="I24" s="17">
        <f t="shared" si="1"/>
        <v>0</v>
      </c>
      <c r="J24" s="17">
        <f>SUM(J18:J23)</f>
        <v>0</v>
      </c>
      <c r="K24" s="17">
        <f t="shared" si="1"/>
        <v>0</v>
      </c>
      <c r="L24" s="17">
        <f t="shared" si="1"/>
        <v>0</v>
      </c>
      <c r="M24" s="17">
        <f>SUM(M18:M23)</f>
        <v>0</v>
      </c>
      <c r="N24" s="18">
        <f t="shared" si="0"/>
        <v>6806.6307515070012</v>
      </c>
    </row>
    <row r="25" spans="1:14" ht="3.9" customHeight="1" thickTop="1">
      <c r="A25" s="19"/>
      <c r="B25" s="20"/>
      <c r="C25" s="20"/>
      <c r="D25" s="20"/>
      <c r="E25" s="20"/>
      <c r="F25" s="20"/>
      <c r="G25" s="20"/>
      <c r="H25" s="20"/>
      <c r="I25" s="20"/>
      <c r="J25" s="20"/>
      <c r="K25" s="20"/>
      <c r="L25" s="20"/>
      <c r="M25" s="20"/>
      <c r="N25" s="21"/>
    </row>
    <row r="26" spans="1:14" outlineLevel="1">
      <c r="A26" s="1" t="s">
        <v>26</v>
      </c>
      <c r="B26" s="11">
        <f>SUMIFS([1]PIVOT!$D:$D,[1]PIVOT!$B:$B,$A26,[1]PIVOT!$A:$A,B$14)*-1</f>
        <v>-59.567989032</v>
      </c>
      <c r="C26" s="11">
        <f>SUMIFS([1]PIVOT!$D:$D,[1]PIVOT!$B:$B,$A26,[1]PIVOT!$A:$A,C$14)*-1</f>
        <v>0</v>
      </c>
      <c r="D26" s="11">
        <f>SUMIFS([1]PIVOT!$D:$D,[1]PIVOT!$B:$B,$A26,[1]PIVOT!$A:$A,D$14)*-1</f>
        <v>0</v>
      </c>
      <c r="E26" s="11">
        <f>SUMIFS([1]PIVOT!$D:$D,[1]PIVOT!$B:$B,$A26,[1]PIVOT!$A:$A,E$14)*-1</f>
        <v>0</v>
      </c>
      <c r="F26" s="11">
        <f>SUMIFS([1]PIVOT!$D:$D,[1]PIVOT!$B:$B,$A26,[1]PIVOT!$A:$A,F$14)*-1</f>
        <v>0</v>
      </c>
      <c r="G26" s="11">
        <f>SUMIFS([1]PIVOT!$D:$D,[1]PIVOT!$B:$B,$A26,[1]PIVOT!$A:$A,G$14)*-1</f>
        <v>0</v>
      </c>
      <c r="H26" s="11">
        <f>SUMIFS([1]PIVOT!$D:$D,[1]PIVOT!$B:$B,$A26,[1]PIVOT!$A:$A,H$14)*-1</f>
        <v>0</v>
      </c>
      <c r="I26" s="11">
        <f>SUMIFS([1]PIVOT!$D:$D,[1]PIVOT!$B:$B,$A26,[1]PIVOT!$A:$A,I$14)*-1</f>
        <v>0</v>
      </c>
      <c r="J26" s="11">
        <f>SUMIFS([1]PIVOT!$D:$D,[1]PIVOT!$B:$B,$A26,[1]PIVOT!$A:$A,J$14)*-1</f>
        <v>0</v>
      </c>
      <c r="K26" s="11">
        <f>SUMIFS([1]PIVOT!$D:$D,[1]PIVOT!$B:$B,$A26,[1]PIVOT!$A:$A,K$14)*-1</f>
        <v>0</v>
      </c>
      <c r="L26" s="11">
        <f>SUMIFS([1]PIVOT!$D:$D,[1]PIVOT!$B:$B,$A26,[1]PIVOT!$A:$A,L$14)*-1</f>
        <v>0</v>
      </c>
      <c r="M26" s="11">
        <f>SUMIFS([1]PIVOT!$D:$D,[1]PIVOT!$B:$B,$A26,[1]PIVOT!$A:$A,M$14)*-1</f>
        <v>0</v>
      </c>
      <c r="N26" s="12">
        <f t="shared" ref="N26:N31" si="2">SUM(B26:M26)</f>
        <v>-59.567989032</v>
      </c>
    </row>
    <row r="27" spans="1:14" outlineLevel="1">
      <c r="A27" s="1" t="s">
        <v>27</v>
      </c>
      <c r="B27" s="11">
        <f>SUMIFS([1]PIVOT!$D:$D,[1]PIVOT!$B:$B,$A27,[1]PIVOT!$A:$A,B$14)*-1</f>
        <v>0</v>
      </c>
      <c r="C27" s="11">
        <f>SUMIFS([1]PIVOT!$D:$D,[1]PIVOT!$B:$B,$A27,[1]PIVOT!$A:$A,C$14)*-1</f>
        <v>0</v>
      </c>
      <c r="D27" s="11">
        <f>SUMIFS([1]PIVOT!$D:$D,[1]PIVOT!$B:$B,$A27,[1]PIVOT!$A:$A,D$14)*-1</f>
        <v>0</v>
      </c>
      <c r="E27" s="11">
        <f>SUMIFS([1]PIVOT!$D:$D,[1]PIVOT!$B:$B,$A27,[1]PIVOT!$A:$A,E$14)*-1</f>
        <v>0</v>
      </c>
      <c r="F27" s="11">
        <f>SUMIFS([1]PIVOT!$D:$D,[1]PIVOT!$B:$B,$A27,[1]PIVOT!$A:$A,F$14)*-1</f>
        <v>0</v>
      </c>
      <c r="G27" s="11">
        <f>SUMIFS([1]PIVOT!$D:$D,[1]PIVOT!$B:$B,$A27,[1]PIVOT!$A:$A,G$14)*-1</f>
        <v>0</v>
      </c>
      <c r="H27" s="11">
        <f>SUMIFS([1]PIVOT!$D:$D,[1]PIVOT!$B:$B,$A27,[1]PIVOT!$A:$A,H$14)*-1</f>
        <v>0</v>
      </c>
      <c r="I27" s="11">
        <f>SUMIFS([1]PIVOT!$D:$D,[1]PIVOT!$B:$B,$A27,[1]PIVOT!$A:$A,I$14)*-1</f>
        <v>0</v>
      </c>
      <c r="J27" s="11">
        <f>SUMIFS([1]PIVOT!$D:$D,[1]PIVOT!$B:$B,$A27,[1]PIVOT!$A:$A,J$14)*-1</f>
        <v>0</v>
      </c>
      <c r="K27" s="11">
        <f>SUMIFS([1]PIVOT!$D:$D,[1]PIVOT!$B:$B,$A27,[1]PIVOT!$A:$A,K$14)*-1</f>
        <v>0</v>
      </c>
      <c r="L27" s="11">
        <f>SUMIFS([1]PIVOT!$D:$D,[1]PIVOT!$B:$B,$A27,[1]PIVOT!$A:$A,L$14)*-1</f>
        <v>0</v>
      </c>
      <c r="M27" s="11">
        <f>SUMIFS([1]PIVOT!$D:$D,[1]PIVOT!$B:$B,$A27,[1]PIVOT!$A:$A,M$14)*-1</f>
        <v>0</v>
      </c>
      <c r="N27" s="12">
        <f t="shared" si="2"/>
        <v>0</v>
      </c>
    </row>
    <row r="28" spans="1:14" outlineLevel="1">
      <c r="A28" s="1" t="s">
        <v>28</v>
      </c>
      <c r="B28" s="11">
        <f>SUMIFS([1]PIVOT!$D:$D,[1]PIVOT!$B:$B,$A28,[1]PIVOT!$A:$A,B$14)*-1</f>
        <v>0</v>
      </c>
      <c r="C28" s="11">
        <f>SUMIFS([1]PIVOT!$D:$D,[1]PIVOT!$B:$B,$A28,[1]PIVOT!$A:$A,C$14)*-1</f>
        <v>0</v>
      </c>
      <c r="D28" s="11">
        <f>SUMIFS([1]PIVOT!$D:$D,[1]PIVOT!$B:$B,$A28,[1]PIVOT!$A:$A,D$14)*-1</f>
        <v>0</v>
      </c>
      <c r="E28" s="11">
        <f>SUMIFS([1]PIVOT!$D:$D,[1]PIVOT!$B:$B,$A28,[1]PIVOT!$A:$A,E$14)*-1</f>
        <v>0</v>
      </c>
      <c r="F28" s="11">
        <f>SUMIFS([1]PIVOT!$D:$D,[1]PIVOT!$B:$B,$A28,[1]PIVOT!$A:$A,F$14)*-1</f>
        <v>0</v>
      </c>
      <c r="G28" s="11">
        <f>SUMIFS([1]PIVOT!$D:$D,[1]PIVOT!$B:$B,$A28,[1]PIVOT!$A:$A,G$14)*-1</f>
        <v>0</v>
      </c>
      <c r="H28" s="11">
        <f>SUMIFS([1]PIVOT!$D:$D,[1]PIVOT!$B:$B,$A28,[1]PIVOT!$A:$A,H$14)*-1</f>
        <v>0</v>
      </c>
      <c r="I28" s="11">
        <f>SUMIFS([1]PIVOT!$D:$D,[1]PIVOT!$B:$B,$A28,[1]PIVOT!$A:$A,I$14)*-1</f>
        <v>0</v>
      </c>
      <c r="J28" s="11">
        <f>SUMIFS([1]PIVOT!$D:$D,[1]PIVOT!$B:$B,$A28,[1]PIVOT!$A:$A,J$14)*-1</f>
        <v>0</v>
      </c>
      <c r="K28" s="11">
        <f>SUMIFS([1]PIVOT!$D:$D,[1]PIVOT!$B:$B,$A28,[1]PIVOT!$A:$A,K$14)*-1</f>
        <v>0</v>
      </c>
      <c r="L28" s="11">
        <f>SUMIFS([1]PIVOT!$D:$D,[1]PIVOT!$B:$B,$A28,[1]PIVOT!$A:$A,L$14)*-1</f>
        <v>0</v>
      </c>
      <c r="M28" s="11">
        <f>SUMIFS([1]PIVOT!$D:$D,[1]PIVOT!$B:$B,$A28,[1]PIVOT!$A:$A,M$14)*-1</f>
        <v>0</v>
      </c>
      <c r="N28" s="12">
        <f t="shared" si="2"/>
        <v>0</v>
      </c>
    </row>
    <row r="29" spans="1:14" outlineLevel="1">
      <c r="A29" s="1" t="s">
        <v>29</v>
      </c>
      <c r="B29" s="11">
        <f>SUMIFS([1]PIVOT!$D:$D,[1]PIVOT!$B:$B,$A29,[1]PIVOT!$A:$A,B$14)*-1</f>
        <v>0</v>
      </c>
      <c r="C29" s="11">
        <f>SUMIFS([1]PIVOT!$D:$D,[1]PIVOT!$B:$B,$A29,[1]PIVOT!$A:$A,C$14)*-1</f>
        <v>0</v>
      </c>
      <c r="D29" s="11">
        <f>SUMIFS([1]PIVOT!$D:$D,[1]PIVOT!$B:$B,$A29,[1]PIVOT!$A:$A,D$14)*-1</f>
        <v>0</v>
      </c>
      <c r="E29" s="11">
        <f>SUMIFS([1]PIVOT!$D:$D,[1]PIVOT!$B:$B,$A29,[1]PIVOT!$A:$A,E$14)*-1</f>
        <v>0</v>
      </c>
      <c r="F29" s="11">
        <f>SUMIFS([1]PIVOT!$D:$D,[1]PIVOT!$B:$B,$A29,[1]PIVOT!$A:$A,F$14)*-1</f>
        <v>0</v>
      </c>
      <c r="G29" s="11">
        <f>SUMIFS([1]PIVOT!$D:$D,[1]PIVOT!$B:$B,$A29,[1]PIVOT!$A:$A,G$14)*-1</f>
        <v>0</v>
      </c>
      <c r="H29" s="11">
        <f>SUMIFS([1]PIVOT!$D:$D,[1]PIVOT!$B:$B,$A29,[1]PIVOT!$A:$A,H$14)*-1</f>
        <v>0</v>
      </c>
      <c r="I29" s="11">
        <f>SUMIFS([1]PIVOT!$D:$D,[1]PIVOT!$B:$B,$A29,[1]PIVOT!$A:$A,I$14)*-1</f>
        <v>0</v>
      </c>
      <c r="J29" s="11">
        <f>SUMIFS([1]PIVOT!$D:$D,[1]PIVOT!$B:$B,$A29,[1]PIVOT!$A:$A,J$14)*-1</f>
        <v>0</v>
      </c>
      <c r="K29" s="11">
        <f>SUMIFS([1]PIVOT!$D:$D,[1]PIVOT!$B:$B,$A29,[1]PIVOT!$A:$A,K$14)*-1</f>
        <v>0</v>
      </c>
      <c r="L29" s="11">
        <f>SUMIFS([1]PIVOT!$D:$D,[1]PIVOT!$B:$B,$A29,[1]PIVOT!$A:$A,L$14)*-1</f>
        <v>0</v>
      </c>
      <c r="M29" s="11">
        <f>SUMIFS([1]PIVOT!$D:$D,[1]PIVOT!$B:$B,$A29,[1]PIVOT!$A:$A,M$14)*-1</f>
        <v>0</v>
      </c>
      <c r="N29" s="12">
        <f t="shared" si="2"/>
        <v>0</v>
      </c>
    </row>
    <row r="30" spans="1:14" outlineLevel="1">
      <c r="A30" s="13" t="s">
        <v>30</v>
      </c>
      <c r="B30" s="11">
        <f>SUMIFS([1]PIVOT!$D:$D,[1]PIVOT!$B:$B,$A30,[1]PIVOT!$A:$A,B$14)*-1</f>
        <v>0</v>
      </c>
      <c r="C30" s="11">
        <f>SUMIFS([1]PIVOT!$D:$D,[1]PIVOT!$B:$B,$A30,[1]PIVOT!$A:$A,C$14)*-1</f>
        <v>0</v>
      </c>
      <c r="D30" s="11">
        <f>SUMIFS([1]PIVOT!$D:$D,[1]PIVOT!$B:$B,$A30,[1]PIVOT!$A:$A,D$14)*-1</f>
        <v>0</v>
      </c>
      <c r="E30" s="11">
        <f>SUMIFS([1]PIVOT!$D:$D,[1]PIVOT!$B:$B,$A30,[1]PIVOT!$A:$A,E$14)*-1</f>
        <v>0</v>
      </c>
      <c r="F30" s="11">
        <f>SUMIFS([1]PIVOT!$D:$D,[1]PIVOT!$B:$B,$A30,[1]PIVOT!$A:$A,F$14)*-1</f>
        <v>0</v>
      </c>
      <c r="G30" s="11">
        <f>SUMIFS([1]PIVOT!$D:$D,[1]PIVOT!$B:$B,$A30,[1]PIVOT!$A:$A,G$14)*-1</f>
        <v>0</v>
      </c>
      <c r="H30" s="11">
        <f>SUMIFS([1]PIVOT!$D:$D,[1]PIVOT!$B:$B,$A30,[1]PIVOT!$A:$A,H$14)*-1</f>
        <v>0</v>
      </c>
      <c r="I30" s="11">
        <f>SUMIFS([1]PIVOT!$D:$D,[1]PIVOT!$B:$B,$A30,[1]PIVOT!$A:$A,I$14)*-1</f>
        <v>0</v>
      </c>
      <c r="J30" s="11">
        <f>SUMIFS([1]PIVOT!$D:$D,[1]PIVOT!$B:$B,$A30,[1]PIVOT!$A:$A,J$14)*-1</f>
        <v>0</v>
      </c>
      <c r="K30" s="11">
        <f>SUMIFS([1]PIVOT!$D:$D,[1]PIVOT!$B:$B,$A30,[1]PIVOT!$A:$A,K$14)*-1</f>
        <v>0</v>
      </c>
      <c r="L30" s="11">
        <f>SUMIFS([1]PIVOT!$D:$D,[1]PIVOT!$B:$B,$A30,[1]PIVOT!$A:$A,L$14)*-1</f>
        <v>0</v>
      </c>
      <c r="M30" s="11">
        <f>SUMIFS([1]PIVOT!$D:$D,[1]PIVOT!$B:$B,$A30,[1]PIVOT!$A:$A,M$14)*-1</f>
        <v>0</v>
      </c>
      <c r="N30" s="12">
        <f t="shared" si="2"/>
        <v>0</v>
      </c>
    </row>
    <row r="31" spans="1:14" outlineLevel="1">
      <c r="A31" s="22" t="s">
        <v>31</v>
      </c>
      <c r="B31" s="23">
        <f t="shared" ref="B31:M31" si="3">SUM(B26:B30)</f>
        <v>-59.567989032</v>
      </c>
      <c r="C31" s="23">
        <f t="shared" si="3"/>
        <v>0</v>
      </c>
      <c r="D31" s="23">
        <f t="shared" si="3"/>
        <v>0</v>
      </c>
      <c r="E31" s="23">
        <f t="shared" si="3"/>
        <v>0</v>
      </c>
      <c r="F31" s="23">
        <f t="shared" si="3"/>
        <v>0</v>
      </c>
      <c r="G31" s="23">
        <f t="shared" si="3"/>
        <v>0</v>
      </c>
      <c r="H31" s="23">
        <f t="shared" si="3"/>
        <v>0</v>
      </c>
      <c r="I31" s="23">
        <f t="shared" si="3"/>
        <v>0</v>
      </c>
      <c r="J31" s="23">
        <f t="shared" si="3"/>
        <v>0</v>
      </c>
      <c r="K31" s="23">
        <f t="shared" si="3"/>
        <v>0</v>
      </c>
      <c r="L31" s="23">
        <f t="shared" si="3"/>
        <v>0</v>
      </c>
      <c r="M31" s="23">
        <f t="shared" si="3"/>
        <v>0</v>
      </c>
      <c r="N31" s="24">
        <f t="shared" si="2"/>
        <v>-59.567989032</v>
      </c>
    </row>
    <row r="32" spans="1:14" ht="7.5" customHeight="1">
      <c r="A32" s="22"/>
      <c r="B32" s="25"/>
      <c r="C32" s="26"/>
      <c r="D32" s="26"/>
      <c r="E32" s="26"/>
      <c r="F32" s="26"/>
      <c r="G32" s="26"/>
      <c r="H32" s="26"/>
      <c r="I32" s="26"/>
      <c r="J32" s="26"/>
      <c r="K32" s="26"/>
      <c r="L32" s="26"/>
      <c r="M32" s="26"/>
      <c r="N32" s="27"/>
    </row>
    <row r="33" spans="1:14" ht="15" outlineLevel="1" thickBot="1">
      <c r="A33" s="1" t="s">
        <v>32</v>
      </c>
      <c r="B33" s="11">
        <f>SUMIFS([1]PIVOT!$D:$D,[1]PIVOT!$B:$B,$A33,[1]PIVOT!$A:$A,B$14)*-1</f>
        <v>-636.73259616900009</v>
      </c>
      <c r="C33" s="28">
        <f>SUMIFS([1]PIVOT!$D:$D,[1]PIVOT!$B:$B,$A33,[1]PIVOT!$A:$A,C$14)*-1</f>
        <v>0</v>
      </c>
      <c r="D33" s="28">
        <f>SUMIFS([1]PIVOT!$D:$D,[1]PIVOT!$B:$B,$A33,[1]PIVOT!$A:$A,D$14)*-1</f>
        <v>0</v>
      </c>
      <c r="E33" s="28">
        <f>SUMIFS([1]PIVOT!$D:$D,[1]PIVOT!$B:$B,$A33,[1]PIVOT!$A:$A,E$14)*-1</f>
        <v>0</v>
      </c>
      <c r="F33" s="28">
        <f>SUMIFS([1]PIVOT!$D:$D,[1]PIVOT!$B:$B,$A33,[1]PIVOT!$A:$A,F$14)*-1</f>
        <v>0</v>
      </c>
      <c r="G33" s="28">
        <f>SUMIFS([1]PIVOT!$D:$D,[1]PIVOT!$B:$B,$A33,[1]PIVOT!$A:$A,G$14)*-1</f>
        <v>0</v>
      </c>
      <c r="H33" s="28">
        <f>SUMIFS([1]PIVOT!$D:$D,[1]PIVOT!$B:$B,$A33,[1]PIVOT!$A:$A,H$14)*-1</f>
        <v>0</v>
      </c>
      <c r="I33" s="28">
        <f>SUMIFS([1]PIVOT!$D:$D,[1]PIVOT!$B:$B,$A33,[1]PIVOT!$A:$A,I$14)*-1</f>
        <v>0</v>
      </c>
      <c r="J33" s="28">
        <f>SUMIFS([1]PIVOT!$D:$D,[1]PIVOT!$B:$B,$A33,[1]PIVOT!$A:$A,J$14)*-1</f>
        <v>0</v>
      </c>
      <c r="K33" s="28">
        <f>SUMIFS([1]PIVOT!$D:$D,[1]PIVOT!$B:$B,$A33,[1]PIVOT!$A:$A,K$14)*-1</f>
        <v>0</v>
      </c>
      <c r="L33" s="28">
        <f>SUMIFS([1]PIVOT!$D:$D,[1]PIVOT!$B:$B,$A33,[1]PIVOT!$A:$A,L$14)*-1</f>
        <v>0</v>
      </c>
      <c r="M33" s="28">
        <f>SUMIFS([1]PIVOT!$D:$D,[1]PIVOT!$B:$B,$A33,[1]PIVOT!$A:$A,M$14)*-1</f>
        <v>0</v>
      </c>
      <c r="N33" s="12">
        <f t="shared" si="0"/>
        <v>-636.73259616900009</v>
      </c>
    </row>
    <row r="34" spans="1:14" ht="15.6" outlineLevel="1" thickTop="1" thickBot="1">
      <c r="A34" s="1" t="s">
        <v>33</v>
      </c>
      <c r="B34" s="11">
        <f>SUMIFS([1]PIVOT!$D:$D,[1]PIVOT!$B:$B,$A34,[1]PIVOT!$A:$A,B$14)*-1</f>
        <v>-365.04106776899994</v>
      </c>
      <c r="C34" s="28">
        <f>SUMIFS([1]PIVOT!$D:$D,[1]PIVOT!$B:$B,$A34,[1]PIVOT!$A:$A,C$14)*-1</f>
        <v>0</v>
      </c>
      <c r="D34" s="28">
        <f>SUMIFS([1]PIVOT!$D:$D,[1]PIVOT!$B:$B,$A34,[1]PIVOT!$A:$A,D$14)*-1</f>
        <v>0</v>
      </c>
      <c r="E34" s="28">
        <f>SUMIFS([1]PIVOT!$D:$D,[1]PIVOT!$B:$B,$A34,[1]PIVOT!$A:$A,E$14)*-1</f>
        <v>0</v>
      </c>
      <c r="F34" s="28">
        <f>SUMIFS([1]PIVOT!$D:$D,[1]PIVOT!$B:$B,$A34,[1]PIVOT!$A:$A,F$14)*-1</f>
        <v>0</v>
      </c>
      <c r="G34" s="28">
        <f>SUMIFS([1]PIVOT!$D:$D,[1]PIVOT!$B:$B,$A34,[1]PIVOT!$A:$A,G$14)*-1</f>
        <v>0</v>
      </c>
      <c r="H34" s="28">
        <f>SUMIFS([1]PIVOT!$D:$D,[1]PIVOT!$B:$B,$A34,[1]PIVOT!$A:$A,H$14)*-1</f>
        <v>0</v>
      </c>
      <c r="I34" s="28">
        <f>SUMIFS([1]PIVOT!$D:$D,[1]PIVOT!$B:$B,$A34,[1]PIVOT!$A:$A,I$14)*-1</f>
        <v>0</v>
      </c>
      <c r="J34" s="28">
        <f>SUMIFS([1]PIVOT!$D:$D,[1]PIVOT!$B:$B,$A34,[1]PIVOT!$A:$A,J$14)*-1</f>
        <v>0</v>
      </c>
      <c r="K34" s="28">
        <f>SUMIFS([1]PIVOT!$D:$D,[1]PIVOT!$B:$B,$A34,[1]PIVOT!$A:$A,K$14)*-1</f>
        <v>0</v>
      </c>
      <c r="L34" s="28">
        <f>SUMIFS([1]PIVOT!$D:$D,[1]PIVOT!$B:$B,$A34,[1]PIVOT!$A:$A,L$14)*-1</f>
        <v>0</v>
      </c>
      <c r="M34" s="28">
        <f>SUMIFS([1]PIVOT!$D:$D,[1]PIVOT!$B:$B,$A34,[1]PIVOT!$A:$A,M$14)*-1</f>
        <v>0</v>
      </c>
      <c r="N34" s="12">
        <f t="shared" si="0"/>
        <v>-365.04106776899994</v>
      </c>
    </row>
    <row r="35" spans="1:14" ht="15.6" outlineLevel="1" thickTop="1" thickBot="1">
      <c r="A35" s="1" t="s">
        <v>34</v>
      </c>
      <c r="B35" s="11">
        <f>SUMIFS([1]PIVOT!$D:$D,[1]PIVOT!$B:$B,$A35,[1]PIVOT!$A:$A,B$14)*-1</f>
        <v>-35.543488499999995</v>
      </c>
      <c r="C35" s="28">
        <f>SUMIFS([1]PIVOT!$D:$D,[1]PIVOT!$B:$B,$A35,[1]PIVOT!$A:$A,C$14)*-1</f>
        <v>0</v>
      </c>
      <c r="D35" s="28">
        <f>SUMIFS([1]PIVOT!$D:$D,[1]PIVOT!$B:$B,$A35,[1]PIVOT!$A:$A,D$14)*-1</f>
        <v>0</v>
      </c>
      <c r="E35" s="28">
        <f>SUMIFS([1]PIVOT!$D:$D,[1]PIVOT!$B:$B,$A35,[1]PIVOT!$A:$A,E$14)*-1</f>
        <v>0</v>
      </c>
      <c r="F35" s="28">
        <f>SUMIFS([1]PIVOT!$D:$D,[1]PIVOT!$B:$B,$A35,[1]PIVOT!$A:$A,F$14)*-1</f>
        <v>0</v>
      </c>
      <c r="G35" s="28">
        <f>SUMIFS([1]PIVOT!$D:$D,[1]PIVOT!$B:$B,$A35,[1]PIVOT!$A:$A,G$14)*-1</f>
        <v>0</v>
      </c>
      <c r="H35" s="28">
        <f>SUMIFS([1]PIVOT!$D:$D,[1]PIVOT!$B:$B,$A35,[1]PIVOT!$A:$A,H$14)*-1</f>
        <v>0</v>
      </c>
      <c r="I35" s="28">
        <f>SUMIFS([1]PIVOT!$D:$D,[1]PIVOT!$B:$B,$A35,[1]PIVOT!$A:$A,I$14)*-1</f>
        <v>0</v>
      </c>
      <c r="J35" s="28">
        <f>SUMIFS([1]PIVOT!$D:$D,[1]PIVOT!$B:$B,$A35,[1]PIVOT!$A:$A,J$14)*-1</f>
        <v>0</v>
      </c>
      <c r="K35" s="28">
        <f>SUMIFS([1]PIVOT!$D:$D,[1]PIVOT!$B:$B,$A35,[1]PIVOT!$A:$A,K$14)*-1</f>
        <v>0</v>
      </c>
      <c r="L35" s="28">
        <f>SUMIFS([1]PIVOT!$D:$D,[1]PIVOT!$B:$B,$A35,[1]PIVOT!$A:$A,L$14)*-1</f>
        <v>0</v>
      </c>
      <c r="M35" s="28">
        <f>SUMIFS([1]PIVOT!$D:$D,[1]PIVOT!$B:$B,$A35,[1]PIVOT!$A:$A,M$14)*-1</f>
        <v>0</v>
      </c>
      <c r="N35" s="12">
        <f t="shared" si="0"/>
        <v>-35.543488499999995</v>
      </c>
    </row>
    <row r="36" spans="1:14" ht="15.6" outlineLevel="1" thickTop="1" thickBot="1">
      <c r="A36" s="1" t="s">
        <v>35</v>
      </c>
      <c r="B36" s="11">
        <f>SUMIFS([1]PIVOT!$D:$D,[1]PIVOT!$B:$B,$A36,[1]PIVOT!$A:$A,B$14)*-1</f>
        <v>-347.37932683799994</v>
      </c>
      <c r="C36" s="28">
        <f>SUMIFS([1]PIVOT!$D:$D,[1]PIVOT!$B:$B,$A36,[1]PIVOT!$A:$A,C$14)*-1</f>
        <v>0</v>
      </c>
      <c r="D36" s="28">
        <f>SUMIFS([1]PIVOT!$D:$D,[1]PIVOT!$B:$B,$A36,[1]PIVOT!$A:$A,D$14)*-1</f>
        <v>0</v>
      </c>
      <c r="E36" s="28">
        <f>SUMIFS([1]PIVOT!$D:$D,[1]PIVOT!$B:$B,$A36,[1]PIVOT!$A:$A,E$14)*-1</f>
        <v>0</v>
      </c>
      <c r="F36" s="28">
        <f>SUMIFS([1]PIVOT!$D:$D,[1]PIVOT!$B:$B,$A36,[1]PIVOT!$A:$A,F$14)*-1</f>
        <v>0</v>
      </c>
      <c r="G36" s="28">
        <f>SUMIFS([1]PIVOT!$D:$D,[1]PIVOT!$B:$B,$A36,[1]PIVOT!$A:$A,G$14)*-1</f>
        <v>0</v>
      </c>
      <c r="H36" s="28">
        <f>SUMIFS([1]PIVOT!$D:$D,[1]PIVOT!$B:$B,$A36,[1]PIVOT!$A:$A,H$14)*-1</f>
        <v>0</v>
      </c>
      <c r="I36" s="28">
        <f>SUMIFS([1]PIVOT!$D:$D,[1]PIVOT!$B:$B,$A36,[1]PIVOT!$A:$A,I$14)*-1</f>
        <v>0</v>
      </c>
      <c r="J36" s="28">
        <f>SUMIFS([1]PIVOT!$D:$D,[1]PIVOT!$B:$B,$A36,[1]PIVOT!$A:$A,J$14)*-1</f>
        <v>0</v>
      </c>
      <c r="K36" s="28">
        <f>SUMIFS([1]PIVOT!$D:$D,[1]PIVOT!$B:$B,$A36,[1]PIVOT!$A:$A,K$14)*-1</f>
        <v>0</v>
      </c>
      <c r="L36" s="28">
        <f>SUMIFS([1]PIVOT!$D:$D,[1]PIVOT!$B:$B,$A36,[1]PIVOT!$A:$A,L$14)*-1</f>
        <v>0</v>
      </c>
      <c r="M36" s="28">
        <f>SUMIFS([1]PIVOT!$D:$D,[1]PIVOT!$B:$B,$A36,[1]PIVOT!$A:$A,M$14)*-1</f>
        <v>0</v>
      </c>
      <c r="N36" s="12">
        <f t="shared" si="0"/>
        <v>-347.37932683799994</v>
      </c>
    </row>
    <row r="37" spans="1:14" ht="15" outlineLevel="1" thickTop="1">
      <c r="A37" s="13" t="s">
        <v>36</v>
      </c>
      <c r="B37" s="14">
        <f>SUMIFS([1]PIVOT!$D:$D,[1]PIVOT!$B:$B,$A37,[1]PIVOT!$A:$A,B$14)*-1</f>
        <v>82.338909750000013</v>
      </c>
      <c r="C37" s="29">
        <f>SUMIFS([1]PIVOT!$D:$D,[1]PIVOT!$B:$B,$A37,[1]PIVOT!$A:$A,C$14)*-1</f>
        <v>0</v>
      </c>
      <c r="D37" s="29">
        <f>SUMIFS([1]PIVOT!$D:$D,[1]PIVOT!$B:$B,$A37,[1]PIVOT!$A:$A,D$14)*-1</f>
        <v>0</v>
      </c>
      <c r="E37" s="29">
        <f>SUMIFS([1]PIVOT!$D:$D,[1]PIVOT!$B:$B,$A37,[1]PIVOT!$A:$A,E$14)*-1</f>
        <v>0</v>
      </c>
      <c r="F37" s="29">
        <f>SUMIFS([1]PIVOT!$D:$D,[1]PIVOT!$B:$B,$A37,[1]PIVOT!$A:$A,F$14)*-1</f>
        <v>0</v>
      </c>
      <c r="G37" s="29">
        <f>SUMIFS([1]PIVOT!$D:$D,[1]PIVOT!$B:$B,$A37,[1]PIVOT!$A:$A,G$14)*-1</f>
        <v>0</v>
      </c>
      <c r="H37" s="29">
        <f>SUMIFS([1]PIVOT!$D:$D,[1]PIVOT!$B:$B,$A37,[1]PIVOT!$A:$A,H$14)*-1</f>
        <v>0</v>
      </c>
      <c r="I37" s="29">
        <f>SUMIFS([1]PIVOT!$D:$D,[1]PIVOT!$B:$B,$A37,[1]PIVOT!$A:$A,I$14)*-1</f>
        <v>0</v>
      </c>
      <c r="J37" s="29">
        <f>SUMIFS([1]PIVOT!$D:$D,[1]PIVOT!$B:$B,$A37,[1]PIVOT!$A:$A,J$14)*-1</f>
        <v>0</v>
      </c>
      <c r="K37" s="29">
        <f>SUMIFS([1]PIVOT!$D:$D,[1]PIVOT!$B:$B,$A37,[1]PIVOT!$A:$A,K$14)*-1</f>
        <v>0</v>
      </c>
      <c r="L37" s="29">
        <f>SUMIFS([1]PIVOT!$D:$D,[1]PIVOT!$B:$B,$A37,[1]PIVOT!$A:$A,L$14)*-1</f>
        <v>0</v>
      </c>
      <c r="M37" s="29">
        <f>SUMIFS([1]PIVOT!$D:$D,[1]PIVOT!$B:$B,$A37,[1]PIVOT!$A:$A,M$14)*-1</f>
        <v>0</v>
      </c>
      <c r="N37" s="12">
        <f t="shared" si="0"/>
        <v>82.338909750000013</v>
      </c>
    </row>
    <row r="38" spans="1:14">
      <c r="A38" s="22" t="s">
        <v>37</v>
      </c>
      <c r="B38" s="23">
        <f>SUM(B31:B37)</f>
        <v>-1361.9255585579999</v>
      </c>
      <c r="C38" s="23">
        <f t="shared" ref="C38:N38" si="4">SUM(C31:C37)</f>
        <v>0</v>
      </c>
      <c r="D38" s="23">
        <f t="shared" si="4"/>
        <v>0</v>
      </c>
      <c r="E38" s="23">
        <f t="shared" si="4"/>
        <v>0</v>
      </c>
      <c r="F38" s="23">
        <f t="shared" si="4"/>
        <v>0</v>
      </c>
      <c r="G38" s="23">
        <f t="shared" si="4"/>
        <v>0</v>
      </c>
      <c r="H38" s="23">
        <f t="shared" si="4"/>
        <v>0</v>
      </c>
      <c r="I38" s="23">
        <f t="shared" si="4"/>
        <v>0</v>
      </c>
      <c r="J38" s="23">
        <f t="shared" si="4"/>
        <v>0</v>
      </c>
      <c r="K38" s="23">
        <f t="shared" si="4"/>
        <v>0</v>
      </c>
      <c r="L38" s="23">
        <f t="shared" si="4"/>
        <v>0</v>
      </c>
      <c r="M38" s="23">
        <f t="shared" si="4"/>
        <v>0</v>
      </c>
      <c r="N38" s="24">
        <f t="shared" si="4"/>
        <v>-1361.9255585579999</v>
      </c>
    </row>
    <row r="39" spans="1:14">
      <c r="A39" s="30" t="s">
        <v>38</v>
      </c>
      <c r="B39" s="25">
        <f>SUMIFS([1]PIVOT!$D:$D,[1]PIVOT!$B:$B,$A39,[1]PIVOT!$A:$A,B$14)*-1</f>
        <v>21.968789166000033</v>
      </c>
      <c r="C39" s="25">
        <f>SUMIFS([1]PIVOT!$D:$D,[1]PIVOT!$B:$B,$A39,[1]PIVOT!$A:$A,C$14)*-1</f>
        <v>0</v>
      </c>
      <c r="D39" s="25">
        <f>SUMIFS([1]PIVOT!$D:$D,[1]PIVOT!$B:$B,$A39,[1]PIVOT!$A:$A,D$14)*-1</f>
        <v>0</v>
      </c>
      <c r="E39" s="25">
        <f>SUMIFS([1]PIVOT!$D:$D,[1]PIVOT!$B:$B,$A39,[1]PIVOT!$A:$A,E$14)*-1</f>
        <v>0</v>
      </c>
      <c r="F39" s="25">
        <f>SUMIFS([1]PIVOT!$D:$D,[1]PIVOT!$B:$B,$A39,[1]PIVOT!$A:$A,F$14)*-1</f>
        <v>0</v>
      </c>
      <c r="G39" s="25">
        <f>SUMIFS([1]PIVOT!$D:$D,[1]PIVOT!$B:$B,$A39,[1]PIVOT!$A:$A,G$14)*-1</f>
        <v>0</v>
      </c>
      <c r="H39" s="25">
        <f>SUMIFS([1]PIVOT!$D:$D,[1]PIVOT!$B:$B,$A39,[1]PIVOT!$A:$A,H$14)*-1</f>
        <v>0</v>
      </c>
      <c r="I39" s="25">
        <f>SUMIFS([1]PIVOT!$D:$D,[1]PIVOT!$B:$B,$A39,[1]PIVOT!$A:$A,I$14)*-1</f>
        <v>0</v>
      </c>
      <c r="J39" s="25">
        <f>SUMIFS([1]PIVOT!$D:$D,[1]PIVOT!$B:$B,$A39,[1]PIVOT!$A:$A,J$14)*-1</f>
        <v>0</v>
      </c>
      <c r="K39" s="25">
        <f>SUMIFS([1]PIVOT!$D:$D,[1]PIVOT!$B:$B,$A39,[1]PIVOT!$A:$A,K$14)*-1</f>
        <v>0</v>
      </c>
      <c r="L39" s="25">
        <f>SUMIFS([1]PIVOT!$D:$D,[1]PIVOT!$B:$B,$A39,[1]PIVOT!$A:$A,L$14)*-1</f>
        <v>0</v>
      </c>
      <c r="M39" s="25">
        <f>SUMIFS([1]PIVOT!$D:$D,[1]PIVOT!$B:$B,$A39,[1]PIVOT!$A:$A,M$14)*-1</f>
        <v>0</v>
      </c>
      <c r="N39" s="31">
        <f>SUMIFS([1]PIVOT!$D:$D,[1]PIVOT!$B:$B,$A39,[1]PIVOT!$A:$A,N$14)*-1</f>
        <v>0</v>
      </c>
    </row>
    <row r="40" spans="1:14">
      <c r="A40" s="32" t="s">
        <v>39</v>
      </c>
      <c r="B40" s="33">
        <f>SUM(B30,B38,B39)</f>
        <v>-1339.9567693919998</v>
      </c>
      <c r="C40" s="33">
        <f t="shared" ref="C40:N40" si="5">SUM(C30,C38,C39)</f>
        <v>0</v>
      </c>
      <c r="D40" s="33">
        <f t="shared" si="5"/>
        <v>0</v>
      </c>
      <c r="E40" s="33">
        <f t="shared" si="5"/>
        <v>0</v>
      </c>
      <c r="F40" s="33">
        <f t="shared" si="5"/>
        <v>0</v>
      </c>
      <c r="G40" s="33">
        <f t="shared" si="5"/>
        <v>0</v>
      </c>
      <c r="H40" s="33">
        <f t="shared" si="5"/>
        <v>0</v>
      </c>
      <c r="I40" s="33">
        <f t="shared" si="5"/>
        <v>0</v>
      </c>
      <c r="J40" s="33">
        <f t="shared" si="5"/>
        <v>0</v>
      </c>
      <c r="K40" s="33">
        <f t="shared" si="5"/>
        <v>0</v>
      </c>
      <c r="L40" s="33">
        <f t="shared" si="5"/>
        <v>0</v>
      </c>
      <c r="M40" s="33">
        <f t="shared" si="5"/>
        <v>0</v>
      </c>
      <c r="N40" s="34">
        <f t="shared" si="5"/>
        <v>-1361.9255585579999</v>
      </c>
    </row>
    <row r="41" spans="1:14">
      <c r="A41" s="35" t="s">
        <v>40</v>
      </c>
      <c r="B41" s="36">
        <f t="shared" ref="B41:N41" si="6">IFERROR(SUM(B24,B40),0)</f>
        <v>5466.6739821150013</v>
      </c>
      <c r="C41" s="36">
        <f t="shared" si="6"/>
        <v>0</v>
      </c>
      <c r="D41" s="36">
        <f t="shared" si="6"/>
        <v>0</v>
      </c>
      <c r="E41" s="36">
        <f t="shared" si="6"/>
        <v>0</v>
      </c>
      <c r="F41" s="36">
        <f t="shared" si="6"/>
        <v>0</v>
      </c>
      <c r="G41" s="36">
        <f t="shared" si="6"/>
        <v>0</v>
      </c>
      <c r="H41" s="36">
        <f t="shared" si="6"/>
        <v>0</v>
      </c>
      <c r="I41" s="36">
        <f t="shared" si="6"/>
        <v>0</v>
      </c>
      <c r="J41" s="36">
        <f t="shared" si="6"/>
        <v>0</v>
      </c>
      <c r="K41" s="36">
        <f t="shared" si="6"/>
        <v>0</v>
      </c>
      <c r="L41" s="36">
        <f t="shared" si="6"/>
        <v>0</v>
      </c>
      <c r="M41" s="36">
        <f t="shared" si="6"/>
        <v>0</v>
      </c>
      <c r="N41" s="37">
        <f t="shared" si="6"/>
        <v>5444.7051929490008</v>
      </c>
    </row>
    <row r="42" spans="1:14">
      <c r="A42" s="38" t="s">
        <v>41</v>
      </c>
      <c r="B42" s="39">
        <f t="shared" ref="B42:N42" si="7">IFERROR(B41/B24,0)</f>
        <v>0.80313949466182943</v>
      </c>
      <c r="C42" s="39">
        <f t="shared" si="7"/>
        <v>0</v>
      </c>
      <c r="D42" s="39">
        <f t="shared" si="7"/>
        <v>0</v>
      </c>
      <c r="E42" s="39">
        <f t="shared" si="7"/>
        <v>0</v>
      </c>
      <c r="F42" s="39">
        <f t="shared" si="7"/>
        <v>0</v>
      </c>
      <c r="G42" s="39">
        <f t="shared" si="7"/>
        <v>0</v>
      </c>
      <c r="H42" s="39">
        <f t="shared" si="7"/>
        <v>0</v>
      </c>
      <c r="I42" s="39">
        <f t="shared" si="7"/>
        <v>0</v>
      </c>
      <c r="J42" s="39">
        <f t="shared" si="7"/>
        <v>0</v>
      </c>
      <c r="K42" s="39">
        <f t="shared" si="7"/>
        <v>0</v>
      </c>
      <c r="L42" s="39">
        <f t="shared" si="7"/>
        <v>0</v>
      </c>
      <c r="M42" s="39">
        <f t="shared" si="7"/>
        <v>0</v>
      </c>
      <c r="N42" s="40">
        <f t="shared" si="7"/>
        <v>0.7999119375975452</v>
      </c>
    </row>
    <row r="43" spans="1:14">
      <c r="A43" s="41" t="s">
        <v>42</v>
      </c>
      <c r="B43" s="11">
        <f>SUMIFS([1]PIVOT!$D:$D,[1]PIVOT!$B:$B,$A43,[1]PIVOT!$A:$A,B$14)*-1</f>
        <v>-148.48907301900002</v>
      </c>
      <c r="C43" s="11">
        <f>SUMIFS([1]PIVOT!$D:$D,[1]PIVOT!$B:$B,$A43,[1]PIVOT!$A:$A,C$14)*-1</f>
        <v>0</v>
      </c>
      <c r="D43" s="11">
        <f>SUMIFS([1]PIVOT!$D:$D,[1]PIVOT!$B:$B,$A43,[1]PIVOT!$A:$A,D$14)*-1</f>
        <v>0</v>
      </c>
      <c r="E43" s="11">
        <f>SUMIFS([1]PIVOT!$D:$D,[1]PIVOT!$B:$B,$A43,[1]PIVOT!$A:$A,E$14)*-1</f>
        <v>0</v>
      </c>
      <c r="F43" s="11">
        <f>SUMIFS([1]PIVOT!$D:$D,[1]PIVOT!$B:$B,$A43,[1]PIVOT!$A:$A,F$14)*-1</f>
        <v>0</v>
      </c>
      <c r="G43" s="11">
        <f>SUMIFS([1]PIVOT!$D:$D,[1]PIVOT!$B:$B,$A43,[1]PIVOT!$A:$A,G$14)*-1</f>
        <v>0</v>
      </c>
      <c r="H43" s="11">
        <f>SUMIFS([1]PIVOT!$D:$D,[1]PIVOT!$B:$B,$A43,[1]PIVOT!$A:$A,H$14)*-1</f>
        <v>0</v>
      </c>
      <c r="I43" s="11">
        <f>SUMIFS([1]PIVOT!$D:$D,[1]PIVOT!$B:$B,$A43,[1]PIVOT!$A:$A,I$14)*-1</f>
        <v>0</v>
      </c>
      <c r="J43" s="11">
        <f>SUMIFS([1]PIVOT!$D:$D,[1]PIVOT!$B:$B,$A43,[1]PIVOT!$A:$A,J$14)*-1</f>
        <v>0</v>
      </c>
      <c r="K43" s="11">
        <f>SUMIFS([1]PIVOT!$D:$D,[1]PIVOT!$B:$B,$A43,[1]PIVOT!$A:$A,K$14)*-1</f>
        <v>0</v>
      </c>
      <c r="L43" s="11">
        <f>SUMIFS([1]PIVOT!$D:$D,[1]PIVOT!$B:$B,$A43,[1]PIVOT!$A:$A,L$14)*-1</f>
        <v>0</v>
      </c>
      <c r="M43" s="11">
        <f>SUMIFS([1]PIVOT!$D:$D,[1]PIVOT!$B:$B,$A43,[1]PIVOT!$A:$A,M$14)*-1</f>
        <v>0</v>
      </c>
      <c r="N43" s="42">
        <f t="shared" ref="N43:N62" si="8">SUM(B43:M43)</f>
        <v>-148.48907301900002</v>
      </c>
    </row>
    <row r="44" spans="1:14" outlineLevel="1">
      <c r="A44" s="41" t="s">
        <v>43</v>
      </c>
      <c r="B44" s="11">
        <f>SUMIFS([1]PIVOT!$D:$D,[1]PIVOT!$B:$B,$A44,[1]PIVOT!$A:$A,B$14)*-1</f>
        <v>-0.903582</v>
      </c>
      <c r="C44" s="11">
        <f>SUMIFS([1]PIVOT!$D:$D,[1]PIVOT!$B:$B,$A44,[1]PIVOT!$A:$A,C$14)*-1</f>
        <v>0</v>
      </c>
      <c r="D44" s="11">
        <f>SUMIFS([1]PIVOT!$D:$D,[1]PIVOT!$B:$B,$A44,[1]PIVOT!$A:$A,D$14)*-1</f>
        <v>0</v>
      </c>
      <c r="E44" s="11">
        <f>SUMIFS([1]PIVOT!$D:$D,[1]PIVOT!$B:$B,$A44,[1]PIVOT!$A:$A,E$14)*-1</f>
        <v>0</v>
      </c>
      <c r="F44" s="11">
        <f>SUMIFS([1]PIVOT!$D:$D,[1]PIVOT!$B:$B,$A44,[1]PIVOT!$A:$A,F$14)*-1</f>
        <v>0</v>
      </c>
      <c r="G44" s="11">
        <f>SUMIFS([1]PIVOT!$D:$D,[1]PIVOT!$B:$B,$A44,[1]PIVOT!$A:$A,G$14)*-1</f>
        <v>0</v>
      </c>
      <c r="H44" s="11">
        <f>SUMIFS([1]PIVOT!$D:$D,[1]PIVOT!$B:$B,$A44,[1]PIVOT!$A:$A,H$14)*-1</f>
        <v>0</v>
      </c>
      <c r="I44" s="11">
        <f>SUMIFS([1]PIVOT!$D:$D,[1]PIVOT!$B:$B,$A44,[1]PIVOT!$A:$A,I$14)*-1</f>
        <v>0</v>
      </c>
      <c r="J44" s="11">
        <f>SUMIFS([1]PIVOT!$D:$D,[1]PIVOT!$B:$B,$A44,[1]PIVOT!$A:$A,J$14)*-1</f>
        <v>0</v>
      </c>
      <c r="K44" s="11">
        <f>SUMIFS([1]PIVOT!$D:$D,[1]PIVOT!$B:$B,$A44,[1]PIVOT!$A:$A,K$14)*-1</f>
        <v>0</v>
      </c>
      <c r="L44" s="11">
        <f>SUMIFS([1]PIVOT!$D:$D,[1]PIVOT!$B:$B,$A44,[1]PIVOT!$A:$A,L$14)*-1</f>
        <v>0</v>
      </c>
      <c r="M44" s="11">
        <f>SUMIFS([1]PIVOT!$D:$D,[1]PIVOT!$B:$B,$A44,[1]PIVOT!$A:$A,M$14)*-1</f>
        <v>0</v>
      </c>
      <c r="N44" s="42">
        <f t="shared" si="8"/>
        <v>-0.903582</v>
      </c>
    </row>
    <row r="45" spans="1:14" outlineLevel="1">
      <c r="A45" s="41" t="s">
        <v>44</v>
      </c>
      <c r="B45" s="11">
        <f>SUMIFS([1]PIVOT!$D:$D,[1]PIVOT!$B:$B,$A45,[1]PIVOT!$A:$A,B$14)*-1</f>
        <v>-0.323871831</v>
      </c>
      <c r="C45" s="11">
        <f>SUMIFS([1]PIVOT!$D:$D,[1]PIVOT!$B:$B,$A45,[1]PIVOT!$A:$A,C$14)*-1</f>
        <v>0</v>
      </c>
      <c r="D45" s="11">
        <f>SUMIFS([1]PIVOT!$D:$D,[1]PIVOT!$B:$B,$A45,[1]PIVOT!$A:$A,D$14)*-1</f>
        <v>0</v>
      </c>
      <c r="E45" s="11">
        <f>SUMIFS([1]PIVOT!$D:$D,[1]PIVOT!$B:$B,$A45,[1]PIVOT!$A:$A,E$14)*-1</f>
        <v>0</v>
      </c>
      <c r="F45" s="11">
        <f>SUMIFS([1]PIVOT!$D:$D,[1]PIVOT!$B:$B,$A45,[1]PIVOT!$A:$A,F$14)*-1</f>
        <v>0</v>
      </c>
      <c r="G45" s="11">
        <f>SUMIFS([1]PIVOT!$D:$D,[1]PIVOT!$B:$B,$A45,[1]PIVOT!$A:$A,G$14)*-1</f>
        <v>0</v>
      </c>
      <c r="H45" s="11">
        <f>SUMIFS([1]PIVOT!$D:$D,[1]PIVOT!$B:$B,$A45,[1]PIVOT!$A:$A,H$14)*-1</f>
        <v>0</v>
      </c>
      <c r="I45" s="11">
        <f>SUMIFS([1]PIVOT!$D:$D,[1]PIVOT!$B:$B,$A45,[1]PIVOT!$A:$A,I$14)*-1</f>
        <v>0</v>
      </c>
      <c r="J45" s="11">
        <f>SUMIFS([1]PIVOT!$D:$D,[1]PIVOT!$B:$B,$A45,[1]PIVOT!$A:$A,J$14)*-1</f>
        <v>0</v>
      </c>
      <c r="K45" s="11">
        <f>SUMIFS([1]PIVOT!$D:$D,[1]PIVOT!$B:$B,$A45,[1]PIVOT!$A:$A,K$14)*-1</f>
        <v>0</v>
      </c>
      <c r="L45" s="11">
        <f>SUMIFS([1]PIVOT!$D:$D,[1]PIVOT!$B:$B,$A45,[1]PIVOT!$A:$A,L$14)*-1</f>
        <v>0</v>
      </c>
      <c r="M45" s="11">
        <f>SUMIFS([1]PIVOT!$D:$D,[1]PIVOT!$B:$B,$A45,[1]PIVOT!$A:$A,M$14)*-1</f>
        <v>0</v>
      </c>
      <c r="N45" s="42">
        <f t="shared" si="8"/>
        <v>-0.323871831</v>
      </c>
    </row>
    <row r="46" spans="1:14" outlineLevel="1">
      <c r="A46" s="41" t="s">
        <v>45</v>
      </c>
      <c r="B46" s="11">
        <f>SUMIFS([1]PIVOT!$D:$D,[1]PIVOT!$B:$B,$A46,[1]PIVOT!$A:$A,B$14)*-1</f>
        <v>-0.48513006000000003</v>
      </c>
      <c r="C46" s="11">
        <f>SUMIFS([1]PIVOT!$D:$D,[1]PIVOT!$B:$B,$A46,[1]PIVOT!$A:$A,C$14)*-1</f>
        <v>0</v>
      </c>
      <c r="D46" s="11">
        <f>SUMIFS([1]PIVOT!$D:$D,[1]PIVOT!$B:$B,$A46,[1]PIVOT!$A:$A,D$14)*-1</f>
        <v>0</v>
      </c>
      <c r="E46" s="11">
        <f>SUMIFS([1]PIVOT!$D:$D,[1]PIVOT!$B:$B,$A46,[1]PIVOT!$A:$A,E$14)*-1</f>
        <v>0</v>
      </c>
      <c r="F46" s="11">
        <f>SUMIFS([1]PIVOT!$D:$D,[1]PIVOT!$B:$B,$A46,[1]PIVOT!$A:$A,F$14)*-1</f>
        <v>0</v>
      </c>
      <c r="G46" s="11">
        <f>SUMIFS([1]PIVOT!$D:$D,[1]PIVOT!$B:$B,$A46,[1]PIVOT!$A:$A,G$14)*-1</f>
        <v>0</v>
      </c>
      <c r="H46" s="11">
        <f>SUMIFS([1]PIVOT!$D:$D,[1]PIVOT!$B:$B,$A46,[1]PIVOT!$A:$A,H$14)*-1</f>
        <v>0</v>
      </c>
      <c r="I46" s="11">
        <f>SUMIFS([1]PIVOT!$D:$D,[1]PIVOT!$B:$B,$A46,[1]PIVOT!$A:$A,I$14)*-1</f>
        <v>0</v>
      </c>
      <c r="J46" s="11">
        <f>SUMIFS([1]PIVOT!$D:$D,[1]PIVOT!$B:$B,$A46,[1]PIVOT!$A:$A,J$14)*-1</f>
        <v>0</v>
      </c>
      <c r="K46" s="11">
        <f>SUMIFS([1]PIVOT!$D:$D,[1]PIVOT!$B:$B,$A46,[1]PIVOT!$A:$A,K$14)*-1</f>
        <v>0</v>
      </c>
      <c r="L46" s="11">
        <f>SUMIFS([1]PIVOT!$D:$D,[1]PIVOT!$B:$B,$A46,[1]PIVOT!$A:$A,L$14)*-1</f>
        <v>0</v>
      </c>
      <c r="M46" s="11">
        <f>SUMIFS([1]PIVOT!$D:$D,[1]PIVOT!$B:$B,$A46,[1]PIVOT!$A:$A,M$14)*-1</f>
        <v>0</v>
      </c>
      <c r="N46" s="42">
        <f t="shared" si="8"/>
        <v>-0.48513006000000003</v>
      </c>
    </row>
    <row r="47" spans="1:14" outlineLevel="1">
      <c r="A47" s="41" t="s">
        <v>46</v>
      </c>
      <c r="B47" s="11">
        <f>SUMIFS([1]PIVOT!$D:$D,[1]PIVOT!$B:$B,$A47,[1]PIVOT!$A:$A,B$14)*-1</f>
        <v>-71.980463807999996</v>
      </c>
      <c r="C47" s="11">
        <f>SUMIFS([1]PIVOT!$D:$D,[1]PIVOT!$B:$B,$A47,[1]PIVOT!$A:$A,C$14)*-1</f>
        <v>0</v>
      </c>
      <c r="D47" s="11">
        <f>SUMIFS([1]PIVOT!$D:$D,[1]PIVOT!$B:$B,$A47,[1]PIVOT!$A:$A,D$14)*-1</f>
        <v>0</v>
      </c>
      <c r="E47" s="11">
        <f>SUMIFS([1]PIVOT!$D:$D,[1]PIVOT!$B:$B,$A47,[1]PIVOT!$A:$A,E$14)*-1</f>
        <v>0</v>
      </c>
      <c r="F47" s="11">
        <f>SUMIFS([1]PIVOT!$D:$D,[1]PIVOT!$B:$B,$A47,[1]PIVOT!$A:$A,F$14)*-1</f>
        <v>0</v>
      </c>
      <c r="G47" s="11">
        <f>SUMIFS([1]PIVOT!$D:$D,[1]PIVOT!$B:$B,$A47,[1]PIVOT!$A:$A,G$14)*-1</f>
        <v>0</v>
      </c>
      <c r="H47" s="11">
        <f>SUMIFS([1]PIVOT!$D:$D,[1]PIVOT!$B:$B,$A47,[1]PIVOT!$A:$A,H$14)*-1</f>
        <v>0</v>
      </c>
      <c r="I47" s="11">
        <f>SUMIFS([1]PIVOT!$D:$D,[1]PIVOT!$B:$B,$A47,[1]PIVOT!$A:$A,I$14)*-1</f>
        <v>0</v>
      </c>
      <c r="J47" s="11">
        <f>SUMIFS([1]PIVOT!$D:$D,[1]PIVOT!$B:$B,$A47,[1]PIVOT!$A:$A,J$14)*-1</f>
        <v>0</v>
      </c>
      <c r="K47" s="11">
        <f>SUMIFS([1]PIVOT!$D:$D,[1]PIVOT!$B:$B,$A47,[1]PIVOT!$A:$A,K$14)*-1</f>
        <v>0</v>
      </c>
      <c r="L47" s="11">
        <f>SUMIFS([1]PIVOT!$D:$D,[1]PIVOT!$B:$B,$A47,[1]PIVOT!$A:$A,L$14)*-1</f>
        <v>0</v>
      </c>
      <c r="M47" s="11">
        <f>SUMIFS([1]PIVOT!$D:$D,[1]PIVOT!$B:$B,$A47,[1]PIVOT!$A:$A,M$14)*-1</f>
        <v>0</v>
      </c>
      <c r="N47" s="42">
        <f t="shared" si="8"/>
        <v>-71.980463807999996</v>
      </c>
    </row>
    <row r="48" spans="1:14" outlineLevel="1">
      <c r="A48" s="41" t="s">
        <v>47</v>
      </c>
      <c r="B48" s="11">
        <f>SUMIFS([1]PIVOT!$D:$D,[1]PIVOT!$B:$B,$A48,[1]PIVOT!$A:$A,B$14)*-1</f>
        <v>0</v>
      </c>
      <c r="C48" s="11">
        <f>SUMIFS([1]PIVOT!$D:$D,[1]PIVOT!$B:$B,$A48,[1]PIVOT!$A:$A,C$14)*-1</f>
        <v>0</v>
      </c>
      <c r="D48" s="11">
        <f>SUMIFS([1]PIVOT!$D:$D,[1]PIVOT!$B:$B,$A48,[1]PIVOT!$A:$A,D$14)*-1</f>
        <v>0</v>
      </c>
      <c r="E48" s="11">
        <f>SUMIFS([1]PIVOT!$D:$D,[1]PIVOT!$B:$B,$A48,[1]PIVOT!$A:$A,E$14)*-1</f>
        <v>0</v>
      </c>
      <c r="F48" s="11">
        <f>SUMIFS([1]PIVOT!$D:$D,[1]PIVOT!$B:$B,$A48,[1]PIVOT!$A:$A,F$14)*-1</f>
        <v>0</v>
      </c>
      <c r="G48" s="11">
        <f>SUMIFS([1]PIVOT!$D:$D,[1]PIVOT!$B:$B,$A48,[1]PIVOT!$A:$A,G$14)*-1</f>
        <v>0</v>
      </c>
      <c r="H48" s="11">
        <f>SUMIFS([1]PIVOT!$D:$D,[1]PIVOT!$B:$B,$A48,[1]PIVOT!$A:$A,H$14)*-1</f>
        <v>0</v>
      </c>
      <c r="I48" s="11">
        <f>SUMIFS([1]PIVOT!$D:$D,[1]PIVOT!$B:$B,$A48,[1]PIVOT!$A:$A,I$14)*-1</f>
        <v>0</v>
      </c>
      <c r="J48" s="11">
        <f>SUMIFS([1]PIVOT!$D:$D,[1]PIVOT!$B:$B,$A48,[1]PIVOT!$A:$A,J$14)*-1</f>
        <v>0</v>
      </c>
      <c r="K48" s="11">
        <f>SUMIFS([1]PIVOT!$D:$D,[1]PIVOT!$B:$B,$A48,[1]PIVOT!$A:$A,K$14)*-1</f>
        <v>0</v>
      </c>
      <c r="L48" s="11">
        <f>SUMIFS([1]PIVOT!$D:$D,[1]PIVOT!$B:$B,$A48,[1]PIVOT!$A:$A,L$14)*-1</f>
        <v>0</v>
      </c>
      <c r="M48" s="11">
        <f>SUMIFS([1]PIVOT!$D:$D,[1]PIVOT!$B:$B,$A48,[1]PIVOT!$A:$A,M$14)*-1</f>
        <v>0</v>
      </c>
      <c r="N48" s="42">
        <f t="shared" si="8"/>
        <v>0</v>
      </c>
    </row>
    <row r="49" spans="1:14" outlineLevel="1">
      <c r="A49" s="41" t="s">
        <v>48</v>
      </c>
      <c r="B49" s="11">
        <f>SUMIFS([1]PIVOT!$D:$D,[1]PIVOT!$B:$B,$A49,[1]PIVOT!$A:$A,B$14)*-1</f>
        <v>0</v>
      </c>
      <c r="C49" s="11">
        <f>SUMIFS([1]PIVOT!$D:$D,[1]PIVOT!$B:$B,$A49,[1]PIVOT!$A:$A,C$14)*-1</f>
        <v>0</v>
      </c>
      <c r="D49" s="11">
        <f>SUMIFS([1]PIVOT!$D:$D,[1]PIVOT!$B:$B,$A49,[1]PIVOT!$A:$A,D$14)*-1</f>
        <v>0</v>
      </c>
      <c r="E49" s="11">
        <f>SUMIFS([1]PIVOT!$D:$D,[1]PIVOT!$B:$B,$A49,[1]PIVOT!$A:$A,E$14)*-1</f>
        <v>0</v>
      </c>
      <c r="F49" s="11">
        <f>SUMIFS([1]PIVOT!$D:$D,[1]PIVOT!$B:$B,$A49,[1]PIVOT!$A:$A,F$14)*-1</f>
        <v>0</v>
      </c>
      <c r="G49" s="11">
        <f>SUMIFS([1]PIVOT!$D:$D,[1]PIVOT!$B:$B,$A49,[1]PIVOT!$A:$A,G$14)*-1</f>
        <v>0</v>
      </c>
      <c r="H49" s="11">
        <f>SUMIFS([1]PIVOT!$D:$D,[1]PIVOT!$B:$B,$A49,[1]PIVOT!$A:$A,H$14)*-1</f>
        <v>0</v>
      </c>
      <c r="I49" s="11">
        <f>SUMIFS([1]PIVOT!$D:$D,[1]PIVOT!$B:$B,$A49,[1]PIVOT!$A:$A,I$14)*-1</f>
        <v>0</v>
      </c>
      <c r="J49" s="11">
        <f>SUMIFS([1]PIVOT!$D:$D,[1]PIVOT!$B:$B,$A49,[1]PIVOT!$A:$A,J$14)*-1</f>
        <v>0</v>
      </c>
      <c r="K49" s="11">
        <f>SUMIFS([1]PIVOT!$D:$D,[1]PIVOT!$B:$B,$A49,[1]PIVOT!$A:$A,K$14)*-1</f>
        <v>0</v>
      </c>
      <c r="L49" s="11">
        <f>SUMIFS([1]PIVOT!$D:$D,[1]PIVOT!$B:$B,$A49,[1]PIVOT!$A:$A,L$14)*-1</f>
        <v>0</v>
      </c>
      <c r="M49" s="11">
        <f>SUMIFS([1]PIVOT!$D:$D,[1]PIVOT!$B:$B,$A49,[1]PIVOT!$A:$A,M$14)*-1</f>
        <v>0</v>
      </c>
      <c r="N49" s="42">
        <f t="shared" si="8"/>
        <v>0</v>
      </c>
    </row>
    <row r="50" spans="1:14" outlineLevel="1">
      <c r="A50" s="41" t="s">
        <v>49</v>
      </c>
      <c r="B50" s="11">
        <f>SUMIFS([1]PIVOT!$D:$D,[1]PIVOT!$B:$B,$A50,[1]PIVOT!$A:$A,B$14)*-1</f>
        <v>-3.2560733160000002</v>
      </c>
      <c r="C50" s="11">
        <f>SUMIFS([1]PIVOT!$D:$D,[1]PIVOT!$B:$B,$A50,[1]PIVOT!$A:$A,C$14)*-1</f>
        <v>0</v>
      </c>
      <c r="D50" s="11">
        <f>SUMIFS([1]PIVOT!$D:$D,[1]PIVOT!$B:$B,$A50,[1]PIVOT!$A:$A,D$14)*-1</f>
        <v>0</v>
      </c>
      <c r="E50" s="11">
        <f>SUMIFS([1]PIVOT!$D:$D,[1]PIVOT!$B:$B,$A50,[1]PIVOT!$A:$A,E$14)*-1</f>
        <v>0</v>
      </c>
      <c r="F50" s="11">
        <f>SUMIFS([1]PIVOT!$D:$D,[1]PIVOT!$B:$B,$A50,[1]PIVOT!$A:$A,F$14)*-1</f>
        <v>0</v>
      </c>
      <c r="G50" s="11">
        <f>SUMIFS([1]PIVOT!$D:$D,[1]PIVOT!$B:$B,$A50,[1]PIVOT!$A:$A,G$14)*-1</f>
        <v>0</v>
      </c>
      <c r="H50" s="11">
        <f>SUMIFS([1]PIVOT!$D:$D,[1]PIVOT!$B:$B,$A50,[1]PIVOT!$A:$A,H$14)*-1</f>
        <v>0</v>
      </c>
      <c r="I50" s="11">
        <f>SUMIFS([1]PIVOT!$D:$D,[1]PIVOT!$B:$B,$A50,[1]PIVOT!$A:$A,I$14)*-1</f>
        <v>0</v>
      </c>
      <c r="J50" s="11">
        <f>SUMIFS([1]PIVOT!$D:$D,[1]PIVOT!$B:$B,$A50,[1]PIVOT!$A:$A,J$14)*-1</f>
        <v>0</v>
      </c>
      <c r="K50" s="11">
        <f>SUMIFS([1]PIVOT!$D:$D,[1]PIVOT!$B:$B,$A50,[1]PIVOT!$A:$A,K$14)*-1</f>
        <v>0</v>
      </c>
      <c r="L50" s="11">
        <f>SUMIFS([1]PIVOT!$D:$D,[1]PIVOT!$B:$B,$A50,[1]PIVOT!$A:$A,L$14)*-1</f>
        <v>0</v>
      </c>
      <c r="M50" s="11">
        <f>SUMIFS([1]PIVOT!$D:$D,[1]PIVOT!$B:$B,$A50,[1]PIVOT!$A:$A,M$14)*-1</f>
        <v>0</v>
      </c>
      <c r="N50" s="42">
        <f t="shared" si="8"/>
        <v>-3.2560733160000002</v>
      </c>
    </row>
    <row r="51" spans="1:14" outlineLevel="1">
      <c r="A51" s="41" t="s">
        <v>50</v>
      </c>
      <c r="B51" s="11">
        <f>SUMIFS([1]PIVOT!$D:$D,[1]PIVOT!$B:$B,$A51,[1]PIVOT!$A:$A,B$14)*-1</f>
        <v>0</v>
      </c>
      <c r="C51" s="11">
        <f>SUMIFS([1]PIVOT!$D:$D,[1]PIVOT!$B:$B,$A51,[1]PIVOT!$A:$A,C$14)*-1</f>
        <v>0</v>
      </c>
      <c r="D51" s="11">
        <f>SUMIFS([1]PIVOT!$D:$D,[1]PIVOT!$B:$B,$A51,[1]PIVOT!$A:$A,D$14)*-1</f>
        <v>0</v>
      </c>
      <c r="E51" s="11">
        <f>SUMIFS([1]PIVOT!$D:$D,[1]PIVOT!$B:$B,$A51,[1]PIVOT!$A:$A,E$14)*-1</f>
        <v>0</v>
      </c>
      <c r="F51" s="11">
        <f>SUMIFS([1]PIVOT!$D:$D,[1]PIVOT!$B:$B,$A51,[1]PIVOT!$A:$A,F$14)*-1</f>
        <v>0</v>
      </c>
      <c r="G51" s="11">
        <f>SUMIFS([1]PIVOT!$D:$D,[1]PIVOT!$B:$B,$A51,[1]PIVOT!$A:$A,G$14)*-1</f>
        <v>0</v>
      </c>
      <c r="H51" s="11">
        <f>SUMIFS([1]PIVOT!$D:$D,[1]PIVOT!$B:$B,$A51,[1]PIVOT!$A:$A,H$14)*-1</f>
        <v>0</v>
      </c>
      <c r="I51" s="11">
        <f>SUMIFS([1]PIVOT!$D:$D,[1]PIVOT!$B:$B,$A51,[1]PIVOT!$A:$A,I$14)*-1</f>
        <v>0</v>
      </c>
      <c r="J51" s="11">
        <f>SUMIFS([1]PIVOT!$D:$D,[1]PIVOT!$B:$B,$A51,[1]PIVOT!$A:$A,J$14)*-1</f>
        <v>0</v>
      </c>
      <c r="K51" s="11">
        <f>SUMIFS([1]PIVOT!$D:$D,[1]PIVOT!$B:$B,$A51,[1]PIVOT!$A:$A,K$14)*-1</f>
        <v>0</v>
      </c>
      <c r="L51" s="11">
        <f>SUMIFS([1]PIVOT!$D:$D,[1]PIVOT!$B:$B,$A51,[1]PIVOT!$A:$A,L$14)*-1</f>
        <v>0</v>
      </c>
      <c r="M51" s="11">
        <f>SUMIFS([1]PIVOT!$D:$D,[1]PIVOT!$B:$B,$A51,[1]PIVOT!$A:$A,M$14)*-1</f>
        <v>0</v>
      </c>
      <c r="N51" s="42">
        <f t="shared" si="8"/>
        <v>0</v>
      </c>
    </row>
    <row r="52" spans="1:14" outlineLevel="1">
      <c r="A52" s="41" t="s">
        <v>51</v>
      </c>
      <c r="B52" s="11">
        <f>SUMIFS([1]PIVOT!$D:$D,[1]PIVOT!$B:$B,$A52,[1]PIVOT!$A:$A,B$14)*-1</f>
        <v>-57.271613273999996</v>
      </c>
      <c r="C52" s="11">
        <f>SUMIFS([1]PIVOT!$D:$D,[1]PIVOT!$B:$B,$A52,[1]PIVOT!$A:$A,C$14)*-1</f>
        <v>0</v>
      </c>
      <c r="D52" s="11">
        <f>SUMIFS([1]PIVOT!$D:$D,[1]PIVOT!$B:$B,$A52,[1]PIVOT!$A:$A,D$14)*-1</f>
        <v>0</v>
      </c>
      <c r="E52" s="11">
        <f>SUMIFS([1]PIVOT!$D:$D,[1]PIVOT!$B:$B,$A52,[1]PIVOT!$A:$A,E$14)*-1</f>
        <v>0</v>
      </c>
      <c r="F52" s="11">
        <f>SUMIFS([1]PIVOT!$D:$D,[1]PIVOT!$B:$B,$A52,[1]PIVOT!$A:$A,F$14)*-1</f>
        <v>0</v>
      </c>
      <c r="G52" s="11">
        <f>SUMIFS([1]PIVOT!$D:$D,[1]PIVOT!$B:$B,$A52,[1]PIVOT!$A:$A,G$14)*-1</f>
        <v>0</v>
      </c>
      <c r="H52" s="11">
        <f>SUMIFS([1]PIVOT!$D:$D,[1]PIVOT!$B:$B,$A52,[1]PIVOT!$A:$A,H$14)*-1</f>
        <v>0</v>
      </c>
      <c r="I52" s="11">
        <f>SUMIFS([1]PIVOT!$D:$D,[1]PIVOT!$B:$B,$A52,[1]PIVOT!$A:$A,I$14)*-1</f>
        <v>0</v>
      </c>
      <c r="J52" s="11">
        <f>SUMIFS([1]PIVOT!$D:$D,[1]PIVOT!$B:$B,$A52,[1]PIVOT!$A:$A,J$14)*-1</f>
        <v>0</v>
      </c>
      <c r="K52" s="11">
        <f>SUMIFS([1]PIVOT!$D:$D,[1]PIVOT!$B:$B,$A52,[1]PIVOT!$A:$A,K$14)*-1</f>
        <v>0</v>
      </c>
      <c r="L52" s="11">
        <f>SUMIFS([1]PIVOT!$D:$D,[1]PIVOT!$B:$B,$A52,[1]PIVOT!$A:$A,L$14)*-1</f>
        <v>0</v>
      </c>
      <c r="M52" s="11">
        <f>SUMIFS([1]PIVOT!$D:$D,[1]PIVOT!$B:$B,$A52,[1]PIVOT!$A:$A,M$14)*-1</f>
        <v>0</v>
      </c>
      <c r="N52" s="42">
        <f t="shared" si="8"/>
        <v>-57.271613273999996</v>
      </c>
    </row>
    <row r="53" spans="1:14" outlineLevel="1">
      <c r="A53" s="41" t="s">
        <v>52</v>
      </c>
      <c r="B53" s="11">
        <f>SUMIFS([1]PIVOT!$D:$D,[1]PIVOT!$B:$B,$A53,[1]PIVOT!$A:$A,B$14)*-1</f>
        <v>-44.270439246000009</v>
      </c>
      <c r="C53" s="11">
        <f>SUMIFS([1]PIVOT!$D:$D,[1]PIVOT!$B:$B,$A53,[1]PIVOT!$A:$A,C$14)*-1</f>
        <v>0</v>
      </c>
      <c r="D53" s="11">
        <f>SUMIFS([1]PIVOT!$D:$D,[1]PIVOT!$B:$B,$A53,[1]PIVOT!$A:$A,D$14)*-1</f>
        <v>0</v>
      </c>
      <c r="E53" s="11">
        <f>SUMIFS([1]PIVOT!$D:$D,[1]PIVOT!$B:$B,$A53,[1]PIVOT!$A:$A,E$14)*-1</f>
        <v>0</v>
      </c>
      <c r="F53" s="11">
        <f>SUMIFS([1]PIVOT!$D:$D,[1]PIVOT!$B:$B,$A53,[1]PIVOT!$A:$A,F$14)*-1</f>
        <v>0</v>
      </c>
      <c r="G53" s="11">
        <f>SUMIFS([1]PIVOT!$D:$D,[1]PIVOT!$B:$B,$A53,[1]PIVOT!$A:$A,G$14)*-1</f>
        <v>0</v>
      </c>
      <c r="H53" s="11">
        <f>SUMIFS([1]PIVOT!$D:$D,[1]PIVOT!$B:$B,$A53,[1]PIVOT!$A:$A,H$14)*-1</f>
        <v>0</v>
      </c>
      <c r="I53" s="11">
        <f>SUMIFS([1]PIVOT!$D:$D,[1]PIVOT!$B:$B,$A53,[1]PIVOT!$A:$A,I$14)*-1</f>
        <v>0</v>
      </c>
      <c r="J53" s="11">
        <f>SUMIFS([1]PIVOT!$D:$D,[1]PIVOT!$B:$B,$A53,[1]PIVOT!$A:$A,J$14)*-1</f>
        <v>0</v>
      </c>
      <c r="K53" s="11">
        <f>SUMIFS([1]PIVOT!$D:$D,[1]PIVOT!$B:$B,$A53,[1]PIVOT!$A:$A,K$14)*-1</f>
        <v>0</v>
      </c>
      <c r="L53" s="11">
        <f>SUMIFS([1]PIVOT!$D:$D,[1]PIVOT!$B:$B,$A53,[1]PIVOT!$A:$A,L$14)*-1</f>
        <v>0</v>
      </c>
      <c r="M53" s="11">
        <f>SUMIFS([1]PIVOT!$D:$D,[1]PIVOT!$B:$B,$A53,[1]PIVOT!$A:$A,M$14)*-1</f>
        <v>0</v>
      </c>
      <c r="N53" s="42">
        <f t="shared" si="8"/>
        <v>-44.270439246000009</v>
      </c>
    </row>
    <row r="54" spans="1:14" outlineLevel="1">
      <c r="A54" s="41" t="s">
        <v>53</v>
      </c>
      <c r="B54" s="11">
        <f>SUMIFS([1]PIVOT!$D:$D,[1]PIVOT!$B:$B,$A54,[1]PIVOT!$A:$A,B$14)*-1</f>
        <v>-7.4933120520000003</v>
      </c>
      <c r="C54" s="11">
        <f>SUMIFS([1]PIVOT!$D:$D,[1]PIVOT!$B:$B,$A54,[1]PIVOT!$A:$A,C$14)*-1</f>
        <v>0</v>
      </c>
      <c r="D54" s="11">
        <f>SUMIFS([1]PIVOT!$D:$D,[1]PIVOT!$B:$B,$A54,[1]PIVOT!$A:$A,D$14)*-1</f>
        <v>0</v>
      </c>
      <c r="E54" s="11">
        <f>SUMIFS([1]PIVOT!$D:$D,[1]PIVOT!$B:$B,$A54,[1]PIVOT!$A:$A,E$14)*-1</f>
        <v>0</v>
      </c>
      <c r="F54" s="11">
        <f>SUMIFS([1]PIVOT!$D:$D,[1]PIVOT!$B:$B,$A54,[1]PIVOT!$A:$A,F$14)*-1</f>
        <v>0</v>
      </c>
      <c r="G54" s="11">
        <f>SUMIFS([1]PIVOT!$D:$D,[1]PIVOT!$B:$B,$A54,[1]PIVOT!$A:$A,G$14)*-1</f>
        <v>0</v>
      </c>
      <c r="H54" s="11">
        <f>SUMIFS([1]PIVOT!$D:$D,[1]PIVOT!$B:$B,$A54,[1]PIVOT!$A:$A,H$14)*-1</f>
        <v>0</v>
      </c>
      <c r="I54" s="11">
        <f>SUMIFS([1]PIVOT!$D:$D,[1]PIVOT!$B:$B,$A54,[1]PIVOT!$A:$A,I$14)*-1</f>
        <v>0</v>
      </c>
      <c r="J54" s="11">
        <f>SUMIFS([1]PIVOT!$D:$D,[1]PIVOT!$B:$B,$A54,[1]PIVOT!$A:$A,J$14)*-1</f>
        <v>0</v>
      </c>
      <c r="K54" s="11">
        <f>SUMIFS([1]PIVOT!$D:$D,[1]PIVOT!$B:$B,$A54,[1]PIVOT!$A:$A,K$14)*-1</f>
        <v>0</v>
      </c>
      <c r="L54" s="11">
        <f>SUMIFS([1]PIVOT!$D:$D,[1]PIVOT!$B:$B,$A54,[1]PIVOT!$A:$A,L$14)*-1</f>
        <v>0</v>
      </c>
      <c r="M54" s="11">
        <f>SUMIFS([1]PIVOT!$D:$D,[1]PIVOT!$B:$B,$A54,[1]PIVOT!$A:$A,M$14)*-1</f>
        <v>0</v>
      </c>
      <c r="N54" s="42">
        <f t="shared" si="8"/>
        <v>-7.4933120520000003</v>
      </c>
    </row>
    <row r="55" spans="1:14" outlineLevel="1">
      <c r="A55" s="41" t="s">
        <v>54</v>
      </c>
      <c r="B55" s="11">
        <f>SUMIFS([1]PIVOT!$D:$D,[1]PIVOT!$B:$B,$A55,[1]PIVOT!$A:$A,B$14)*-1</f>
        <v>0</v>
      </c>
      <c r="C55" s="11">
        <f>SUMIFS([1]PIVOT!$D:$D,[1]PIVOT!$B:$B,$A55,[1]PIVOT!$A:$A,C$14)*-1</f>
        <v>0</v>
      </c>
      <c r="D55" s="11">
        <f>SUMIFS([1]PIVOT!$D:$D,[1]PIVOT!$B:$B,$A55,[1]PIVOT!$A:$A,D$14)*-1</f>
        <v>0</v>
      </c>
      <c r="E55" s="11">
        <f>SUMIFS([1]PIVOT!$D:$D,[1]PIVOT!$B:$B,$A55,[1]PIVOT!$A:$A,E$14)*-1</f>
        <v>0</v>
      </c>
      <c r="F55" s="11">
        <f>SUMIFS([1]PIVOT!$D:$D,[1]PIVOT!$B:$B,$A55,[1]PIVOT!$A:$A,F$14)*-1</f>
        <v>0</v>
      </c>
      <c r="G55" s="11">
        <f>SUMIFS([1]PIVOT!$D:$D,[1]PIVOT!$B:$B,$A55,[1]PIVOT!$A:$A,G$14)*-1</f>
        <v>0</v>
      </c>
      <c r="H55" s="11">
        <f>SUMIFS([1]PIVOT!$D:$D,[1]PIVOT!$B:$B,$A55,[1]PIVOT!$A:$A,H$14)*-1</f>
        <v>0</v>
      </c>
      <c r="I55" s="11">
        <f>SUMIFS([1]PIVOT!$D:$D,[1]PIVOT!$B:$B,$A55,[1]PIVOT!$A:$A,I$14)*-1</f>
        <v>0</v>
      </c>
      <c r="J55" s="11">
        <f>SUMIFS([1]PIVOT!$D:$D,[1]PIVOT!$B:$B,$A55,[1]PIVOT!$A:$A,J$14)*-1</f>
        <v>0</v>
      </c>
      <c r="K55" s="11">
        <f>SUMIFS([1]PIVOT!$D:$D,[1]PIVOT!$B:$B,$A55,[1]PIVOT!$A:$A,K$14)*-1</f>
        <v>0</v>
      </c>
      <c r="L55" s="11">
        <f>SUMIFS([1]PIVOT!$D:$D,[1]PIVOT!$B:$B,$A55,[1]PIVOT!$A:$A,L$14)*-1</f>
        <v>0</v>
      </c>
      <c r="M55" s="11">
        <f>SUMIFS([1]PIVOT!$D:$D,[1]PIVOT!$B:$B,$A55,[1]PIVOT!$A:$A,M$14)*-1</f>
        <v>0</v>
      </c>
      <c r="N55" s="42">
        <f t="shared" si="8"/>
        <v>0</v>
      </c>
    </row>
    <row r="56" spans="1:14" outlineLevel="1">
      <c r="A56" s="41" t="s">
        <v>55</v>
      </c>
      <c r="B56" s="11">
        <f>SUMIFS([1]PIVOT!$D:$D,[1]PIVOT!$B:$B,$A56,[1]PIVOT!$A:$A,B$14)*-1</f>
        <v>-2.1965143680000003</v>
      </c>
      <c r="C56" s="11">
        <f>SUMIFS([1]PIVOT!$D:$D,[1]PIVOT!$B:$B,$A56,[1]PIVOT!$A:$A,C$14)*-1</f>
        <v>0</v>
      </c>
      <c r="D56" s="11">
        <f>SUMIFS([1]PIVOT!$D:$D,[1]PIVOT!$B:$B,$A56,[1]PIVOT!$A:$A,D$14)*-1</f>
        <v>0</v>
      </c>
      <c r="E56" s="11">
        <f>SUMIFS([1]PIVOT!$D:$D,[1]PIVOT!$B:$B,$A56,[1]PIVOT!$A:$A,E$14)*-1</f>
        <v>0</v>
      </c>
      <c r="F56" s="11">
        <f>SUMIFS([1]PIVOT!$D:$D,[1]PIVOT!$B:$B,$A56,[1]PIVOT!$A:$A,F$14)*-1</f>
        <v>0</v>
      </c>
      <c r="G56" s="11">
        <f>SUMIFS([1]PIVOT!$D:$D,[1]PIVOT!$B:$B,$A56,[1]PIVOT!$A:$A,G$14)*-1</f>
        <v>0</v>
      </c>
      <c r="H56" s="11">
        <f>SUMIFS([1]PIVOT!$D:$D,[1]PIVOT!$B:$B,$A56,[1]PIVOT!$A:$A,H$14)*-1</f>
        <v>0</v>
      </c>
      <c r="I56" s="11">
        <f>SUMIFS([1]PIVOT!$D:$D,[1]PIVOT!$B:$B,$A56,[1]PIVOT!$A:$A,I$14)*-1</f>
        <v>0</v>
      </c>
      <c r="J56" s="11">
        <f>SUMIFS([1]PIVOT!$D:$D,[1]PIVOT!$B:$B,$A56,[1]PIVOT!$A:$A,J$14)*-1</f>
        <v>0</v>
      </c>
      <c r="K56" s="11">
        <f>SUMIFS([1]PIVOT!$D:$D,[1]PIVOT!$B:$B,$A56,[1]PIVOT!$A:$A,K$14)*-1</f>
        <v>0</v>
      </c>
      <c r="L56" s="11">
        <f>SUMIFS([1]PIVOT!$D:$D,[1]PIVOT!$B:$B,$A56,[1]PIVOT!$A:$A,L$14)*-1</f>
        <v>0</v>
      </c>
      <c r="M56" s="11">
        <f>SUMIFS([1]PIVOT!$D:$D,[1]PIVOT!$B:$B,$A56,[1]PIVOT!$A:$A,M$14)*-1</f>
        <v>0</v>
      </c>
      <c r="N56" s="42">
        <f t="shared" si="8"/>
        <v>-2.1965143680000003</v>
      </c>
    </row>
    <row r="57" spans="1:14" outlineLevel="1">
      <c r="A57" s="41" t="s">
        <v>56</v>
      </c>
      <c r="B57" s="11">
        <f>SUMIFS([1]PIVOT!$D:$D,[1]PIVOT!$B:$B,$A57,[1]PIVOT!$A:$A,B$14)*-1</f>
        <v>28.099141245000006</v>
      </c>
      <c r="C57" s="11">
        <f>SUMIFS([1]PIVOT!$D:$D,[1]PIVOT!$B:$B,$A57,[1]PIVOT!$A:$A,C$14)*-1</f>
        <v>0</v>
      </c>
      <c r="D57" s="11">
        <f>SUMIFS([1]PIVOT!$D:$D,[1]PIVOT!$B:$B,$A57,[1]PIVOT!$A:$A,D$14)*-1</f>
        <v>0</v>
      </c>
      <c r="E57" s="11">
        <f>SUMIFS([1]PIVOT!$D:$D,[1]PIVOT!$B:$B,$A57,[1]PIVOT!$A:$A,E$14)*-1</f>
        <v>0</v>
      </c>
      <c r="F57" s="11">
        <f>SUMIFS([1]PIVOT!$D:$D,[1]PIVOT!$B:$B,$A57,[1]PIVOT!$A:$A,F$14)*-1</f>
        <v>0</v>
      </c>
      <c r="G57" s="11">
        <f>SUMIFS([1]PIVOT!$D:$D,[1]PIVOT!$B:$B,$A57,[1]PIVOT!$A:$A,G$14)*-1</f>
        <v>0</v>
      </c>
      <c r="H57" s="11">
        <f>SUMIFS([1]PIVOT!$D:$D,[1]PIVOT!$B:$B,$A57,[1]PIVOT!$A:$A,H$14)*-1</f>
        <v>0</v>
      </c>
      <c r="I57" s="11">
        <f>SUMIFS([1]PIVOT!$D:$D,[1]PIVOT!$B:$B,$A57,[1]PIVOT!$A:$A,I$14)*-1</f>
        <v>0</v>
      </c>
      <c r="J57" s="11">
        <f>SUMIFS([1]PIVOT!$D:$D,[1]PIVOT!$B:$B,$A57,[1]PIVOT!$A:$A,J$14)*-1</f>
        <v>0</v>
      </c>
      <c r="K57" s="11">
        <f>SUMIFS([1]PIVOT!$D:$D,[1]PIVOT!$B:$B,$A57,[1]PIVOT!$A:$A,K$14)*-1</f>
        <v>0</v>
      </c>
      <c r="L57" s="11">
        <f>SUMIFS([1]PIVOT!$D:$D,[1]PIVOT!$B:$B,$A57,[1]PIVOT!$A:$A,L$14)*-1</f>
        <v>0</v>
      </c>
      <c r="M57" s="11">
        <f>SUMIFS([1]PIVOT!$D:$D,[1]PIVOT!$B:$B,$A57,[1]PIVOT!$A:$A,M$14)*-1</f>
        <v>0</v>
      </c>
      <c r="N57" s="42">
        <f t="shared" si="8"/>
        <v>28.099141245000006</v>
      </c>
    </row>
    <row r="58" spans="1:14" outlineLevel="1">
      <c r="A58" s="41" t="s">
        <v>57</v>
      </c>
      <c r="B58" s="11">
        <f>SUMIFS([1]PIVOT!$D:$D,[1]PIVOT!$B:$B,$A58,[1]PIVOT!$A:$A,B$14)*-1</f>
        <v>0</v>
      </c>
      <c r="C58" s="11">
        <f>SUMIFS([1]PIVOT!$D:$D,[1]PIVOT!$B:$B,$A58,[1]PIVOT!$A:$A,C$14)*-1</f>
        <v>0</v>
      </c>
      <c r="D58" s="11">
        <f>SUMIFS([1]PIVOT!$D:$D,[1]PIVOT!$B:$B,$A58,[1]PIVOT!$A:$A,D$14)*-1</f>
        <v>0</v>
      </c>
      <c r="E58" s="11">
        <f>SUMIFS([1]PIVOT!$D:$D,[1]PIVOT!$B:$B,$A58,[1]PIVOT!$A:$A,E$14)*-1</f>
        <v>0</v>
      </c>
      <c r="F58" s="11">
        <f>SUMIFS([1]PIVOT!$D:$D,[1]PIVOT!$B:$B,$A58,[1]PIVOT!$A:$A,F$14)*-1</f>
        <v>0</v>
      </c>
      <c r="G58" s="11">
        <f>SUMIFS([1]PIVOT!$D:$D,[1]PIVOT!$B:$B,$A58,[1]PIVOT!$A:$A,G$14)*-1</f>
        <v>0</v>
      </c>
      <c r="H58" s="11">
        <f>SUMIFS([1]PIVOT!$D:$D,[1]PIVOT!$B:$B,$A58,[1]PIVOT!$A:$A,H$14)*-1</f>
        <v>0</v>
      </c>
      <c r="I58" s="11">
        <f>SUMIFS([1]PIVOT!$D:$D,[1]PIVOT!$B:$B,$A58,[1]PIVOT!$A:$A,I$14)*-1</f>
        <v>0</v>
      </c>
      <c r="J58" s="11">
        <f>SUMIFS([1]PIVOT!$D:$D,[1]PIVOT!$B:$B,$A58,[1]PIVOT!$A:$A,J$14)*-1</f>
        <v>0</v>
      </c>
      <c r="K58" s="11">
        <f>SUMIFS([1]PIVOT!$D:$D,[1]PIVOT!$B:$B,$A58,[1]PIVOT!$A:$A,K$14)*-1</f>
        <v>0</v>
      </c>
      <c r="L58" s="11">
        <f>SUMIFS([1]PIVOT!$D:$D,[1]PIVOT!$B:$B,$A58,[1]PIVOT!$A:$A,L$14)*-1</f>
        <v>0</v>
      </c>
      <c r="M58" s="11">
        <f>SUMIFS([1]PIVOT!$D:$D,[1]PIVOT!$B:$B,$A58,[1]PIVOT!$A:$A,M$14)*-1</f>
        <v>0</v>
      </c>
      <c r="N58" s="42">
        <f t="shared" si="8"/>
        <v>0</v>
      </c>
    </row>
    <row r="59" spans="1:14" outlineLevel="1">
      <c r="A59" s="41" t="s">
        <v>58</v>
      </c>
      <c r="B59" s="11">
        <f>SUMIFS([1]PIVOT!$D:$D,[1]PIVOT!$B:$B,$A59,[1]PIVOT!$A:$A,B$14)*-1</f>
        <v>-226.38793661099999</v>
      </c>
      <c r="C59" s="11">
        <f>SUMIFS([1]PIVOT!$D:$D,[1]PIVOT!$B:$B,$A59,[1]PIVOT!$A:$A,C$14)*-1</f>
        <v>0</v>
      </c>
      <c r="D59" s="11">
        <f>SUMIFS([1]PIVOT!$D:$D,[1]PIVOT!$B:$B,$A59,[1]PIVOT!$A:$A,D$14)*-1</f>
        <v>0</v>
      </c>
      <c r="E59" s="11">
        <f>SUMIFS([1]PIVOT!$D:$D,[1]PIVOT!$B:$B,$A59,[1]PIVOT!$A:$A,E$14)*-1</f>
        <v>0</v>
      </c>
      <c r="F59" s="11">
        <f>SUMIFS([1]PIVOT!$D:$D,[1]PIVOT!$B:$B,$A59,[1]PIVOT!$A:$A,F$14)*-1</f>
        <v>0</v>
      </c>
      <c r="G59" s="11">
        <f>SUMIFS([1]PIVOT!$D:$D,[1]PIVOT!$B:$B,$A59,[1]PIVOT!$A:$A,G$14)*-1</f>
        <v>0</v>
      </c>
      <c r="H59" s="11">
        <f>SUMIFS([1]PIVOT!$D:$D,[1]PIVOT!$B:$B,$A59,[1]PIVOT!$A:$A,H$14)*-1</f>
        <v>0</v>
      </c>
      <c r="I59" s="11">
        <f>SUMIFS([1]PIVOT!$D:$D,[1]PIVOT!$B:$B,$A59,[1]PIVOT!$A:$A,I$14)*-1</f>
        <v>0</v>
      </c>
      <c r="J59" s="11">
        <f>SUMIFS([1]PIVOT!$D:$D,[1]PIVOT!$B:$B,$A59,[1]PIVOT!$A:$A,J$14)*-1</f>
        <v>0</v>
      </c>
      <c r="K59" s="11">
        <f>SUMIFS([1]PIVOT!$D:$D,[1]PIVOT!$B:$B,$A59,[1]PIVOT!$A:$A,K$14)*-1</f>
        <v>0</v>
      </c>
      <c r="L59" s="11">
        <f>SUMIFS([1]PIVOT!$D:$D,[1]PIVOT!$B:$B,$A59,[1]PIVOT!$A:$A,L$14)*-1</f>
        <v>0</v>
      </c>
      <c r="M59" s="11">
        <f>SUMIFS([1]PIVOT!$D:$D,[1]PIVOT!$B:$B,$A59,[1]PIVOT!$A:$A,M$14)*-1</f>
        <v>0</v>
      </c>
      <c r="N59" s="42">
        <f t="shared" si="8"/>
        <v>-226.38793661099999</v>
      </c>
    </row>
    <row r="60" spans="1:14">
      <c r="A60" s="43" t="s">
        <v>59</v>
      </c>
      <c r="B60" s="44">
        <f t="shared" ref="B60:M60" si="9">IFERROR(SUM(B44:B59),0)</f>
        <v>-386.46979532099999</v>
      </c>
      <c r="C60" s="44">
        <f t="shared" si="9"/>
        <v>0</v>
      </c>
      <c r="D60" s="44">
        <f t="shared" si="9"/>
        <v>0</v>
      </c>
      <c r="E60" s="44">
        <f t="shared" si="9"/>
        <v>0</v>
      </c>
      <c r="F60" s="44">
        <f t="shared" si="9"/>
        <v>0</v>
      </c>
      <c r="G60" s="44">
        <f t="shared" si="9"/>
        <v>0</v>
      </c>
      <c r="H60" s="44">
        <f t="shared" si="9"/>
        <v>0</v>
      </c>
      <c r="I60" s="44">
        <f t="shared" si="9"/>
        <v>0</v>
      </c>
      <c r="J60" s="44">
        <f t="shared" si="9"/>
        <v>0</v>
      </c>
      <c r="K60" s="44">
        <f t="shared" si="9"/>
        <v>0</v>
      </c>
      <c r="L60" s="44">
        <f t="shared" si="9"/>
        <v>0</v>
      </c>
      <c r="M60" s="44">
        <f t="shared" si="9"/>
        <v>0</v>
      </c>
      <c r="N60" s="45">
        <f t="shared" si="8"/>
        <v>-386.46979532099999</v>
      </c>
    </row>
    <row r="61" spans="1:14" outlineLevel="1" collapsed="1">
      <c r="A61" s="30" t="s">
        <v>60</v>
      </c>
      <c r="B61" s="46">
        <f>SUMIFS([1]PIVOT!$D:$D,[1]PIVOT!$B:$B,$A61,[1]PIVOT!$A:$A,B$14)*-1</f>
        <v>-70.302885930000187</v>
      </c>
      <c r="C61" s="46">
        <f>SUMIFS([1]PIVOT!$D:$D,[1]PIVOT!$B:$B,$A61,[1]PIVOT!$A:$A,C$14)*-1</f>
        <v>0</v>
      </c>
      <c r="D61" s="46">
        <f>SUMIFS([1]PIVOT!$D:$D,[1]PIVOT!$B:$B,$A61,[1]PIVOT!$A:$A,D$14)*-1</f>
        <v>0</v>
      </c>
      <c r="E61" s="46">
        <f>SUMIFS([1]PIVOT!$D:$D,[1]PIVOT!$B:$B,$A61,[1]PIVOT!$A:$A,E$14)*-1</f>
        <v>0</v>
      </c>
      <c r="F61" s="46">
        <f>SUMIFS([1]PIVOT!$D:$D,[1]PIVOT!$B:$B,$A61,[1]PIVOT!$A:$A,F$14)*-1</f>
        <v>0</v>
      </c>
      <c r="G61" s="46">
        <f>SUMIFS([1]PIVOT!$D:$D,[1]PIVOT!$B:$B,$A61,[1]PIVOT!$A:$A,G$14)*-1</f>
        <v>0</v>
      </c>
      <c r="H61" s="46">
        <f>SUMIFS([1]PIVOT!$D:$D,[1]PIVOT!$B:$B,$A61,[1]PIVOT!$A:$A,H$14)*-1</f>
        <v>0</v>
      </c>
      <c r="I61" s="46">
        <f>SUMIFS([1]PIVOT!$D:$D,[1]PIVOT!$B:$B,$A61,[1]PIVOT!$A:$A,I$14)*-1</f>
        <v>0</v>
      </c>
      <c r="J61" s="46">
        <f>SUMIFS([1]PIVOT!$D:$D,[1]PIVOT!$B:$B,$A61,[1]PIVOT!$A:$A,J$14)*-1</f>
        <v>0</v>
      </c>
      <c r="K61" s="46">
        <f>SUMIFS([1]PIVOT!$D:$D,[1]PIVOT!$B:$B,$A61,[1]PIVOT!$A:$A,K$14)*-1</f>
        <v>0</v>
      </c>
      <c r="L61" s="46">
        <f>SUMIFS([1]PIVOT!$D:$D,[1]PIVOT!$B:$B,$A61,[1]PIVOT!$A:$A,L$14)*-1</f>
        <v>0</v>
      </c>
      <c r="M61" s="46">
        <f>SUMIFS([1]PIVOT!$D:$D,[1]PIVOT!$B:$B,$A61,[1]PIVOT!$A:$A,M$14)*-1</f>
        <v>0</v>
      </c>
      <c r="N61" s="12">
        <f t="shared" si="8"/>
        <v>-70.302885930000187</v>
      </c>
    </row>
    <row r="62" spans="1:14" outlineLevel="1">
      <c r="A62" s="30" t="s">
        <v>61</v>
      </c>
      <c r="B62" s="46">
        <f>SUMIFS([1]PIVOT!$D:$D,[1]PIVOT!$B:$B,#REF!,[1]PIVOT!$A:$A,B$14)*-1</f>
        <v>0</v>
      </c>
      <c r="C62" s="46">
        <f>SUMIFS([1]PIVOT!$D:$D,[1]PIVOT!$B:$B,#REF!,[1]PIVOT!$A:$A,C$14)*-1</f>
        <v>0</v>
      </c>
      <c r="D62" s="46">
        <f>SUMIFS([1]PIVOT!$D:$D,[1]PIVOT!$B:$B,#REF!,[1]PIVOT!$A:$A,D$14)*-1</f>
        <v>0</v>
      </c>
      <c r="E62" s="46">
        <f>SUMIFS([1]PIVOT!$D:$D,[1]PIVOT!$B:$B,#REF!,[1]PIVOT!$A:$A,E$14)*-1</f>
        <v>0</v>
      </c>
      <c r="F62" s="46">
        <f>SUMIFS([1]PIVOT!$D:$D,[1]PIVOT!$B:$B,#REF!,[1]PIVOT!$A:$A,F$14)*-1</f>
        <v>0</v>
      </c>
      <c r="G62" s="46">
        <f>SUMIFS([1]PIVOT!$D:$D,[1]PIVOT!$B:$B,#REF!,[1]PIVOT!$A:$A,G$14)*-1</f>
        <v>0</v>
      </c>
      <c r="H62" s="46">
        <f>SUMIFS([1]PIVOT!$D:$D,[1]PIVOT!$B:$B,#REF!,[1]PIVOT!$A:$A,H$14)*-1</f>
        <v>0</v>
      </c>
      <c r="I62" s="46">
        <f>SUMIFS([1]PIVOT!$D:$D,[1]PIVOT!$B:$B,#REF!,[1]PIVOT!$A:$A,I$14)*-1</f>
        <v>0</v>
      </c>
      <c r="J62" s="46">
        <f>SUMIFS([1]PIVOT!$D:$D,[1]PIVOT!$B:$B,#REF!,[1]PIVOT!$A:$A,J$14)*-1</f>
        <v>0</v>
      </c>
      <c r="K62" s="46">
        <f>SUMIFS([1]PIVOT!$D:$D,[1]PIVOT!$B:$B,#REF!,[1]PIVOT!$A:$A,K$14)*-1</f>
        <v>0</v>
      </c>
      <c r="L62" s="46">
        <f>SUMIFS([1]PIVOT!$D:$D,[1]PIVOT!$B:$B,#REF!,[1]PIVOT!$A:$A,L$14)*-1</f>
        <v>0</v>
      </c>
      <c r="M62" s="46">
        <f>SUMIFS([1]PIVOT!$D:$D,[1]PIVOT!$B:$B,$A62,[1]PIVOT!$A:$A,M$14)*-1</f>
        <v>0</v>
      </c>
      <c r="N62" s="12">
        <f t="shared" si="8"/>
        <v>0</v>
      </c>
    </row>
    <row r="63" spans="1:14" outlineLevel="1">
      <c r="A63" s="30" t="s">
        <v>62</v>
      </c>
      <c r="B63" s="46">
        <f>SUMIFS([1]PIVOT!$D:$D,[1]PIVOT!$B:$B,#REF!,[1]PIVOT!$A:$A,B$14)*-1</f>
        <v>0</v>
      </c>
      <c r="C63" s="46">
        <f>SUMIFS([1]PIVOT!$D:$D,[1]PIVOT!$B:$B,#REF!,[1]PIVOT!$A:$A,C$14)*-1</f>
        <v>0</v>
      </c>
      <c r="D63" s="46">
        <f>SUMIFS([1]PIVOT!$D:$D,[1]PIVOT!$B:$B,#REF!,[1]PIVOT!$A:$A,D$14)*-1</f>
        <v>0</v>
      </c>
      <c r="E63" s="46">
        <f>SUMIFS([1]PIVOT!$D:$D,[1]PIVOT!$B:$B,#REF!,[1]PIVOT!$A:$A,E$14)*-1</f>
        <v>0</v>
      </c>
      <c r="F63" s="46">
        <f>SUMIFS([1]PIVOT!$D:$D,[1]PIVOT!$B:$B,#REF!,[1]PIVOT!$A:$A,F$14)*-1</f>
        <v>0</v>
      </c>
      <c r="G63" s="46">
        <f>SUMIFS([1]PIVOT!$D:$D,[1]PIVOT!$B:$B,#REF!,[1]PIVOT!$A:$A,G$14)*-1</f>
        <v>0</v>
      </c>
      <c r="H63" s="46">
        <f>SUMIFS([1]PIVOT!$D:$D,[1]PIVOT!$B:$B,#REF!,[1]PIVOT!$A:$A,H$14)*-1</f>
        <v>0</v>
      </c>
      <c r="I63" s="46">
        <f>SUMIFS([1]PIVOT!$D:$D,[1]PIVOT!$B:$B,#REF!,[1]PIVOT!$A:$A,I$14)*-1</f>
        <v>0</v>
      </c>
      <c r="J63" s="46">
        <f>SUMIFS([1]PIVOT!$D:$D,[1]PIVOT!$B:$B,#REF!,[1]PIVOT!$A:$A,J$14)*-1</f>
        <v>0</v>
      </c>
      <c r="K63" s="46">
        <f>SUMIFS([1]PIVOT!$D:$D,[1]PIVOT!$B:$B,#REF!,[1]PIVOT!$A:$A,K$14)*-1</f>
        <v>0</v>
      </c>
      <c r="L63" s="46">
        <f>SUMIFS([1]PIVOT!$D:$D,[1]PIVOT!$B:$B,#REF!,[1]PIVOT!$A:$A,L$14)*-1</f>
        <v>0</v>
      </c>
      <c r="M63" s="46">
        <f>SUMIFS([1]PIVOT!$D:$D,[1]PIVOT!$B:$B,#REF!,[1]PIVOT!$A:$A,M$14)*-1</f>
        <v>0</v>
      </c>
      <c r="N63" s="12">
        <f>SUM(B63:M63)</f>
        <v>0</v>
      </c>
    </row>
    <row r="64" spans="1:14">
      <c r="A64" s="47" t="s">
        <v>63</v>
      </c>
      <c r="B64" s="48">
        <f t="shared" ref="B64:N64" si="10">IFERROR(SUM(B61:B62),0)</f>
        <v>-70.302885930000187</v>
      </c>
      <c r="C64" s="48">
        <f t="shared" si="10"/>
        <v>0</v>
      </c>
      <c r="D64" s="48">
        <f t="shared" si="10"/>
        <v>0</v>
      </c>
      <c r="E64" s="48">
        <f t="shared" si="10"/>
        <v>0</v>
      </c>
      <c r="F64" s="48">
        <f t="shared" si="10"/>
        <v>0</v>
      </c>
      <c r="G64" s="48">
        <f t="shared" si="10"/>
        <v>0</v>
      </c>
      <c r="H64" s="48">
        <f t="shared" si="10"/>
        <v>0</v>
      </c>
      <c r="I64" s="48">
        <f t="shared" si="10"/>
        <v>0</v>
      </c>
      <c r="J64" s="48">
        <f t="shared" si="10"/>
        <v>0</v>
      </c>
      <c r="K64" s="48">
        <f t="shared" si="10"/>
        <v>0</v>
      </c>
      <c r="L64" s="48">
        <f t="shared" si="10"/>
        <v>0</v>
      </c>
      <c r="M64" s="48">
        <f t="shared" si="10"/>
        <v>0</v>
      </c>
      <c r="N64" s="42">
        <f t="shared" si="10"/>
        <v>-70.302885930000187</v>
      </c>
    </row>
    <row r="65" spans="1:16" ht="15" customHeight="1">
      <c r="A65" s="49" t="s">
        <v>64</v>
      </c>
      <c r="B65" s="46">
        <f t="shared" ref="B65:N65" si="11">IFERROR(SUM(B41,B43,B60,B64),0)</f>
        <v>4861.4122278450013</v>
      </c>
      <c r="C65" s="46">
        <f t="shared" si="11"/>
        <v>0</v>
      </c>
      <c r="D65" s="46">
        <f t="shared" si="11"/>
        <v>0</v>
      </c>
      <c r="E65" s="46">
        <f t="shared" si="11"/>
        <v>0</v>
      </c>
      <c r="F65" s="46">
        <f t="shared" si="11"/>
        <v>0</v>
      </c>
      <c r="G65" s="46">
        <f t="shared" si="11"/>
        <v>0</v>
      </c>
      <c r="H65" s="46">
        <f t="shared" si="11"/>
        <v>0</v>
      </c>
      <c r="I65" s="46">
        <f t="shared" si="11"/>
        <v>0</v>
      </c>
      <c r="J65" s="46">
        <f t="shared" si="11"/>
        <v>0</v>
      </c>
      <c r="K65" s="46">
        <f t="shared" si="11"/>
        <v>0</v>
      </c>
      <c r="L65" s="46">
        <f t="shared" si="11"/>
        <v>0</v>
      </c>
      <c r="M65" s="46">
        <f t="shared" si="11"/>
        <v>0</v>
      </c>
      <c r="N65" s="50">
        <f t="shared" si="11"/>
        <v>4839.4434386790008</v>
      </c>
    </row>
    <row r="66" spans="1:16" ht="16.5" customHeight="1">
      <c r="A66" s="1" t="s">
        <v>65</v>
      </c>
      <c r="B66" s="51">
        <f>SUMIFS([1]PIVOT!$D:$D,[1]PIVOT!$B:$B,$A66,[1]PIVOT!$A:$A,B$14)*-1</f>
        <v>-50.231852649000011</v>
      </c>
      <c r="C66" s="51">
        <f>SUMIFS([1]PIVOT!$D:$D,[1]PIVOT!$B:$B,$A66,[1]PIVOT!$A:$A,C$14)*-1</f>
        <v>0</v>
      </c>
      <c r="D66" s="51">
        <f>SUMIFS([1]PIVOT!$D:$D,[1]PIVOT!$B:$B,$A66,[1]PIVOT!$A:$A,D$14)*-1</f>
        <v>0</v>
      </c>
      <c r="E66" s="51">
        <f>SUMIFS([1]PIVOT!$D:$D,[1]PIVOT!$B:$B,$A66,[1]PIVOT!$A:$A,E$14)*-1</f>
        <v>0</v>
      </c>
      <c r="F66" s="51">
        <f>SUMIFS([1]PIVOT!$D:$D,[1]PIVOT!$B:$B,$A66,[1]PIVOT!$A:$A,F$14)*-1</f>
        <v>0</v>
      </c>
      <c r="G66" s="51">
        <f>SUMIFS([1]PIVOT!$D:$D,[1]PIVOT!$B:$B,$A66,[1]PIVOT!$A:$A,G$14)*-1</f>
        <v>0</v>
      </c>
      <c r="H66" s="51">
        <f>SUMIFS([1]PIVOT!$D:$D,[1]PIVOT!$B:$B,$A66,[1]PIVOT!$A:$A,H$14)*-1</f>
        <v>0</v>
      </c>
      <c r="I66" s="51">
        <f>SUMIFS([1]PIVOT!$D:$D,[1]PIVOT!$B:$B,$A66,[1]PIVOT!$A:$A,I$14)*-1</f>
        <v>0</v>
      </c>
      <c r="J66" s="51">
        <f>SUMIFS([1]PIVOT!$D:$D,[1]PIVOT!$B:$B,$A66,[1]PIVOT!$A:$A,J$14)*-1</f>
        <v>0</v>
      </c>
      <c r="K66" s="51">
        <f>SUMIFS([1]PIVOT!$D:$D,[1]PIVOT!$B:$B,$A66,[1]PIVOT!$A:$A,K$14)*-1</f>
        <v>0</v>
      </c>
      <c r="L66" s="51">
        <f>SUMIFS([1]PIVOT!$D:$D,[1]PIVOT!$B:$B,$A66,[1]PIVOT!$A:$A,L$14)*-1</f>
        <v>0</v>
      </c>
      <c r="M66" s="51">
        <f>SUMIFS([1]PIVOT!$D:$D,[1]PIVOT!$B:$B,$A66,[1]PIVOT!$A:$A,M$14)*-1</f>
        <v>0</v>
      </c>
      <c r="N66" s="31">
        <f>SUM(B66:M66)</f>
        <v>-50.231852649000011</v>
      </c>
    </row>
    <row r="67" spans="1:16" ht="15" customHeight="1">
      <c r="A67" s="52" t="s">
        <v>66</v>
      </c>
      <c r="B67" s="53">
        <f>IFERROR(SUM(B65:B66),0)</f>
        <v>4811.1803751960015</v>
      </c>
      <c r="C67" s="53">
        <f t="shared" ref="C67:N67" si="12">IFERROR(SUM(C65:C66),0)</f>
        <v>0</v>
      </c>
      <c r="D67" s="53">
        <f t="shared" si="12"/>
        <v>0</v>
      </c>
      <c r="E67" s="53">
        <f t="shared" si="12"/>
        <v>0</v>
      </c>
      <c r="F67" s="53">
        <f t="shared" si="12"/>
        <v>0</v>
      </c>
      <c r="G67" s="53">
        <f t="shared" si="12"/>
        <v>0</v>
      </c>
      <c r="H67" s="53">
        <f t="shared" si="12"/>
        <v>0</v>
      </c>
      <c r="I67" s="53">
        <f t="shared" si="12"/>
        <v>0</v>
      </c>
      <c r="J67" s="53">
        <f t="shared" si="12"/>
        <v>0</v>
      </c>
      <c r="K67" s="53">
        <f t="shared" si="12"/>
        <v>0</v>
      </c>
      <c r="L67" s="53">
        <f t="shared" si="12"/>
        <v>0</v>
      </c>
      <c r="M67" s="53">
        <f t="shared" si="12"/>
        <v>0</v>
      </c>
      <c r="N67" s="45">
        <f t="shared" si="12"/>
        <v>4789.2115860300009</v>
      </c>
    </row>
    <row r="68" spans="1:16" ht="14.4" customHeight="1">
      <c r="A68" s="54" t="s">
        <v>67</v>
      </c>
      <c r="B68" s="55">
        <f t="shared" ref="B68:N68" si="13">IFERROR(B67/B24,0)</f>
        <v>0.70683728129821011</v>
      </c>
      <c r="C68" s="55">
        <f t="shared" si="13"/>
        <v>0</v>
      </c>
      <c r="D68" s="55">
        <f t="shared" si="13"/>
        <v>0</v>
      </c>
      <c r="E68" s="55">
        <f t="shared" si="13"/>
        <v>0</v>
      </c>
      <c r="F68" s="55">
        <f t="shared" si="13"/>
        <v>0</v>
      </c>
      <c r="G68" s="55">
        <f t="shared" si="13"/>
        <v>0</v>
      </c>
      <c r="H68" s="55">
        <f t="shared" si="13"/>
        <v>0</v>
      </c>
      <c r="I68" s="55">
        <f t="shared" si="13"/>
        <v>0</v>
      </c>
      <c r="J68" s="55">
        <f t="shared" si="13"/>
        <v>0</v>
      </c>
      <c r="K68" s="55">
        <f t="shared" si="13"/>
        <v>0</v>
      </c>
      <c r="L68" s="55">
        <f t="shared" si="13"/>
        <v>0</v>
      </c>
      <c r="M68" s="55">
        <f t="shared" si="13"/>
        <v>0</v>
      </c>
      <c r="N68" s="56">
        <f t="shared" si="13"/>
        <v>0.70360972423392587</v>
      </c>
    </row>
    <row r="69" spans="1:16" ht="18.899999999999999" customHeight="1">
      <c r="A69" s="54" t="s">
        <v>68</v>
      </c>
      <c r="B69" s="55">
        <f t="shared" ref="B69:N69" si="14">IFERROR(B67/B41,0)</f>
        <v>0.88009279333950774</v>
      </c>
      <c r="C69" s="55">
        <f t="shared" si="14"/>
        <v>0</v>
      </c>
      <c r="D69" s="55">
        <f t="shared" si="14"/>
        <v>0</v>
      </c>
      <c r="E69" s="55">
        <f t="shared" si="14"/>
        <v>0</v>
      </c>
      <c r="F69" s="55">
        <f t="shared" si="14"/>
        <v>0</v>
      </c>
      <c r="G69" s="55">
        <f t="shared" si="14"/>
        <v>0</v>
      </c>
      <c r="H69" s="55">
        <f t="shared" si="14"/>
        <v>0</v>
      </c>
      <c r="I69" s="55">
        <f t="shared" si="14"/>
        <v>0</v>
      </c>
      <c r="J69" s="55">
        <f t="shared" si="14"/>
        <v>0</v>
      </c>
      <c r="K69" s="55">
        <f t="shared" si="14"/>
        <v>0</v>
      </c>
      <c r="L69" s="55">
        <f t="shared" si="14"/>
        <v>0</v>
      </c>
      <c r="M69" s="55">
        <f t="shared" si="14"/>
        <v>0</v>
      </c>
      <c r="N69" s="56">
        <f t="shared" si="14"/>
        <v>0.87960898089250505</v>
      </c>
    </row>
    <row r="71" spans="1:16" ht="27">
      <c r="A71" s="57" t="s">
        <v>69</v>
      </c>
      <c r="B71" s="58"/>
      <c r="C71" s="58"/>
      <c r="D71" s="58"/>
      <c r="E71" s="58"/>
      <c r="F71" s="58"/>
      <c r="G71" s="58"/>
      <c r="H71" s="58"/>
      <c r="I71" s="58"/>
      <c r="J71" s="58"/>
      <c r="K71" s="58"/>
      <c r="L71" s="58"/>
      <c r="M71" s="58"/>
      <c r="N71" s="58"/>
    </row>
    <row r="72" spans="1:16" ht="4.5" customHeight="1" outlineLevel="1">
      <c r="A72" s="59"/>
      <c r="B72" s="32"/>
      <c r="C72" s="32"/>
      <c r="D72" s="32"/>
      <c r="E72" s="32"/>
      <c r="F72" s="32"/>
      <c r="G72" s="32"/>
      <c r="H72" s="32"/>
      <c r="I72" s="32"/>
      <c r="J72" s="32"/>
      <c r="K72" s="32"/>
      <c r="L72" s="32"/>
      <c r="M72" s="32"/>
      <c r="N72" s="32"/>
      <c r="O72"/>
      <c r="P72"/>
    </row>
    <row r="73" spans="1:16" outlineLevel="1">
      <c r="A73" s="60" t="s">
        <v>70</v>
      </c>
      <c r="B73" s="60"/>
      <c r="C73" s="60"/>
      <c r="D73" s="60"/>
      <c r="E73" s="60"/>
      <c r="F73" s="60"/>
      <c r="G73" s="60"/>
      <c r="H73" s="60"/>
      <c r="I73" s="60"/>
      <c r="J73" s="60"/>
      <c r="K73" s="60"/>
      <c r="L73" s="60"/>
      <c r="M73" s="60"/>
      <c r="N73" s="61"/>
    </row>
    <row r="74" spans="1:16" ht="15" outlineLevel="1" thickBot="1">
      <c r="A74" s="62" t="s">
        <v>71</v>
      </c>
      <c r="B74" s="11">
        <f>_xlfn.LET(_xlpm.Letra,VLOOKUP($A74,[1]STKF!$B:$D,3,0),SUMIFS([1]PIVOT!$E:$E,[1]PIVOT!$A:$A,B$14,[1]PIVOT!$C:$C,_xlpm.Letra))</f>
        <v>0</v>
      </c>
      <c r="C74" s="11">
        <f>_xlfn.LET(_xlpm.Letra,VLOOKUP($A74,[1]STKF!$B:$D,3,0),SUMIFS([1]PIVOT!$E:$E,[1]PIVOT!$A:$A,C$14,[1]PIVOT!$C:$C,_xlpm.Letra))</f>
        <v>0</v>
      </c>
      <c r="D74" s="11">
        <f>_xlfn.LET(_xlpm.Letra,VLOOKUP($A74,[1]STKF!$B:$D,3,0),SUMIFS([1]PIVOT!$E:$E,[1]PIVOT!$A:$A,D$14,[1]PIVOT!$C:$C,_xlpm.Letra))</f>
        <v>0</v>
      </c>
      <c r="E74" s="11">
        <f>_xlfn.LET(_xlpm.Letra,VLOOKUP($A74,[1]STKF!$B:$D,3,0),SUMIFS([1]PIVOT!$E:$E,[1]PIVOT!$A:$A,E$14,[1]PIVOT!$C:$C,_xlpm.Letra))</f>
        <v>0</v>
      </c>
      <c r="F74" s="11">
        <f>_xlfn.LET(_xlpm.Letra,VLOOKUP($A74,[1]STKF!$B:$D,3,0),SUMIFS([1]PIVOT!$E:$E,[1]PIVOT!$A:$A,F$14,[1]PIVOT!$C:$C,_xlpm.Letra))</f>
        <v>0</v>
      </c>
      <c r="G74" s="11">
        <f>_xlfn.LET(_xlpm.Letra,VLOOKUP($A74,[1]STKF!$B:$D,3,0),SUMIFS([1]PIVOT!$E:$E,[1]PIVOT!$A:$A,G$14,[1]PIVOT!$C:$C,_xlpm.Letra))</f>
        <v>0</v>
      </c>
      <c r="H74" s="11">
        <f>_xlfn.LET(_xlpm.Letra,VLOOKUP($A74,[1]STKF!$B:$D,3,0),SUMIFS([1]PIVOT!$E:$E,[1]PIVOT!$A:$A,H$14,[1]PIVOT!$C:$C,_xlpm.Letra))</f>
        <v>0</v>
      </c>
      <c r="I74" s="11">
        <f>_xlfn.LET(_xlpm.Letra,VLOOKUP($A74,[1]STKF!$B:$D,3,0),SUMIFS([1]PIVOT!$E:$E,[1]PIVOT!$A:$A,I$14,[1]PIVOT!$C:$C,_xlpm.Letra))</f>
        <v>0</v>
      </c>
      <c r="J74" s="11">
        <f>_xlfn.LET(_xlpm.Letra,VLOOKUP($A74,[1]STKF!$B:$D,3,0),SUMIFS([1]PIVOT!$E:$E,[1]PIVOT!$A:$A,J$14,[1]PIVOT!$C:$C,_xlpm.Letra))</f>
        <v>0</v>
      </c>
      <c r="K74" s="11">
        <f>_xlfn.LET(_xlpm.Letra,VLOOKUP($A74,[1]STKF!$B:$D,3,0),SUMIFS([1]PIVOT!$E:$E,[1]PIVOT!$A:$A,K$14,[1]PIVOT!$C:$C,_xlpm.Letra))</f>
        <v>0</v>
      </c>
      <c r="L74" s="11">
        <f>_xlfn.LET(_xlpm.Letra,VLOOKUP($A74,[1]STKF!$B:$D,3,0),SUMIFS([1]PIVOT!$E:$E,[1]PIVOT!$A:$A,L$14,[1]PIVOT!$C:$C,_xlpm.Letra))</f>
        <v>0</v>
      </c>
      <c r="M74" s="11">
        <f>_xlfn.LET(_xlpm.Letra,VLOOKUP($A74,[1]STKF!$B:$D,3,0),SUMIFS([1]PIVOT!$E:$E,[1]PIVOT!$A:$A,M$14,[1]PIVOT!$C:$C,_xlpm.Letra))</f>
        <v>0</v>
      </c>
      <c r="N74" s="61">
        <f>IFERROR(AVERAGE(B74:M74),0)</f>
        <v>0</v>
      </c>
    </row>
    <row r="75" spans="1:16" ht="15.6" outlineLevel="1" thickTop="1" thickBot="1">
      <c r="A75" s="62" t="s">
        <v>72</v>
      </c>
      <c r="B75" s="11">
        <f>_xlfn.LET(_xlpm.Letra,VLOOKUP($A75,[1]STKF!$B:$D,3,0),SUMIFS([1]PIVOT!$E:$E,[1]PIVOT!$A:$A,B$14,[1]PIVOT!$C:$C,_xlpm.Letra))</f>
        <v>0</v>
      </c>
      <c r="C75" s="11">
        <f>_xlfn.LET(_xlpm.Letra,VLOOKUP($A75,[1]STKF!$B:$D,3,0),SUMIFS([1]PIVOT!$E:$E,[1]PIVOT!$A:$A,C$14,[1]PIVOT!$C:$C,_xlpm.Letra))</f>
        <v>0</v>
      </c>
      <c r="D75" s="11">
        <f>_xlfn.LET(_xlpm.Letra,VLOOKUP($A75,[1]STKF!$B:$D,3,0),SUMIFS([1]PIVOT!$E:$E,[1]PIVOT!$A:$A,D$14,[1]PIVOT!$C:$C,_xlpm.Letra))</f>
        <v>0</v>
      </c>
      <c r="E75" s="11">
        <f>_xlfn.LET(_xlpm.Letra,VLOOKUP($A75,[1]STKF!$B:$D,3,0),SUMIFS([1]PIVOT!$E:$E,[1]PIVOT!$A:$A,E$14,[1]PIVOT!$C:$C,_xlpm.Letra))</f>
        <v>0</v>
      </c>
      <c r="F75" s="11">
        <f>_xlfn.LET(_xlpm.Letra,VLOOKUP($A75,[1]STKF!$B:$D,3,0),SUMIFS([1]PIVOT!$E:$E,[1]PIVOT!$A:$A,F$14,[1]PIVOT!$C:$C,_xlpm.Letra))</f>
        <v>0</v>
      </c>
      <c r="G75" s="11">
        <f>_xlfn.LET(_xlpm.Letra,VLOOKUP($A75,[1]STKF!$B:$D,3,0),SUMIFS([1]PIVOT!$E:$E,[1]PIVOT!$A:$A,G$14,[1]PIVOT!$C:$C,_xlpm.Letra))</f>
        <v>0</v>
      </c>
      <c r="H75" s="11">
        <f>_xlfn.LET(_xlpm.Letra,VLOOKUP($A75,[1]STKF!$B:$D,3,0),SUMIFS([1]PIVOT!$E:$E,[1]PIVOT!$A:$A,H$14,[1]PIVOT!$C:$C,_xlpm.Letra))</f>
        <v>0</v>
      </c>
      <c r="I75" s="11">
        <f>_xlfn.LET(_xlpm.Letra,VLOOKUP($A75,[1]STKF!$B:$D,3,0),SUMIFS([1]PIVOT!$E:$E,[1]PIVOT!$A:$A,I$14,[1]PIVOT!$C:$C,_xlpm.Letra))</f>
        <v>0</v>
      </c>
      <c r="J75" s="11">
        <f>_xlfn.LET(_xlpm.Letra,VLOOKUP($A75,[1]STKF!$B:$D,3,0),SUMIFS([1]PIVOT!$E:$E,[1]PIVOT!$A:$A,J$14,[1]PIVOT!$C:$C,_xlpm.Letra))</f>
        <v>0</v>
      </c>
      <c r="K75" s="11">
        <f>_xlfn.LET(_xlpm.Letra,VLOOKUP($A75,[1]STKF!$B:$D,3,0),SUMIFS([1]PIVOT!$E:$E,[1]PIVOT!$A:$A,K$14,[1]PIVOT!$C:$C,_xlpm.Letra))</f>
        <v>0</v>
      </c>
      <c r="L75" s="11">
        <f>_xlfn.LET(_xlpm.Letra,VLOOKUP($A75,[1]STKF!$B:$D,3,0),SUMIFS([1]PIVOT!$E:$E,[1]PIVOT!$A:$A,L$14,[1]PIVOT!$C:$C,_xlpm.Letra))</f>
        <v>0</v>
      </c>
      <c r="M75" s="11">
        <f>_xlfn.LET(_xlpm.Letra,VLOOKUP($A75,[1]STKF!$B:$D,3,0),SUMIFS([1]PIVOT!$E:$E,[1]PIVOT!$A:$A,M$14,[1]PIVOT!$C:$C,_xlpm.Letra))</f>
        <v>0</v>
      </c>
      <c r="N75" s="61">
        <f>IFERROR(AVERAGE(B75:M75),0)</f>
        <v>0</v>
      </c>
    </row>
    <row r="76" spans="1:16" ht="15.6" outlineLevel="1" thickTop="1" thickBot="1">
      <c r="A76" s="62" t="s">
        <v>73</v>
      </c>
      <c r="B76" s="11">
        <f>_xlfn.LET(_xlpm.Letra,VLOOKUP($A76,[1]STKF!$B:$D,3,0),SUMIFS([1]PIVOT!$E:$E,[1]PIVOT!$A:$A,B$14,[1]PIVOT!$C:$C,_xlpm.Letra))</f>
        <v>0</v>
      </c>
      <c r="C76" s="11">
        <f>_xlfn.LET(_xlpm.Letra,VLOOKUP($A76,[1]STKF!$B:$D,3,0),SUMIFS([1]PIVOT!$E:$E,[1]PIVOT!$A:$A,C$14,[1]PIVOT!$C:$C,_xlpm.Letra))</f>
        <v>0</v>
      </c>
      <c r="D76" s="11">
        <f>_xlfn.LET(_xlpm.Letra,VLOOKUP($A76,[1]STKF!$B:$D,3,0),SUMIFS([1]PIVOT!$E:$E,[1]PIVOT!$A:$A,D$14,[1]PIVOT!$C:$C,_xlpm.Letra))</f>
        <v>0</v>
      </c>
      <c r="E76" s="11">
        <f>_xlfn.LET(_xlpm.Letra,VLOOKUP($A76,[1]STKF!$B:$D,3,0),SUMIFS([1]PIVOT!$E:$E,[1]PIVOT!$A:$A,E$14,[1]PIVOT!$C:$C,_xlpm.Letra))</f>
        <v>0</v>
      </c>
      <c r="F76" s="11">
        <f>_xlfn.LET(_xlpm.Letra,VLOOKUP($A76,[1]STKF!$B:$D,3,0),SUMIFS([1]PIVOT!$E:$E,[1]PIVOT!$A:$A,F$14,[1]PIVOT!$C:$C,_xlpm.Letra))</f>
        <v>0</v>
      </c>
      <c r="G76" s="11">
        <f>_xlfn.LET(_xlpm.Letra,VLOOKUP($A76,[1]STKF!$B:$D,3,0),SUMIFS([1]PIVOT!$E:$E,[1]PIVOT!$A:$A,G$14,[1]PIVOT!$C:$C,_xlpm.Letra))</f>
        <v>0</v>
      </c>
      <c r="H76" s="11">
        <f>_xlfn.LET(_xlpm.Letra,VLOOKUP($A76,[1]STKF!$B:$D,3,0),SUMIFS([1]PIVOT!$E:$E,[1]PIVOT!$A:$A,H$14,[1]PIVOT!$C:$C,_xlpm.Letra))</f>
        <v>0</v>
      </c>
      <c r="I76" s="11">
        <f>_xlfn.LET(_xlpm.Letra,VLOOKUP($A76,[1]STKF!$B:$D,3,0),SUMIFS([1]PIVOT!$E:$E,[1]PIVOT!$A:$A,I$14,[1]PIVOT!$C:$C,_xlpm.Letra))</f>
        <v>0</v>
      </c>
      <c r="J76" s="11">
        <f>_xlfn.LET(_xlpm.Letra,VLOOKUP($A76,[1]STKF!$B:$D,3,0),SUMIFS([1]PIVOT!$E:$E,[1]PIVOT!$A:$A,J$14,[1]PIVOT!$C:$C,_xlpm.Letra))</f>
        <v>0</v>
      </c>
      <c r="K76" s="11">
        <f>_xlfn.LET(_xlpm.Letra,VLOOKUP($A76,[1]STKF!$B:$D,3,0),SUMIFS([1]PIVOT!$E:$E,[1]PIVOT!$A:$A,K$14,[1]PIVOT!$C:$C,_xlpm.Letra))</f>
        <v>0</v>
      </c>
      <c r="L76" s="11">
        <f>_xlfn.LET(_xlpm.Letra,VLOOKUP($A76,[1]STKF!$B:$D,3,0),SUMIFS([1]PIVOT!$E:$E,[1]PIVOT!$A:$A,L$14,[1]PIVOT!$C:$C,_xlpm.Letra))</f>
        <v>0</v>
      </c>
      <c r="M76" s="11">
        <f>_xlfn.LET(_xlpm.Letra,VLOOKUP($A76,[1]STKF!$B:$D,3,0),SUMIFS([1]PIVOT!$E:$E,[1]PIVOT!$A:$A,M$14,[1]PIVOT!$C:$C,_xlpm.Letra))</f>
        <v>0</v>
      </c>
      <c r="N76" s="61">
        <f>IFERROR(AVERAGE(B76:M76),0)</f>
        <v>0</v>
      </c>
    </row>
    <row r="77" spans="1:16" ht="15.6" outlineLevel="1" thickTop="1" thickBot="1">
      <c r="A77" s="62" t="s">
        <v>74</v>
      </c>
      <c r="B77" s="11">
        <f>_xlfn.LET(_xlpm.Letra,VLOOKUP($A77,[1]STKF!$B:$D,3,0),SUMIFS([1]PIVOT!$E:$E,[1]PIVOT!$A:$A,B$14,[1]PIVOT!$C:$C,_xlpm.Letra))</f>
        <v>0</v>
      </c>
      <c r="C77" s="11">
        <f>_xlfn.LET(_xlpm.Letra,VLOOKUP($A77,[1]STKF!$B:$D,3,0),SUMIFS([1]PIVOT!$E:$E,[1]PIVOT!$A:$A,C$14,[1]PIVOT!$C:$C,_xlpm.Letra))</f>
        <v>0</v>
      </c>
      <c r="D77" s="11">
        <f>_xlfn.LET(_xlpm.Letra,VLOOKUP($A77,[1]STKF!$B:$D,3,0),SUMIFS([1]PIVOT!$E:$E,[1]PIVOT!$A:$A,D$14,[1]PIVOT!$C:$C,_xlpm.Letra))</f>
        <v>0</v>
      </c>
      <c r="E77" s="11">
        <f>_xlfn.LET(_xlpm.Letra,VLOOKUP($A77,[1]STKF!$B:$D,3,0),SUMIFS([1]PIVOT!$E:$E,[1]PIVOT!$A:$A,E$14,[1]PIVOT!$C:$C,_xlpm.Letra))</f>
        <v>0</v>
      </c>
      <c r="F77" s="11">
        <f>_xlfn.LET(_xlpm.Letra,VLOOKUP($A77,[1]STKF!$B:$D,3,0),SUMIFS([1]PIVOT!$E:$E,[1]PIVOT!$A:$A,F$14,[1]PIVOT!$C:$C,_xlpm.Letra))</f>
        <v>0</v>
      </c>
      <c r="G77" s="11">
        <f>_xlfn.LET(_xlpm.Letra,VLOOKUP($A77,[1]STKF!$B:$D,3,0),SUMIFS([1]PIVOT!$E:$E,[1]PIVOT!$A:$A,G$14,[1]PIVOT!$C:$C,_xlpm.Letra))</f>
        <v>0</v>
      </c>
      <c r="H77" s="11">
        <f>_xlfn.LET(_xlpm.Letra,VLOOKUP($A77,[1]STKF!$B:$D,3,0),SUMIFS([1]PIVOT!$E:$E,[1]PIVOT!$A:$A,H$14,[1]PIVOT!$C:$C,_xlpm.Letra))</f>
        <v>0</v>
      </c>
      <c r="I77" s="11">
        <f>_xlfn.LET(_xlpm.Letra,VLOOKUP($A77,[1]STKF!$B:$D,3,0),SUMIFS([1]PIVOT!$E:$E,[1]PIVOT!$A:$A,I$14,[1]PIVOT!$C:$C,_xlpm.Letra))</f>
        <v>0</v>
      </c>
      <c r="J77" s="11">
        <f>_xlfn.LET(_xlpm.Letra,VLOOKUP($A77,[1]STKF!$B:$D,3,0),SUMIFS([1]PIVOT!$E:$E,[1]PIVOT!$A:$A,J$14,[1]PIVOT!$C:$C,_xlpm.Letra))</f>
        <v>0</v>
      </c>
      <c r="K77" s="11">
        <f>_xlfn.LET(_xlpm.Letra,VLOOKUP($A77,[1]STKF!$B:$D,3,0),SUMIFS([1]PIVOT!$E:$E,[1]PIVOT!$A:$A,K$14,[1]PIVOT!$C:$C,_xlpm.Letra))</f>
        <v>0</v>
      </c>
      <c r="L77" s="11">
        <f>_xlfn.LET(_xlpm.Letra,VLOOKUP($A77,[1]STKF!$B:$D,3,0),SUMIFS([1]PIVOT!$E:$E,[1]PIVOT!$A:$A,L$14,[1]PIVOT!$C:$C,_xlpm.Letra))</f>
        <v>0</v>
      </c>
      <c r="M77" s="11">
        <f>_xlfn.LET(_xlpm.Letra,VLOOKUP($A77,[1]STKF!$B:$D,3,0),SUMIFS([1]PIVOT!$E:$E,[1]PIVOT!$A:$A,M$14,[1]PIVOT!$C:$C,_xlpm.Letra))</f>
        <v>0</v>
      </c>
      <c r="N77" s="61">
        <f>IFERROR(AVERAGE(B77:M77),0)</f>
        <v>0</v>
      </c>
    </row>
    <row r="78" spans="1:16" ht="15.6" outlineLevel="1" thickTop="1" thickBot="1">
      <c r="A78" s="62" t="s">
        <v>75</v>
      </c>
      <c r="B78" s="11">
        <f>_xlfn.LET(_xlpm.Letra,VLOOKUP($A78,[1]STKF!$B:$D,3,0),SUMIFS([1]PIVOT!$E:$E,[1]PIVOT!$A:$A,B$14,[1]PIVOT!$C:$C,_xlpm.Letra))</f>
        <v>0</v>
      </c>
      <c r="C78" s="11">
        <f>_xlfn.LET(_xlpm.Letra,VLOOKUP($A78,[1]STKF!$B:$D,3,0),SUMIFS([1]PIVOT!$E:$E,[1]PIVOT!$A:$A,C$14,[1]PIVOT!$C:$C,_xlpm.Letra))</f>
        <v>0</v>
      </c>
      <c r="D78" s="11">
        <f>_xlfn.LET(_xlpm.Letra,VLOOKUP($A78,[1]STKF!$B:$D,3,0),SUMIFS([1]PIVOT!$E:$E,[1]PIVOT!$A:$A,D$14,[1]PIVOT!$C:$C,_xlpm.Letra))</f>
        <v>0</v>
      </c>
      <c r="E78" s="11">
        <f>_xlfn.LET(_xlpm.Letra,VLOOKUP($A78,[1]STKF!$B:$D,3,0),SUMIFS([1]PIVOT!$E:$E,[1]PIVOT!$A:$A,E$14,[1]PIVOT!$C:$C,_xlpm.Letra))</f>
        <v>0</v>
      </c>
      <c r="F78" s="11">
        <f>_xlfn.LET(_xlpm.Letra,VLOOKUP($A78,[1]STKF!$B:$D,3,0),SUMIFS([1]PIVOT!$E:$E,[1]PIVOT!$A:$A,F$14,[1]PIVOT!$C:$C,_xlpm.Letra))</f>
        <v>0</v>
      </c>
      <c r="G78" s="11">
        <f>_xlfn.LET(_xlpm.Letra,VLOOKUP($A78,[1]STKF!$B:$D,3,0),SUMIFS([1]PIVOT!$E:$E,[1]PIVOT!$A:$A,G$14,[1]PIVOT!$C:$C,_xlpm.Letra))</f>
        <v>0</v>
      </c>
      <c r="H78" s="11">
        <f>_xlfn.LET(_xlpm.Letra,VLOOKUP($A78,[1]STKF!$B:$D,3,0),SUMIFS([1]PIVOT!$E:$E,[1]PIVOT!$A:$A,H$14,[1]PIVOT!$C:$C,_xlpm.Letra))</f>
        <v>0</v>
      </c>
      <c r="I78" s="11">
        <f>_xlfn.LET(_xlpm.Letra,VLOOKUP($A78,[1]STKF!$B:$D,3,0),SUMIFS([1]PIVOT!$E:$E,[1]PIVOT!$A:$A,I$14,[1]PIVOT!$C:$C,_xlpm.Letra))</f>
        <v>0</v>
      </c>
      <c r="J78" s="11">
        <f>_xlfn.LET(_xlpm.Letra,VLOOKUP($A78,[1]STKF!$B:$D,3,0),SUMIFS([1]PIVOT!$E:$E,[1]PIVOT!$A:$A,J$14,[1]PIVOT!$C:$C,_xlpm.Letra))</f>
        <v>0</v>
      </c>
      <c r="K78" s="11">
        <f>_xlfn.LET(_xlpm.Letra,VLOOKUP($A78,[1]STKF!$B:$D,3,0),SUMIFS([1]PIVOT!$E:$E,[1]PIVOT!$A:$A,K$14,[1]PIVOT!$C:$C,_xlpm.Letra))</f>
        <v>0</v>
      </c>
      <c r="L78" s="11">
        <f>_xlfn.LET(_xlpm.Letra,VLOOKUP($A78,[1]STKF!$B:$D,3,0),SUMIFS([1]PIVOT!$E:$E,[1]PIVOT!$A:$A,L$14,[1]PIVOT!$C:$C,_xlpm.Letra))</f>
        <v>0</v>
      </c>
      <c r="M78" s="11">
        <f>_xlfn.LET(_xlpm.Letra,VLOOKUP($A78,[1]STKF!$B:$D,3,0),SUMIFS([1]PIVOT!$E:$E,[1]PIVOT!$A:$A,M$14,[1]PIVOT!$C:$C,_xlpm.Letra))</f>
        <v>0</v>
      </c>
      <c r="N78" s="61">
        <f>IFERROR(AVERAGE(B78:M78),0)</f>
        <v>0</v>
      </c>
    </row>
    <row r="79" spans="1:16" ht="15.6" outlineLevel="1" thickTop="1" thickBot="1">
      <c r="A79" s="63" t="s">
        <v>76</v>
      </c>
      <c r="B79" s="64"/>
      <c r="C79" s="64"/>
      <c r="D79" s="64"/>
      <c r="E79" s="64"/>
      <c r="F79" s="64"/>
      <c r="G79" s="64"/>
      <c r="H79" s="64"/>
      <c r="I79" s="64"/>
      <c r="J79" s="64"/>
      <c r="K79" s="64"/>
      <c r="L79" s="64"/>
      <c r="M79" s="64"/>
      <c r="N79" s="65"/>
    </row>
    <row r="80" spans="1:16" ht="15.6" outlineLevel="1" thickTop="1" thickBot="1">
      <c r="A80" s="62" t="s">
        <v>77</v>
      </c>
      <c r="B80" s="66">
        <f>SUMIFS([1]PIVOT!$E:$E,[1]PIVOT!$B:$B,$A80,[1]PIVOT!$A:$A,B$14)*1</f>
        <v>0</v>
      </c>
      <c r="C80" s="66">
        <f>SUMIFS([1]PIVOT!$E:$E,[1]PIVOT!$B:$B,$A80,[1]PIVOT!$A:$A,C$14)*1</f>
        <v>0</v>
      </c>
      <c r="D80" s="66">
        <f>SUMIFS([1]PIVOT!$E:$E,[1]PIVOT!$B:$B,$A80,[1]PIVOT!$A:$A,D$14)*1</f>
        <v>0</v>
      </c>
      <c r="E80" s="66">
        <f>SUMIFS([1]PIVOT!$E:$E,[1]PIVOT!$B:$B,$A80,[1]PIVOT!$A:$A,E$14)*1</f>
        <v>0</v>
      </c>
      <c r="F80" s="66">
        <f>SUMIFS([1]PIVOT!$E:$E,[1]PIVOT!$B:$B,$A80,[1]PIVOT!$A:$A,F$14)*1</f>
        <v>0</v>
      </c>
      <c r="G80" s="66">
        <f>SUMIFS([1]PIVOT!$E:$E,[1]PIVOT!$B:$B,$A80,[1]PIVOT!$A:$A,G$14)*1</f>
        <v>0</v>
      </c>
      <c r="H80" s="66">
        <f>SUMIFS([1]PIVOT!$E:$E,[1]PIVOT!$B:$B,$A80,[1]PIVOT!$A:$A,H$14)*1</f>
        <v>0</v>
      </c>
      <c r="I80" s="66">
        <f>SUMIFS([1]PIVOT!$E:$E,[1]PIVOT!$B:$B,$A80,[1]PIVOT!$A:$A,I$14)*1</f>
        <v>0</v>
      </c>
      <c r="J80" s="66">
        <f>SUMIFS([1]PIVOT!$E:$E,[1]PIVOT!$B:$B,$A80,[1]PIVOT!$A:$A,J$14)*1</f>
        <v>0</v>
      </c>
      <c r="K80" s="66">
        <f>SUMIFS([1]PIVOT!$E:$E,[1]PIVOT!$B:$B,$A80,[1]PIVOT!$A:$A,K$14)*1</f>
        <v>0</v>
      </c>
      <c r="L80" s="66">
        <f>SUMIFS([1]PIVOT!$E:$E,[1]PIVOT!$B:$B,$A80,[1]PIVOT!$A:$A,L$14)*1</f>
        <v>0</v>
      </c>
      <c r="M80" s="66">
        <f>SUMIFS([1]PIVOT!$E:$E,[1]PIVOT!$B:$B,$A80,[1]PIVOT!$A:$A,M$14)*1</f>
        <v>0</v>
      </c>
      <c r="N80" s="65">
        <f>IFERROR(AVERAGEIFS(B80:M80, B80:M80, "&gt;0"), 0)</f>
        <v>0</v>
      </c>
    </row>
    <row r="81" spans="1:14" ht="15.6" outlineLevel="1" thickTop="1" thickBot="1">
      <c r="A81" s="62" t="s">
        <v>78</v>
      </c>
      <c r="B81" s="66">
        <f>SUMIFS([1]PIVOT!$E:$E,[1]PIVOT!$B:$B,$A81,[1]PIVOT!$A:$A,B$14)*1</f>
        <v>0</v>
      </c>
      <c r="C81" s="66">
        <f>SUMIFS([1]PIVOT!$E:$E,[1]PIVOT!$B:$B,$A81,[1]PIVOT!$A:$A,C$14)*1</f>
        <v>0</v>
      </c>
      <c r="D81" s="66">
        <f>SUMIFS([1]PIVOT!$E:$E,[1]PIVOT!$B:$B,$A81,[1]PIVOT!$A:$A,D$14)*1</f>
        <v>0</v>
      </c>
      <c r="E81" s="66">
        <f>SUMIFS([1]PIVOT!$E:$E,[1]PIVOT!$B:$B,$A81,[1]PIVOT!$A:$A,E$14)*1</f>
        <v>0</v>
      </c>
      <c r="F81" s="66">
        <f>SUMIFS([1]PIVOT!$E:$E,[1]PIVOT!$B:$B,$A81,[1]PIVOT!$A:$A,F$14)*1</f>
        <v>0</v>
      </c>
      <c r="G81" s="66">
        <f>SUMIFS([1]PIVOT!$E:$E,[1]PIVOT!$B:$B,$A81,[1]PIVOT!$A:$A,G$14)*1</f>
        <v>0</v>
      </c>
      <c r="H81" s="66">
        <f>SUMIFS([1]PIVOT!$E:$E,[1]PIVOT!$B:$B,$A81,[1]PIVOT!$A:$A,H$14)*1</f>
        <v>0</v>
      </c>
      <c r="I81" s="66">
        <f>SUMIFS([1]PIVOT!$E:$E,[1]PIVOT!$B:$B,$A81,[1]PIVOT!$A:$A,I$14)*1</f>
        <v>0</v>
      </c>
      <c r="J81" s="66">
        <f>SUMIFS([1]PIVOT!$E:$E,[1]PIVOT!$B:$B,$A81,[1]PIVOT!$A:$A,J$14)*1</f>
        <v>0</v>
      </c>
      <c r="K81" s="66">
        <f>SUMIFS([1]PIVOT!$E:$E,[1]PIVOT!$B:$B,$A81,[1]PIVOT!$A:$A,K$14)*1</f>
        <v>0</v>
      </c>
      <c r="L81" s="66">
        <f>SUMIFS([1]PIVOT!$E:$E,[1]PIVOT!$B:$B,$A81,[1]PIVOT!$A:$A,L$14)*1</f>
        <v>0</v>
      </c>
      <c r="M81" s="66">
        <f>SUMIFS([1]PIVOT!$E:$E,[1]PIVOT!$B:$B,$A81,[1]PIVOT!$A:$A,M$14)*1</f>
        <v>0</v>
      </c>
      <c r="N81" s="65">
        <f>IFERROR(AVERAGEIFS(B81:M81, B81:M81, "&gt;0"), 0)</f>
        <v>0</v>
      </c>
    </row>
    <row r="82" spans="1:14" ht="15.6" thickTop="1" thickBot="1">
      <c r="A82" s="67" t="s">
        <v>79</v>
      </c>
      <c r="B82" s="68">
        <f t="shared" ref="B82:M82" si="15">IFERROR(SUM(B74:B78,B80:B81),0)</f>
        <v>0</v>
      </c>
      <c r="C82" s="68">
        <f t="shared" si="15"/>
        <v>0</v>
      </c>
      <c r="D82" s="68">
        <f t="shared" si="15"/>
        <v>0</v>
      </c>
      <c r="E82" s="68">
        <f t="shared" si="15"/>
        <v>0</v>
      </c>
      <c r="F82" s="68">
        <f t="shared" si="15"/>
        <v>0</v>
      </c>
      <c r="G82" s="68">
        <f t="shared" si="15"/>
        <v>0</v>
      </c>
      <c r="H82" s="68">
        <f t="shared" si="15"/>
        <v>0</v>
      </c>
      <c r="I82" s="68">
        <f t="shared" si="15"/>
        <v>0</v>
      </c>
      <c r="J82" s="68">
        <f t="shared" si="15"/>
        <v>0</v>
      </c>
      <c r="K82" s="68">
        <f t="shared" si="15"/>
        <v>0</v>
      </c>
      <c r="L82" s="68">
        <f t="shared" si="15"/>
        <v>0</v>
      </c>
      <c r="M82" s="68">
        <f t="shared" si="15"/>
        <v>0</v>
      </c>
      <c r="N82" s="68">
        <f>IFERROR(SUM(N74:N78,N80:N81),0)</f>
        <v>0</v>
      </c>
    </row>
    <row r="83" spans="1:14" ht="0.6" customHeight="1" outlineLevel="1" thickTop="1">
      <c r="A83" s="66"/>
      <c r="B83" s="66"/>
      <c r="C83" s="66"/>
      <c r="D83" s="66"/>
      <c r="E83" s="66"/>
      <c r="F83" s="66"/>
      <c r="G83" s="66"/>
      <c r="H83" s="66"/>
      <c r="I83" s="66"/>
      <c r="J83" s="66"/>
      <c r="K83" s="66"/>
      <c r="L83" s="66"/>
      <c r="M83" s="66"/>
      <c r="N83" s="69"/>
    </row>
    <row r="84" spans="1:14" outlineLevel="1">
      <c r="A84" s="60" t="s">
        <v>70</v>
      </c>
      <c r="B84" s="70"/>
      <c r="C84" s="70"/>
      <c r="D84" s="70"/>
      <c r="E84" s="70"/>
      <c r="F84" s="70"/>
      <c r="G84" s="70"/>
      <c r="H84" s="70"/>
      <c r="I84" s="70"/>
      <c r="J84" s="70"/>
      <c r="K84" s="70"/>
      <c r="L84" s="70"/>
      <c r="M84" s="70"/>
      <c r="N84" s="61"/>
    </row>
    <row r="85" spans="1:14" ht="15" outlineLevel="1" thickBot="1">
      <c r="A85" s="62" t="s">
        <v>80</v>
      </c>
      <c r="B85" s="11">
        <f>_xlfn.LET(_xlpm.Letra,VLOOKUP($A38,[1]STKF!$B:$D,3,0),SUMIFS([1]PIVOT!$E:$E,[1]PIVOT!$A:$A,B$14,[1]PIVOT!$C:$C,_xlpm.Letra))</f>
        <v>0</v>
      </c>
      <c r="C85" s="11">
        <f>_xlfn.LET(_xlpm.Letra,VLOOKUP($A85,[1]STKF!$B:$D,3,0),SUMIFS([1]PIVOT!$E:$E,[1]PIVOT!$A:$A,C$14,[1]PIVOT!$C:$C,_xlpm.Letra))</f>
        <v>0</v>
      </c>
      <c r="D85" s="11">
        <f>_xlfn.LET(_xlpm.Letra,VLOOKUP($A85,[1]STKF!$B:$D,3,0),SUMIFS([1]PIVOT!$E:$E,[1]PIVOT!$A:$A,D$14,[1]PIVOT!$C:$C,_xlpm.Letra))</f>
        <v>0</v>
      </c>
      <c r="E85" s="11">
        <f>_xlfn.LET(_xlpm.Letra,VLOOKUP($A85,[1]STKF!$B:$D,3,0),SUMIFS([1]PIVOT!$E:$E,[1]PIVOT!$A:$A,E$14,[1]PIVOT!$C:$C,_xlpm.Letra))</f>
        <v>0</v>
      </c>
      <c r="F85" s="11">
        <f>_xlfn.LET(_xlpm.Letra,VLOOKUP($A85,[1]STKF!$B:$D,3,0),SUMIFS([1]PIVOT!$E:$E,[1]PIVOT!$A:$A,F$14,[1]PIVOT!$C:$C,_xlpm.Letra))</f>
        <v>0</v>
      </c>
      <c r="G85" s="11">
        <f>_xlfn.LET(_xlpm.Letra,VLOOKUP($A85,[1]STKF!$B:$D,3,0),SUMIFS([1]PIVOT!$E:$E,[1]PIVOT!$A:$A,G$14,[1]PIVOT!$C:$C,_xlpm.Letra))</f>
        <v>0</v>
      </c>
      <c r="H85" s="11">
        <f>_xlfn.LET(_xlpm.Letra,VLOOKUP($A85,[1]STKF!$B:$D,3,0),SUMIFS([1]PIVOT!$E:$E,[1]PIVOT!$A:$A,H$14,[1]PIVOT!$C:$C,_xlpm.Letra))</f>
        <v>0</v>
      </c>
      <c r="I85" s="11">
        <f>_xlfn.LET(_xlpm.Letra,VLOOKUP($A85,[1]STKF!$B:$D,3,0),SUMIFS([1]PIVOT!$E:$E,[1]PIVOT!$A:$A,I$14,[1]PIVOT!$C:$C,_xlpm.Letra))</f>
        <v>0</v>
      </c>
      <c r="J85" s="11">
        <f>_xlfn.LET(_xlpm.Letra,VLOOKUP($A85,[1]STKF!$B:$D,3,0),SUMIFS([1]PIVOT!$E:$E,[1]PIVOT!$A:$A,J$14,[1]PIVOT!$C:$C,_xlpm.Letra))</f>
        <v>0</v>
      </c>
      <c r="K85" s="11">
        <f>_xlfn.LET(_xlpm.Letra,VLOOKUP($A85,[1]STKF!$B:$D,3,0),SUMIFS([1]PIVOT!$E:$E,[1]PIVOT!$A:$A,K$14,[1]PIVOT!$C:$C,_xlpm.Letra))</f>
        <v>0</v>
      </c>
      <c r="L85" s="11">
        <f>_xlfn.LET(_xlpm.Letra,VLOOKUP($A85,[1]STKF!$B:$D,3,0),SUMIFS([1]PIVOT!$E:$E,[1]PIVOT!$A:$A,L$14,[1]PIVOT!$C:$C,_xlpm.Letra))</f>
        <v>0</v>
      </c>
      <c r="M85" s="11">
        <f>_xlfn.LET(_xlpm.Letra,VLOOKUP($A85,[1]STKF!$B:$D,3,0),SUMIFS([1]PIVOT!$E:$E,[1]PIVOT!$A:$A,M$14,[1]PIVOT!$C:$C,_xlpm.Letra))</f>
        <v>0</v>
      </c>
      <c r="N85" s="61">
        <f t="shared" ref="N85:N91" si="16">IFERROR(AVERAGE(B85:M85),0)</f>
        <v>0</v>
      </c>
    </row>
    <row r="86" spans="1:14" ht="15.6" outlineLevel="1" thickTop="1" thickBot="1">
      <c r="A86" s="62" t="s">
        <v>81</v>
      </c>
      <c r="B86" s="11">
        <f>_xlfn.LET(_xlpm.Letra,VLOOKUP($A86,[1]STKF!$B:$D,3,0),SUMIFS([1]PIVOT!$E:$E,[1]PIVOT!$A:$A,B$14,[1]PIVOT!$C:$C,_xlpm.Letra))</f>
        <v>0</v>
      </c>
      <c r="C86" s="11">
        <f>_xlfn.LET(_xlpm.Letra,VLOOKUP($A86,[1]STKF!$B:$D,3,0),SUMIFS([1]PIVOT!$E:$E,[1]PIVOT!$A:$A,C$14,[1]PIVOT!$C:$C,_xlpm.Letra))</f>
        <v>0</v>
      </c>
      <c r="D86" s="11">
        <f>_xlfn.LET(_xlpm.Letra,VLOOKUP($A86,[1]STKF!$B:$D,3,0),SUMIFS([1]PIVOT!$E:$E,[1]PIVOT!$A:$A,D$14,[1]PIVOT!$C:$C,_xlpm.Letra))</f>
        <v>0</v>
      </c>
      <c r="E86" s="11">
        <f>_xlfn.LET(_xlpm.Letra,VLOOKUP($A86,[1]STKF!$B:$D,3,0),SUMIFS([1]PIVOT!$E:$E,[1]PIVOT!$A:$A,E$14,[1]PIVOT!$C:$C,_xlpm.Letra))</f>
        <v>0</v>
      </c>
      <c r="F86" s="11">
        <f>_xlfn.LET(_xlpm.Letra,VLOOKUP($A86,[1]STKF!$B:$D,3,0),SUMIFS([1]PIVOT!$E:$E,[1]PIVOT!$A:$A,F$14,[1]PIVOT!$C:$C,_xlpm.Letra))</f>
        <v>0</v>
      </c>
      <c r="G86" s="11">
        <f>_xlfn.LET(_xlpm.Letra,VLOOKUP($A86,[1]STKF!$B:$D,3,0),SUMIFS([1]PIVOT!$E:$E,[1]PIVOT!$A:$A,G$14,[1]PIVOT!$C:$C,_xlpm.Letra))</f>
        <v>0</v>
      </c>
      <c r="H86" s="11">
        <f>_xlfn.LET(_xlpm.Letra,VLOOKUP($A86,[1]STKF!$B:$D,3,0),SUMIFS([1]PIVOT!$E:$E,[1]PIVOT!$A:$A,H$14,[1]PIVOT!$C:$C,_xlpm.Letra))</f>
        <v>0</v>
      </c>
      <c r="I86" s="11">
        <f>_xlfn.LET(_xlpm.Letra,VLOOKUP($A86,[1]STKF!$B:$D,3,0),SUMIFS([1]PIVOT!$E:$E,[1]PIVOT!$A:$A,I$14,[1]PIVOT!$C:$C,_xlpm.Letra))</f>
        <v>0</v>
      </c>
      <c r="J86" s="11">
        <f>_xlfn.LET(_xlpm.Letra,VLOOKUP($A86,[1]STKF!$B:$D,3,0),SUMIFS([1]PIVOT!$E:$E,[1]PIVOT!$A:$A,J$14,[1]PIVOT!$C:$C,_xlpm.Letra))</f>
        <v>0</v>
      </c>
      <c r="K86" s="11">
        <f>_xlfn.LET(_xlpm.Letra,VLOOKUP($A86,[1]STKF!$B:$D,3,0),SUMIFS([1]PIVOT!$E:$E,[1]PIVOT!$A:$A,K$14,[1]PIVOT!$C:$C,_xlpm.Letra))</f>
        <v>0</v>
      </c>
      <c r="L86" s="11">
        <f>_xlfn.LET(_xlpm.Letra,VLOOKUP($A86,[1]STKF!$B:$D,3,0),SUMIFS([1]PIVOT!$E:$E,[1]PIVOT!$A:$A,L$14,[1]PIVOT!$C:$C,_xlpm.Letra))</f>
        <v>0</v>
      </c>
      <c r="M86" s="11">
        <f>_xlfn.LET(_xlpm.Letra,VLOOKUP($A86,[1]STKF!$B:$D,3,0),SUMIFS([1]PIVOT!$E:$E,[1]PIVOT!$A:$A,M$14,[1]PIVOT!$C:$C,_xlpm.Letra))</f>
        <v>0</v>
      </c>
      <c r="N86" s="61">
        <f t="shared" si="16"/>
        <v>0</v>
      </c>
    </row>
    <row r="87" spans="1:14" ht="15.6" outlineLevel="1" thickTop="1" thickBot="1">
      <c r="A87" s="62" t="s">
        <v>82</v>
      </c>
      <c r="B87" s="11">
        <f>_xlfn.LET(_xlpm.Letra,VLOOKUP($A87,[1]STKF!$B:$D,3,0),SUMIFS([1]PIVOT!$E:$E,[1]PIVOT!$A:$A,B$14,[1]PIVOT!$C:$C,_xlpm.Letra))</f>
        <v>0</v>
      </c>
      <c r="C87" s="11">
        <f>_xlfn.LET(_xlpm.Letra,VLOOKUP($A87,[1]STKF!$B:$D,3,0),SUMIFS([1]PIVOT!$E:$E,[1]PIVOT!$A:$A,C$14,[1]PIVOT!$C:$C,_xlpm.Letra))</f>
        <v>0</v>
      </c>
      <c r="D87" s="11">
        <f>_xlfn.LET(_xlpm.Letra,VLOOKUP($A87,[1]STKF!$B:$D,3,0),SUMIFS([1]PIVOT!$E:$E,[1]PIVOT!$A:$A,D$14,[1]PIVOT!$C:$C,_xlpm.Letra))</f>
        <v>0</v>
      </c>
      <c r="E87" s="11">
        <f>_xlfn.LET(_xlpm.Letra,VLOOKUP($A87,[1]STKF!$B:$D,3,0),SUMIFS([1]PIVOT!$E:$E,[1]PIVOT!$A:$A,E$14,[1]PIVOT!$C:$C,_xlpm.Letra))</f>
        <v>0</v>
      </c>
      <c r="F87" s="11">
        <f>_xlfn.LET(_xlpm.Letra,VLOOKUP($A87,[1]STKF!$B:$D,3,0),SUMIFS([1]PIVOT!$E:$E,[1]PIVOT!$A:$A,F$14,[1]PIVOT!$C:$C,_xlpm.Letra))</f>
        <v>0</v>
      </c>
      <c r="G87" s="11">
        <f>_xlfn.LET(_xlpm.Letra,VLOOKUP($A87,[1]STKF!$B:$D,3,0),SUMIFS([1]PIVOT!$E:$E,[1]PIVOT!$A:$A,G$14,[1]PIVOT!$C:$C,_xlpm.Letra))</f>
        <v>0</v>
      </c>
      <c r="H87" s="11">
        <f>_xlfn.LET(_xlpm.Letra,VLOOKUP($A87,[1]STKF!$B:$D,3,0),SUMIFS([1]PIVOT!$E:$E,[1]PIVOT!$A:$A,H$14,[1]PIVOT!$C:$C,_xlpm.Letra))</f>
        <v>0</v>
      </c>
      <c r="I87" s="11">
        <f>_xlfn.LET(_xlpm.Letra,VLOOKUP($A87,[1]STKF!$B:$D,3,0),SUMIFS([1]PIVOT!$E:$E,[1]PIVOT!$A:$A,I$14,[1]PIVOT!$C:$C,_xlpm.Letra))</f>
        <v>0</v>
      </c>
      <c r="J87" s="11">
        <f>_xlfn.LET(_xlpm.Letra,VLOOKUP($A87,[1]STKF!$B:$D,3,0),SUMIFS([1]PIVOT!$E:$E,[1]PIVOT!$A:$A,J$14,[1]PIVOT!$C:$C,_xlpm.Letra))</f>
        <v>0</v>
      </c>
      <c r="K87" s="11">
        <f>_xlfn.LET(_xlpm.Letra,VLOOKUP($A87,[1]STKF!$B:$D,3,0),SUMIFS([1]PIVOT!$E:$E,[1]PIVOT!$A:$A,K$14,[1]PIVOT!$C:$C,_xlpm.Letra))</f>
        <v>0</v>
      </c>
      <c r="L87" s="11">
        <f>_xlfn.LET(_xlpm.Letra,VLOOKUP($A87,[1]STKF!$B:$D,3,0),SUMIFS([1]PIVOT!$E:$E,[1]PIVOT!$A:$A,L$14,[1]PIVOT!$C:$C,_xlpm.Letra))</f>
        <v>0</v>
      </c>
      <c r="M87" s="11">
        <f>_xlfn.LET(_xlpm.Letra,VLOOKUP($A87,[1]STKF!$B:$D,3,0),SUMIFS([1]PIVOT!$E:$E,[1]PIVOT!$A:$A,M$14,[1]PIVOT!$C:$C,_xlpm.Letra))</f>
        <v>0</v>
      </c>
      <c r="N87" s="61">
        <f t="shared" si="16"/>
        <v>0</v>
      </c>
    </row>
    <row r="88" spans="1:14" ht="15.6" outlineLevel="1" thickTop="1" thickBot="1">
      <c r="A88" s="62" t="s">
        <v>83</v>
      </c>
      <c r="B88" s="11">
        <f>_xlfn.LET(_xlpm.Letra,VLOOKUP($A88,[1]STKF!$B:$D,3,0),SUMIFS([1]PIVOT!$E:$E,[1]PIVOT!$A:$A,B$14,[1]PIVOT!$C:$C,_xlpm.Letra))</f>
        <v>0</v>
      </c>
      <c r="C88" s="11">
        <f>_xlfn.LET(_xlpm.Letra,VLOOKUP($A88,[1]STKF!$B:$D,3,0),SUMIFS([1]PIVOT!$E:$E,[1]PIVOT!$A:$A,C$14,[1]PIVOT!$C:$C,_xlpm.Letra))</f>
        <v>0</v>
      </c>
      <c r="D88" s="11">
        <f>_xlfn.LET(_xlpm.Letra,VLOOKUP($A88,[1]STKF!$B:$D,3,0),SUMIFS([1]PIVOT!$E:$E,[1]PIVOT!$A:$A,D$14,[1]PIVOT!$C:$C,_xlpm.Letra))</f>
        <v>0</v>
      </c>
      <c r="E88" s="11">
        <f>_xlfn.LET(_xlpm.Letra,VLOOKUP($A88,[1]STKF!$B:$D,3,0),SUMIFS([1]PIVOT!$E:$E,[1]PIVOT!$A:$A,E$14,[1]PIVOT!$C:$C,_xlpm.Letra))</f>
        <v>0</v>
      </c>
      <c r="F88" s="11">
        <f>_xlfn.LET(_xlpm.Letra,VLOOKUP($A88,[1]STKF!$B:$D,3,0),SUMIFS([1]PIVOT!$E:$E,[1]PIVOT!$A:$A,F$14,[1]PIVOT!$C:$C,_xlpm.Letra))</f>
        <v>0</v>
      </c>
      <c r="G88" s="11">
        <f>_xlfn.LET(_xlpm.Letra,VLOOKUP($A88,[1]STKF!$B:$D,3,0),SUMIFS([1]PIVOT!$E:$E,[1]PIVOT!$A:$A,G$14,[1]PIVOT!$C:$C,_xlpm.Letra))</f>
        <v>0</v>
      </c>
      <c r="H88" s="11">
        <f>_xlfn.LET(_xlpm.Letra,VLOOKUP($A88,[1]STKF!$B:$D,3,0),SUMIFS([1]PIVOT!$E:$E,[1]PIVOT!$A:$A,H$14,[1]PIVOT!$C:$C,_xlpm.Letra))</f>
        <v>0</v>
      </c>
      <c r="I88" s="11">
        <f>_xlfn.LET(_xlpm.Letra,VLOOKUP($A88,[1]STKF!$B:$D,3,0),SUMIFS([1]PIVOT!$E:$E,[1]PIVOT!$A:$A,I$14,[1]PIVOT!$C:$C,_xlpm.Letra))</f>
        <v>0</v>
      </c>
      <c r="J88" s="11">
        <f>_xlfn.LET(_xlpm.Letra,VLOOKUP($A88,[1]STKF!$B:$D,3,0),SUMIFS([1]PIVOT!$E:$E,[1]PIVOT!$A:$A,J$14,[1]PIVOT!$C:$C,_xlpm.Letra))</f>
        <v>0</v>
      </c>
      <c r="K88" s="11">
        <f>_xlfn.LET(_xlpm.Letra,VLOOKUP($A88,[1]STKF!$B:$D,3,0),SUMIFS([1]PIVOT!$E:$E,[1]PIVOT!$A:$A,K$14,[1]PIVOT!$C:$C,_xlpm.Letra))</f>
        <v>0</v>
      </c>
      <c r="L88" s="11">
        <f>_xlfn.LET(_xlpm.Letra,VLOOKUP($A88,[1]STKF!$B:$D,3,0),SUMIFS([1]PIVOT!$E:$E,[1]PIVOT!$A:$A,L$14,[1]PIVOT!$C:$C,_xlpm.Letra))</f>
        <v>0</v>
      </c>
      <c r="M88" s="11">
        <f>_xlfn.LET(_xlpm.Letra,VLOOKUP($A88,[1]STKF!$B:$D,3,0),SUMIFS([1]PIVOT!$E:$E,[1]PIVOT!$A:$A,M$14,[1]PIVOT!$C:$C,_xlpm.Letra))</f>
        <v>0</v>
      </c>
      <c r="N88" s="61">
        <f t="shared" si="16"/>
        <v>0</v>
      </c>
    </row>
    <row r="89" spans="1:14" ht="15.6" outlineLevel="1" thickTop="1" thickBot="1">
      <c r="A89" s="62" t="s">
        <v>84</v>
      </c>
      <c r="B89" s="11">
        <f>_xlfn.LET(_xlpm.Letra,VLOOKUP($A89,[1]STKF!$B:$D,3,0),SUMIFS([1]PIVOT!$E:$E,[1]PIVOT!$A:$A,B$14,[1]PIVOT!$C:$C,_xlpm.Letra))</f>
        <v>0</v>
      </c>
      <c r="C89" s="11">
        <f>_xlfn.LET(_xlpm.Letra,VLOOKUP($A89,[1]STKF!$B:$D,3,0),SUMIFS([1]PIVOT!$E:$E,[1]PIVOT!$A:$A,C$14,[1]PIVOT!$C:$C,_xlpm.Letra))</f>
        <v>0</v>
      </c>
      <c r="D89" s="11">
        <f>_xlfn.LET(_xlpm.Letra,VLOOKUP($A89,[1]STKF!$B:$D,3,0),SUMIFS([1]PIVOT!$E:$E,[1]PIVOT!$A:$A,D$14,[1]PIVOT!$C:$C,_xlpm.Letra))</f>
        <v>0</v>
      </c>
      <c r="E89" s="11">
        <f>_xlfn.LET(_xlpm.Letra,VLOOKUP($A89,[1]STKF!$B:$D,3,0),SUMIFS([1]PIVOT!$E:$E,[1]PIVOT!$A:$A,E$14,[1]PIVOT!$C:$C,_xlpm.Letra))</f>
        <v>0</v>
      </c>
      <c r="F89" s="11">
        <f>_xlfn.LET(_xlpm.Letra,VLOOKUP($A89,[1]STKF!$B:$D,3,0),SUMIFS([1]PIVOT!$E:$E,[1]PIVOT!$A:$A,F$14,[1]PIVOT!$C:$C,_xlpm.Letra))</f>
        <v>0</v>
      </c>
      <c r="G89" s="11">
        <f>_xlfn.LET(_xlpm.Letra,VLOOKUP($A89,[1]STKF!$B:$D,3,0),SUMIFS([1]PIVOT!$E:$E,[1]PIVOT!$A:$A,G$14,[1]PIVOT!$C:$C,_xlpm.Letra))</f>
        <v>0</v>
      </c>
      <c r="H89" s="11">
        <f>_xlfn.LET(_xlpm.Letra,VLOOKUP($A89,[1]STKF!$B:$D,3,0),SUMIFS([1]PIVOT!$E:$E,[1]PIVOT!$A:$A,H$14,[1]PIVOT!$C:$C,_xlpm.Letra))</f>
        <v>0</v>
      </c>
      <c r="I89" s="11">
        <f>_xlfn.LET(_xlpm.Letra,VLOOKUP($A89,[1]STKF!$B:$D,3,0),SUMIFS([1]PIVOT!$E:$E,[1]PIVOT!$A:$A,I$14,[1]PIVOT!$C:$C,_xlpm.Letra))</f>
        <v>0</v>
      </c>
      <c r="J89" s="11">
        <f>_xlfn.LET(_xlpm.Letra,VLOOKUP($A89,[1]STKF!$B:$D,3,0),SUMIFS([1]PIVOT!$E:$E,[1]PIVOT!$A:$A,J$14,[1]PIVOT!$C:$C,_xlpm.Letra))</f>
        <v>0</v>
      </c>
      <c r="K89" s="11">
        <f>_xlfn.LET(_xlpm.Letra,VLOOKUP($A89,[1]STKF!$B:$D,3,0),SUMIFS([1]PIVOT!$E:$E,[1]PIVOT!$A:$A,K$14,[1]PIVOT!$C:$C,_xlpm.Letra))</f>
        <v>0</v>
      </c>
      <c r="L89" s="11">
        <f>_xlfn.LET(_xlpm.Letra,VLOOKUP($A89,[1]STKF!$B:$D,3,0),SUMIFS([1]PIVOT!$E:$E,[1]PIVOT!$A:$A,L$14,[1]PIVOT!$C:$C,_xlpm.Letra))</f>
        <v>0</v>
      </c>
      <c r="M89" s="11">
        <f>_xlfn.LET(_xlpm.Letra,VLOOKUP($A89,[1]STKF!$B:$D,3,0),SUMIFS([1]PIVOT!$E:$E,[1]PIVOT!$A:$A,M$14,[1]PIVOT!$C:$C,_xlpm.Letra))</f>
        <v>0</v>
      </c>
      <c r="N89" s="61">
        <f t="shared" si="16"/>
        <v>0</v>
      </c>
    </row>
    <row r="90" spans="1:14" ht="15.6" outlineLevel="1" thickTop="1" thickBot="1">
      <c r="A90" s="62" t="s">
        <v>85</v>
      </c>
      <c r="B90" s="11">
        <f>_xlfn.LET(_xlpm.Letra,VLOOKUP($A90,[1]STKF!$B:$D,3,0),SUMIFS([1]PIVOT!$E:$E,[1]PIVOT!$A:$A,B$14,[1]PIVOT!$C:$C,_xlpm.Letra))</f>
        <v>0</v>
      </c>
      <c r="C90" s="11">
        <f>_xlfn.LET(_xlpm.Letra,VLOOKUP($A90,[1]STKF!$B:$D,3,0),SUMIFS([1]PIVOT!$E:$E,[1]PIVOT!$A:$A,C$14,[1]PIVOT!$C:$C,_xlpm.Letra))</f>
        <v>0</v>
      </c>
      <c r="D90" s="11">
        <f>_xlfn.LET(_xlpm.Letra,VLOOKUP($A90,[1]STKF!$B:$D,3,0),SUMIFS([1]PIVOT!$E:$E,[1]PIVOT!$A:$A,D$14,[1]PIVOT!$C:$C,_xlpm.Letra))</f>
        <v>0</v>
      </c>
      <c r="E90" s="11">
        <f>_xlfn.LET(_xlpm.Letra,VLOOKUP($A90,[1]STKF!$B:$D,3,0),SUMIFS([1]PIVOT!$E:$E,[1]PIVOT!$A:$A,E$14,[1]PIVOT!$C:$C,_xlpm.Letra))</f>
        <v>0</v>
      </c>
      <c r="F90" s="11">
        <f>_xlfn.LET(_xlpm.Letra,VLOOKUP($A90,[1]STKF!$B:$D,3,0),SUMIFS([1]PIVOT!$E:$E,[1]PIVOT!$A:$A,F$14,[1]PIVOT!$C:$C,_xlpm.Letra))</f>
        <v>0</v>
      </c>
      <c r="G90" s="11">
        <f>_xlfn.LET(_xlpm.Letra,VLOOKUP($A90,[1]STKF!$B:$D,3,0),SUMIFS([1]PIVOT!$E:$E,[1]PIVOT!$A:$A,G$14,[1]PIVOT!$C:$C,_xlpm.Letra))</f>
        <v>0</v>
      </c>
      <c r="H90" s="11">
        <f>_xlfn.LET(_xlpm.Letra,VLOOKUP($A90,[1]STKF!$B:$D,3,0),SUMIFS([1]PIVOT!$E:$E,[1]PIVOT!$A:$A,H$14,[1]PIVOT!$C:$C,_xlpm.Letra))</f>
        <v>0</v>
      </c>
      <c r="I90" s="11">
        <f>_xlfn.LET(_xlpm.Letra,VLOOKUP($A90,[1]STKF!$B:$D,3,0),SUMIFS([1]PIVOT!$E:$E,[1]PIVOT!$A:$A,I$14,[1]PIVOT!$C:$C,_xlpm.Letra))</f>
        <v>0</v>
      </c>
      <c r="J90" s="11">
        <f>_xlfn.LET(_xlpm.Letra,VLOOKUP($A90,[1]STKF!$B:$D,3,0),SUMIFS([1]PIVOT!$E:$E,[1]PIVOT!$A:$A,J$14,[1]PIVOT!$C:$C,_xlpm.Letra))</f>
        <v>0</v>
      </c>
      <c r="K90" s="11">
        <f>_xlfn.LET(_xlpm.Letra,VLOOKUP($A90,[1]STKF!$B:$D,3,0),SUMIFS([1]PIVOT!$E:$E,[1]PIVOT!$A:$A,K$14,[1]PIVOT!$C:$C,_xlpm.Letra))</f>
        <v>0</v>
      </c>
      <c r="L90" s="11">
        <f>_xlfn.LET(_xlpm.Letra,VLOOKUP($A90,[1]STKF!$B:$D,3,0),SUMIFS([1]PIVOT!$E:$E,[1]PIVOT!$A:$A,L$14,[1]PIVOT!$C:$C,_xlpm.Letra))</f>
        <v>0</v>
      </c>
      <c r="M90" s="11">
        <f>_xlfn.LET(_xlpm.Letra,VLOOKUP($A90,[1]STKF!$B:$D,3,0),SUMIFS([1]PIVOT!$E:$E,[1]PIVOT!$A:$A,M$14,[1]PIVOT!$C:$C,_xlpm.Letra))</f>
        <v>0</v>
      </c>
      <c r="N90" s="61">
        <f t="shared" si="16"/>
        <v>0</v>
      </c>
    </row>
    <row r="91" spans="1:14" ht="15.6" outlineLevel="1" thickTop="1" thickBot="1">
      <c r="A91" s="62" t="s">
        <v>86</v>
      </c>
      <c r="B91" s="11">
        <f>_xlfn.LET(_xlpm.Letra,VLOOKUP($A91,[1]STKF!$B:$D,3,0),SUMIFS([1]PIVOT!$E:$E,[1]PIVOT!$A:$A,B$14,[1]PIVOT!$C:$C,_xlpm.Letra))</f>
        <v>0</v>
      </c>
      <c r="C91" s="11">
        <f>_xlfn.LET(_xlpm.Letra,VLOOKUP($A91,[1]STKF!$B:$D,3,0),SUMIFS([1]PIVOT!$E:$E,[1]PIVOT!$A:$A,C$14,[1]PIVOT!$C:$C,_xlpm.Letra))</f>
        <v>0</v>
      </c>
      <c r="D91" s="11">
        <f>_xlfn.LET(_xlpm.Letra,VLOOKUP($A91,[1]STKF!$B:$D,3,0),SUMIFS([1]PIVOT!$E:$E,[1]PIVOT!$A:$A,D$14,[1]PIVOT!$C:$C,_xlpm.Letra))</f>
        <v>0</v>
      </c>
      <c r="E91" s="11">
        <f>_xlfn.LET(_xlpm.Letra,VLOOKUP($A91,[1]STKF!$B:$D,3,0),SUMIFS([1]PIVOT!$E:$E,[1]PIVOT!$A:$A,E$14,[1]PIVOT!$C:$C,_xlpm.Letra))</f>
        <v>0</v>
      </c>
      <c r="F91" s="11">
        <f>_xlfn.LET(_xlpm.Letra,VLOOKUP($A91,[1]STKF!$B:$D,3,0),SUMIFS([1]PIVOT!$E:$E,[1]PIVOT!$A:$A,F$14,[1]PIVOT!$C:$C,_xlpm.Letra))</f>
        <v>0</v>
      </c>
      <c r="G91" s="11">
        <f>_xlfn.LET(_xlpm.Letra,VLOOKUP($A91,[1]STKF!$B:$D,3,0),SUMIFS([1]PIVOT!$E:$E,[1]PIVOT!$A:$A,G$14,[1]PIVOT!$C:$C,_xlpm.Letra))</f>
        <v>0</v>
      </c>
      <c r="H91" s="11">
        <f>_xlfn.LET(_xlpm.Letra,VLOOKUP($A91,[1]STKF!$B:$D,3,0),SUMIFS([1]PIVOT!$E:$E,[1]PIVOT!$A:$A,H$14,[1]PIVOT!$C:$C,_xlpm.Letra))</f>
        <v>0</v>
      </c>
      <c r="I91" s="11">
        <f>_xlfn.LET(_xlpm.Letra,VLOOKUP($A91,[1]STKF!$B:$D,3,0),SUMIFS([1]PIVOT!$E:$E,[1]PIVOT!$A:$A,I$14,[1]PIVOT!$C:$C,_xlpm.Letra))</f>
        <v>0</v>
      </c>
      <c r="J91" s="11">
        <f>_xlfn.LET(_xlpm.Letra,VLOOKUP($A91,[1]STKF!$B:$D,3,0),SUMIFS([1]PIVOT!$E:$E,[1]PIVOT!$A:$A,J$14,[1]PIVOT!$C:$C,_xlpm.Letra))</f>
        <v>0</v>
      </c>
      <c r="K91" s="11">
        <f>_xlfn.LET(_xlpm.Letra,VLOOKUP($A91,[1]STKF!$B:$D,3,0),SUMIFS([1]PIVOT!$E:$E,[1]PIVOT!$A:$A,K$14,[1]PIVOT!$C:$C,_xlpm.Letra))</f>
        <v>0</v>
      </c>
      <c r="L91" s="11">
        <f>_xlfn.LET(_xlpm.Letra,VLOOKUP($A91,[1]STKF!$B:$D,3,0),SUMIFS([1]PIVOT!$E:$E,[1]PIVOT!$A:$A,L$14,[1]PIVOT!$C:$C,_xlpm.Letra))</f>
        <v>0</v>
      </c>
      <c r="M91" s="11">
        <f>_xlfn.LET(_xlpm.Letra,VLOOKUP($A91,[1]STKF!$B:$D,3,0),SUMIFS([1]PIVOT!$E:$E,[1]PIVOT!$A:$A,M$14,[1]PIVOT!$C:$C,_xlpm.Letra))</f>
        <v>0</v>
      </c>
      <c r="N91" s="61">
        <f t="shared" si="16"/>
        <v>0</v>
      </c>
    </row>
    <row r="92" spans="1:14" ht="15.6" outlineLevel="1" thickTop="1" thickBot="1">
      <c r="A92" s="63" t="s">
        <v>76</v>
      </c>
      <c r="B92" s="64"/>
      <c r="C92" s="64"/>
      <c r="D92" s="64"/>
      <c r="E92" s="64"/>
      <c r="F92" s="64"/>
      <c r="G92" s="64"/>
      <c r="H92" s="64"/>
      <c r="I92" s="64"/>
      <c r="J92" s="64"/>
      <c r="K92" s="64"/>
      <c r="L92" s="64"/>
      <c r="M92" s="64"/>
      <c r="N92" s="61"/>
    </row>
    <row r="93" spans="1:14" ht="15.6" outlineLevel="1" thickTop="1" thickBot="1">
      <c r="A93" s="62" t="s">
        <v>87</v>
      </c>
      <c r="B93" s="11">
        <f>SUMIFS([1]PIVOT!$E:$E,[1]PIVOT!$B:$B,$A93,[1]PIVOT!$A:$A,B$14)*1</f>
        <v>0</v>
      </c>
      <c r="C93" s="11">
        <f>SUMIFS([1]PIVOT!$E:$E,[1]PIVOT!$B:$B,$A93,[1]PIVOT!$A:$A,C$14)*1</f>
        <v>0</v>
      </c>
      <c r="D93" s="11">
        <f>SUMIFS([1]PIVOT!$E:$E,[1]PIVOT!$B:$B,$A93,[1]PIVOT!$A:$A,D$14)*1</f>
        <v>0</v>
      </c>
      <c r="E93" s="11">
        <f>SUMIFS([1]PIVOT!$E:$E,[1]PIVOT!$B:$B,$A93,[1]PIVOT!$A:$A,E$14)*1</f>
        <v>0</v>
      </c>
      <c r="F93" s="11">
        <f>SUMIFS([1]PIVOT!$E:$E,[1]PIVOT!$B:$B,$A93,[1]PIVOT!$A:$A,F$14)*1</f>
        <v>0</v>
      </c>
      <c r="G93" s="11">
        <f>SUMIFS([1]PIVOT!$E:$E,[1]PIVOT!$B:$B,$A93,[1]PIVOT!$A:$A,G$14)*1</f>
        <v>0</v>
      </c>
      <c r="H93" s="11">
        <f>SUMIFS([1]PIVOT!$E:$E,[1]PIVOT!$B:$B,$A93,[1]PIVOT!$A:$A,H$14)*1</f>
        <v>0</v>
      </c>
      <c r="I93" s="11">
        <f>SUMIFS([1]PIVOT!$E:$E,[1]PIVOT!$B:$B,$A93,[1]PIVOT!$A:$A,I$14)*1</f>
        <v>0</v>
      </c>
      <c r="J93" s="11">
        <f>SUMIFS([1]PIVOT!$E:$E,[1]PIVOT!$B:$B,$A93,[1]PIVOT!$A:$A,J$14)*1</f>
        <v>0</v>
      </c>
      <c r="K93" s="11">
        <f>SUMIFS([1]PIVOT!$E:$E,[1]PIVOT!$B:$B,$A93,[1]PIVOT!$A:$A,K$14)*1</f>
        <v>0</v>
      </c>
      <c r="L93" s="11">
        <f>SUMIFS([1]PIVOT!$E:$E,[1]PIVOT!$B:$B,$A93,[1]PIVOT!$A:$A,L$14)*1</f>
        <v>0</v>
      </c>
      <c r="M93" s="11">
        <f>SUMIFS([1]PIVOT!$E:$E,[1]PIVOT!$B:$B,$A93,[1]PIVOT!$A:$A,M$14)*1</f>
        <v>0</v>
      </c>
      <c r="N93" s="61">
        <f>IFERROR(AVERAGEIFS(B93:M93, B93:M93, "&gt;0"), 0)</f>
        <v>0</v>
      </c>
    </row>
    <row r="94" spans="1:14" ht="15.6" outlineLevel="1" thickTop="1" thickBot="1">
      <c r="A94" s="62" t="s">
        <v>88</v>
      </c>
      <c r="B94" s="11">
        <f>_xlfn.LET(
  _xlpm.Letra, _xlfn.XLOOKUP($A94, [1]STKF!$B:$B, [1]STKF!$A:$A, ""),
  SUMIFS([1]PIVOT!$E:$E, [1]PIVOT!$A:$A, B$14, [1]PIVOT!$C:$C, _xlpm.Letra)
)</f>
        <v>0</v>
      </c>
      <c r="C94" s="11">
        <f>_xlfn.LET(
  _xlpm.Letra, _xlfn.XLOOKUP($A94, [1]STKF!$B:$B, [1]STKF!$A:$A, ""),
  SUMIFS([1]PIVOT!$E:$E, [1]PIVOT!$A:$A, C$14, [1]PIVOT!$C:$C, _xlpm.Letra)
)</f>
        <v>0</v>
      </c>
      <c r="D94" s="11">
        <f>_xlfn.LET(
  _xlpm.Letra, _xlfn.XLOOKUP($A94, [1]STKF!$B:$B, [1]STKF!$A:$A, ""),
  SUMIFS([1]PIVOT!$E:$E, [1]PIVOT!$A:$A, D$14, [1]PIVOT!$C:$C, _xlpm.Letra)
)</f>
        <v>0</v>
      </c>
      <c r="E94" s="11">
        <f>_xlfn.LET(
  _xlpm.Letra, _xlfn.XLOOKUP($A94, [1]STKF!$B:$B, [1]STKF!$A:$A, ""),
  SUMIFS([1]PIVOT!$E:$E, [1]PIVOT!$A:$A, E$14, [1]PIVOT!$C:$C, _xlpm.Letra)
)</f>
        <v>0</v>
      </c>
      <c r="F94" s="11">
        <f>_xlfn.LET(
  _xlpm.Letra, _xlfn.XLOOKUP($A94, [1]STKF!$B:$B, [1]STKF!$A:$A, ""),
  SUMIFS([1]PIVOT!$E:$E, [1]PIVOT!$A:$A, F$14, [1]PIVOT!$C:$C, _xlpm.Letra)
)</f>
        <v>0</v>
      </c>
      <c r="G94" s="11">
        <f>_xlfn.LET(
  _xlpm.Letra, _xlfn.XLOOKUP($A94, [1]STKF!$B:$B, [1]STKF!$A:$A, ""),
  SUMIFS([1]PIVOT!$E:$E, [1]PIVOT!$A:$A, G$14, [1]PIVOT!$C:$C, _xlpm.Letra)
)</f>
        <v>0</v>
      </c>
      <c r="H94" s="11">
        <f>_xlfn.LET(
  _xlpm.Letra, _xlfn.XLOOKUP($A94, [1]STKF!$B:$B, [1]STKF!$A:$A, ""),
  SUMIFS([1]PIVOT!$E:$E, [1]PIVOT!$A:$A, H$14, [1]PIVOT!$C:$C, _xlpm.Letra)
)</f>
        <v>0</v>
      </c>
      <c r="I94" s="11">
        <f>_xlfn.LET(
  _xlpm.Letra, _xlfn.XLOOKUP($A94, [1]STKF!$B:$B, [1]STKF!$A:$A, ""),
  SUMIFS([1]PIVOT!$E:$E, [1]PIVOT!$A:$A, I$14, [1]PIVOT!$C:$C, _xlpm.Letra)
)</f>
        <v>0</v>
      </c>
      <c r="J94" s="11">
        <f>_xlfn.LET(
  _xlpm.Letra, _xlfn.XLOOKUP($A94, [1]STKF!$B:$B, [1]STKF!$A:$A, ""),
  SUMIFS([1]PIVOT!$E:$E, [1]PIVOT!$A:$A, J$14, [1]PIVOT!$C:$C, _xlpm.Letra)
)</f>
        <v>0</v>
      </c>
      <c r="K94" s="11">
        <f>_xlfn.LET(
  _xlpm.Letra, _xlfn.XLOOKUP($A94, [1]STKF!$B:$B, [1]STKF!$A:$A, ""),
  SUMIFS([1]PIVOT!$E:$E, [1]PIVOT!$A:$A, K$14, [1]PIVOT!$C:$C, _xlpm.Letra)
)</f>
        <v>0</v>
      </c>
      <c r="L94" s="11">
        <f>_xlfn.LET(
  _xlpm.Letra, _xlfn.XLOOKUP($A94, [1]STKF!$B:$B, [1]STKF!$A:$A, ""),
  SUMIFS([1]PIVOT!$E:$E, [1]PIVOT!$A:$A, L$14, [1]PIVOT!$C:$C, _xlpm.Letra)
)</f>
        <v>0</v>
      </c>
      <c r="M94" s="11">
        <f>_xlfn.LET(
  _xlpm.Letra, _xlfn.XLOOKUP($A94, [1]STKF!$B:$B, [1]STKF!$A:$A, ""),
  SUMIFS([1]PIVOT!$E:$E, [1]PIVOT!$A:$A, M$14, [1]PIVOT!$C:$C, _xlpm.Letra)
)</f>
        <v>0</v>
      </c>
      <c r="N94" s="61">
        <f>IFERROR(AVERAGEIFS(B94:M94, B94:M94, "&gt;0"), 0)</f>
        <v>0</v>
      </c>
    </row>
    <row r="95" spans="1:14" ht="15.6" thickTop="1" thickBot="1">
      <c r="A95" s="67" t="s">
        <v>89</v>
      </c>
      <c r="B95" s="71">
        <f>IFERROR(SUM(B85:B91,B93:B94),0)</f>
        <v>0</v>
      </c>
      <c r="C95" s="71">
        <f t="shared" ref="C95:M95" si="17">IFERROR(SUM(C85:C91,C93:C94),0)</f>
        <v>0</v>
      </c>
      <c r="D95" s="71">
        <f t="shared" si="17"/>
        <v>0</v>
      </c>
      <c r="E95" s="71">
        <f t="shared" si="17"/>
        <v>0</v>
      </c>
      <c r="F95" s="71">
        <f t="shared" si="17"/>
        <v>0</v>
      </c>
      <c r="G95" s="71">
        <f t="shared" si="17"/>
        <v>0</v>
      </c>
      <c r="H95" s="71">
        <f t="shared" si="17"/>
        <v>0</v>
      </c>
      <c r="I95" s="71">
        <f t="shared" si="17"/>
        <v>0</v>
      </c>
      <c r="J95" s="71">
        <f t="shared" si="17"/>
        <v>0</v>
      </c>
      <c r="K95" s="71">
        <f t="shared" si="17"/>
        <v>0</v>
      </c>
      <c r="L95" s="71">
        <f t="shared" si="17"/>
        <v>0</v>
      </c>
      <c r="M95" s="71">
        <f t="shared" si="17"/>
        <v>0</v>
      </c>
      <c r="N95" s="71">
        <f>IFERROR(SUM(N85:N91,N93:N94),0)</f>
        <v>0</v>
      </c>
    </row>
    <row r="96" spans="1:14" ht="1.5" hidden="1" customHeight="1" thickTop="1" thickBot="1">
      <c r="A96" s="72"/>
      <c r="B96" s="73"/>
      <c r="C96" s="73"/>
      <c r="D96" s="73"/>
      <c r="E96" s="73"/>
      <c r="F96" s="73"/>
      <c r="G96" s="73"/>
      <c r="H96" s="73"/>
      <c r="I96" s="73"/>
      <c r="J96" s="73"/>
      <c r="K96" s="73"/>
      <c r="L96" s="73"/>
      <c r="M96" s="73"/>
      <c r="N96" s="73"/>
    </row>
    <row r="97" spans="1:16" ht="15.6" thickTop="1" thickBot="1">
      <c r="A97" s="63" t="s">
        <v>76</v>
      </c>
      <c r="B97" s="64"/>
      <c r="C97" s="64"/>
      <c r="D97" s="64"/>
      <c r="E97" s="64"/>
      <c r="F97" s="64"/>
      <c r="G97" s="64"/>
      <c r="H97" s="64"/>
      <c r="I97" s="64"/>
      <c r="J97" s="64"/>
      <c r="K97" s="64"/>
      <c r="L97" s="64"/>
      <c r="M97" s="64"/>
      <c r="N97" s="61"/>
    </row>
    <row r="98" spans="1:16" ht="15.6" hidden="1" outlineLevel="1" thickTop="1" thickBot="1">
      <c r="A98" s="62" t="s">
        <v>90</v>
      </c>
      <c r="B98" s="11">
        <f>_xlfn.LET(
  _xlpm.Letra, _xlfn.XLOOKUP($A98, [1]STKF!$B:$B, [1]STKF!$A:$A, ""),
  SUMIFS([1]PIVOT!$E:$E, [1]PIVOT!$A:$A, B$14, [1]PIVOT!$C:$C, _xlpm.Letra)
)</f>
        <v>0</v>
      </c>
      <c r="C98" s="11">
        <f>_xlfn.LET(
  _xlpm.Letra, _xlfn.XLOOKUP($A98, [1]STKF!$B:$B, [1]STKF!$A:$A, ""),
  SUMIFS([1]PIVOT!$E:$E, [1]PIVOT!$A:$A, C$14, [1]PIVOT!$C:$C, _xlpm.Letra)
)</f>
        <v>0</v>
      </c>
      <c r="D98" s="11">
        <f>_xlfn.LET(
  _xlpm.Letra, _xlfn.XLOOKUP($A98, [1]STKF!$B:$B, [1]STKF!$A:$A, ""),
  SUMIFS([1]PIVOT!$E:$E, [1]PIVOT!$A:$A, D$14, [1]PIVOT!$C:$C, _xlpm.Letra)
)</f>
        <v>0</v>
      </c>
      <c r="E98" s="11">
        <f>_xlfn.LET(
  _xlpm.Letra, _xlfn.XLOOKUP($A98, [1]STKF!$B:$B, [1]STKF!$A:$A, ""),
  SUMIFS([1]PIVOT!$E:$E, [1]PIVOT!$A:$A, E$14, [1]PIVOT!$C:$C, _xlpm.Letra)
)</f>
        <v>0</v>
      </c>
      <c r="F98" s="11">
        <f>_xlfn.LET(
  _xlpm.Letra, _xlfn.XLOOKUP($A98, [1]STKF!$B:$B, [1]STKF!$A:$A, ""),
  SUMIFS([1]PIVOT!$E:$E, [1]PIVOT!$A:$A, F$14, [1]PIVOT!$C:$C, _xlpm.Letra)
)</f>
        <v>0</v>
      </c>
      <c r="G98" s="11">
        <f>_xlfn.LET(
  _xlpm.Letra, _xlfn.XLOOKUP($A98, [1]STKF!$B:$B, [1]STKF!$A:$A, ""),
  SUMIFS([1]PIVOT!$E:$E, [1]PIVOT!$A:$A, G$14, [1]PIVOT!$C:$C, _xlpm.Letra)
)</f>
        <v>0</v>
      </c>
      <c r="H98" s="11">
        <f>_xlfn.LET(
  _xlpm.Letra, _xlfn.XLOOKUP($A98, [1]STKF!$B:$B, [1]STKF!$A:$A, ""),
  SUMIFS([1]PIVOT!$E:$E, [1]PIVOT!$A:$A, H$14, [1]PIVOT!$C:$C, _xlpm.Letra)
)</f>
        <v>0</v>
      </c>
      <c r="I98" s="11">
        <f>_xlfn.LET(
  _xlpm.Letra, _xlfn.XLOOKUP($A98, [1]STKF!$B:$B, [1]STKF!$A:$A, ""),
  SUMIFS([1]PIVOT!$E:$E, [1]PIVOT!$A:$A, I$14, [1]PIVOT!$C:$C, _xlpm.Letra)
)</f>
        <v>0</v>
      </c>
      <c r="J98" s="11">
        <f>_xlfn.LET(
  _xlpm.Letra, _xlfn.XLOOKUP($A98, [1]STKF!$B:$B, [1]STKF!$A:$A, ""),
  SUMIFS([1]PIVOT!$E:$E, [1]PIVOT!$A:$A, J$14, [1]PIVOT!$C:$C, _xlpm.Letra)
)</f>
        <v>0</v>
      </c>
      <c r="K98" s="11">
        <f>_xlfn.LET(
  _xlpm.Letra, _xlfn.XLOOKUP($A98, [1]STKF!$B:$B, [1]STKF!$A:$A, ""),
  SUMIFS([1]PIVOT!$E:$E, [1]PIVOT!$A:$A, K$14, [1]PIVOT!$C:$C, _xlpm.Letra)
)</f>
        <v>0</v>
      </c>
      <c r="L98" s="11">
        <f>_xlfn.LET(
  _xlpm.Letra, _xlfn.XLOOKUP($A98, [1]STKF!$B:$B, [1]STKF!$A:$A, ""),
  SUMIFS([1]PIVOT!$E:$E, [1]PIVOT!$A:$A, L$14, [1]PIVOT!$C:$C, _xlpm.Letra)
)</f>
        <v>0</v>
      </c>
      <c r="M98" s="11">
        <f>_xlfn.LET(
  _xlpm.Letra, _xlfn.XLOOKUP($A98, [1]STKF!$B:$B, [1]STKF!$A:$A, ""),
  SUMIFS([1]PIVOT!$E:$E, [1]PIVOT!$A:$A, M$14, [1]PIVOT!$C:$C, _xlpm.Letra)
)</f>
        <v>0</v>
      </c>
      <c r="N98" s="61">
        <f>IFERROR(AVERAGEIFS(B98:M98, B98:M98, "&gt;0"), 0)</f>
        <v>0</v>
      </c>
    </row>
    <row r="99" spans="1:16" ht="15.6" hidden="1" outlineLevel="1" thickTop="1" thickBot="1">
      <c r="A99" s="62" t="s">
        <v>91</v>
      </c>
      <c r="B99" s="11">
        <f>_xlfn.LET(
  _xlpm.Letra, _xlfn.XLOOKUP($A99, [1]STKF!$B:$B, [1]STKF!$A:$A, ""),
  SUMIFS([1]PIVOT!$E:$E, [1]PIVOT!$A:$A, B$14, [1]PIVOT!$C:$C, _xlpm.Letra)
)</f>
        <v>0</v>
      </c>
      <c r="C99" s="11">
        <f>_xlfn.LET(
  _xlpm.Letra, _xlfn.XLOOKUP($A99, [1]STKF!$B:$B, [1]STKF!$A:$A, ""),
  SUMIFS([1]PIVOT!$E:$E, [1]PIVOT!$A:$A, C$14, [1]PIVOT!$C:$C, _xlpm.Letra)
)</f>
        <v>0</v>
      </c>
      <c r="D99" s="11">
        <f>_xlfn.LET(
  _xlpm.Letra, _xlfn.XLOOKUP($A99, [1]STKF!$B:$B, [1]STKF!$A:$A, ""),
  SUMIFS([1]PIVOT!$E:$E, [1]PIVOT!$A:$A, D$14, [1]PIVOT!$C:$C, _xlpm.Letra)
)</f>
        <v>0</v>
      </c>
      <c r="E99" s="11">
        <f>_xlfn.LET(
  _xlpm.Letra, _xlfn.XLOOKUP($A99, [1]STKF!$B:$B, [1]STKF!$A:$A, ""),
  SUMIFS([1]PIVOT!$E:$E, [1]PIVOT!$A:$A, E$14, [1]PIVOT!$C:$C, _xlpm.Letra)
)</f>
        <v>0</v>
      </c>
      <c r="F99" s="11">
        <f>_xlfn.LET(
  _xlpm.Letra, _xlfn.XLOOKUP($A99, [1]STKF!$B:$B, [1]STKF!$A:$A, ""),
  SUMIFS([1]PIVOT!$E:$E, [1]PIVOT!$A:$A, F$14, [1]PIVOT!$C:$C, _xlpm.Letra)
)</f>
        <v>0</v>
      </c>
      <c r="G99" s="11">
        <f>_xlfn.LET(
  _xlpm.Letra, _xlfn.XLOOKUP($A99, [1]STKF!$B:$B, [1]STKF!$A:$A, ""),
  SUMIFS([1]PIVOT!$E:$E, [1]PIVOT!$A:$A, G$14, [1]PIVOT!$C:$C, _xlpm.Letra)
)</f>
        <v>0</v>
      </c>
      <c r="H99" s="11">
        <f>_xlfn.LET(
  _xlpm.Letra, _xlfn.XLOOKUP($A99, [1]STKF!$B:$B, [1]STKF!$A:$A, ""),
  SUMIFS([1]PIVOT!$E:$E, [1]PIVOT!$A:$A, H$14, [1]PIVOT!$C:$C, _xlpm.Letra)
)</f>
        <v>0</v>
      </c>
      <c r="I99" s="11">
        <f>_xlfn.LET(
  _xlpm.Letra, _xlfn.XLOOKUP($A99, [1]STKF!$B:$B, [1]STKF!$A:$A, ""),
  SUMIFS([1]PIVOT!$E:$E, [1]PIVOT!$A:$A, I$14, [1]PIVOT!$C:$C, _xlpm.Letra)
)</f>
        <v>0</v>
      </c>
      <c r="J99" s="11">
        <f>_xlfn.LET(
  _xlpm.Letra, _xlfn.XLOOKUP($A99, [1]STKF!$B:$B, [1]STKF!$A:$A, ""),
  SUMIFS([1]PIVOT!$E:$E, [1]PIVOT!$A:$A, J$14, [1]PIVOT!$C:$C, _xlpm.Letra)
)</f>
        <v>0</v>
      </c>
      <c r="K99" s="11">
        <f>_xlfn.LET(
  _xlpm.Letra, _xlfn.XLOOKUP($A99, [1]STKF!$B:$B, [1]STKF!$A:$A, ""),
  SUMIFS([1]PIVOT!$E:$E, [1]PIVOT!$A:$A, K$14, [1]PIVOT!$C:$C, _xlpm.Letra)
)</f>
        <v>0</v>
      </c>
      <c r="L99" s="11">
        <f>_xlfn.LET(
  _xlpm.Letra, _xlfn.XLOOKUP($A99, [1]STKF!$B:$B, [1]STKF!$A:$A, ""),
  SUMIFS([1]PIVOT!$E:$E, [1]PIVOT!$A:$A, L$14, [1]PIVOT!$C:$C, _xlpm.Letra)
)</f>
        <v>0</v>
      </c>
      <c r="M99" s="11">
        <f>_xlfn.LET(
  _xlpm.Letra, _xlfn.XLOOKUP($A99, [1]STKF!$B:$B, [1]STKF!$A:$A, ""),
  SUMIFS([1]PIVOT!$E:$E, [1]PIVOT!$A:$A, M$14, [1]PIVOT!$C:$C, _xlpm.Letra)
)</f>
        <v>0</v>
      </c>
      <c r="N99" s="61">
        <f>IFERROR(AVERAGEIFS(B99:M99, B99:M99, "&gt;0"), 0)</f>
        <v>0</v>
      </c>
    </row>
    <row r="100" spans="1:16" ht="15.6" hidden="1" outlineLevel="1" thickTop="1" thickBot="1">
      <c r="A100" s="67" t="s">
        <v>92</v>
      </c>
      <c r="B100" s="71">
        <f t="shared" ref="B100:K100" si="18">IFERROR(SUM(B98:B99),0)</f>
        <v>0</v>
      </c>
      <c r="C100" s="71">
        <f t="shared" si="18"/>
        <v>0</v>
      </c>
      <c r="D100" s="71">
        <f t="shared" si="18"/>
        <v>0</v>
      </c>
      <c r="E100" s="71">
        <f t="shared" si="18"/>
        <v>0</v>
      </c>
      <c r="F100" s="71">
        <f t="shared" si="18"/>
        <v>0</v>
      </c>
      <c r="G100" s="71">
        <f t="shared" si="18"/>
        <v>0</v>
      </c>
      <c r="H100" s="71">
        <f t="shared" si="18"/>
        <v>0</v>
      </c>
      <c r="I100" s="71">
        <f t="shared" si="18"/>
        <v>0</v>
      </c>
      <c r="J100" s="71">
        <f t="shared" si="18"/>
        <v>0</v>
      </c>
      <c r="K100" s="71">
        <f t="shared" si="18"/>
        <v>0</v>
      </c>
      <c r="L100" s="71">
        <f>IFERROR(SUM(L98:L99),0)</f>
        <v>0</v>
      </c>
      <c r="M100" s="71">
        <f t="shared" ref="M100" si="19">IFERROR(SUM(M98:M99),0)</f>
        <v>0</v>
      </c>
      <c r="N100" s="71">
        <f>IFERROR(SUM(N98:N99),0)</f>
        <v>0</v>
      </c>
    </row>
    <row r="101" spans="1:16" ht="15.6" hidden="1" outlineLevel="1" thickTop="1" thickBot="1">
      <c r="A101" s="62" t="s">
        <v>93</v>
      </c>
      <c r="B101" s="11">
        <f>SUMIFS([1]PIVOT!$D:$D,[1]PIVOT!$B:$B,#REF!,[1]PIVOT!$A:$A,B$14)*-1</f>
        <v>0</v>
      </c>
      <c r="C101" s="11">
        <f>SUMIFS([1]PIVOT!$E:$E,[1]PIVOT!$B:$B,$A101,[1]PIVOT!$A:$A,C$14)*1</f>
        <v>0</v>
      </c>
      <c r="D101" s="11">
        <f>SUMIFS([1]PIVOT!$E:$E,[1]PIVOT!$B:$B,$A101,[1]PIVOT!$A:$A,D$14)*1</f>
        <v>0</v>
      </c>
      <c r="E101" s="11">
        <f>SUMIFS([1]PIVOT!$E:$E,[1]PIVOT!$B:$B,$A101,[1]PIVOT!$A:$A,E$14)*1</f>
        <v>0</v>
      </c>
      <c r="F101" s="11">
        <f>SUMIFS([1]PIVOT!$E:$E,[1]PIVOT!$B:$B,$A101,[1]PIVOT!$A:$A,F$14)*1</f>
        <v>0</v>
      </c>
      <c r="G101" s="11">
        <f>SUMIFS([1]PIVOT!$E:$E,[1]PIVOT!$B:$B,$A101,[1]PIVOT!$A:$A,G$14)*1</f>
        <v>0</v>
      </c>
      <c r="H101" s="11">
        <f>SUMIFS([1]PIVOT!$E:$E,[1]PIVOT!$B:$B,$A101,[1]PIVOT!$A:$A,H$14)*1</f>
        <v>0</v>
      </c>
      <c r="I101" s="11">
        <f>SUMIFS([1]PIVOT!$E:$E,[1]PIVOT!$B:$B,$A101,[1]PIVOT!$A:$A,I$14)*1</f>
        <v>0</v>
      </c>
      <c r="J101" s="11">
        <f>SUMIFS([1]PIVOT!$E:$E,[1]PIVOT!$B:$B,$A101,[1]PIVOT!$A:$A,J$14)*1</f>
        <v>0</v>
      </c>
      <c r="K101" s="11">
        <f>SUMIFS([1]PIVOT!$E:$E,[1]PIVOT!$B:$B,$A101,[1]PIVOT!$A:$A,K$14)*1</f>
        <v>0</v>
      </c>
      <c r="L101" s="11">
        <f>SUMIFS([1]PIVOT!$E:$E,[1]PIVOT!$B:$B,$A101,[1]PIVOT!$A:$A,L$14)*1</f>
        <v>0</v>
      </c>
      <c r="M101" s="11">
        <f>SUMIFS([1]PIVOT!$E:$E,[1]PIVOT!$B:$B,$A101,[1]PIVOT!$A:$A,M$14)*1</f>
        <v>0</v>
      </c>
      <c r="N101" s="61">
        <f>IFERROR(AVERAGEIFS(B101:M101, B101:M101, "&gt;0"), 0)</f>
        <v>0</v>
      </c>
    </row>
    <row r="102" spans="1:16" ht="15.6" hidden="1" outlineLevel="1" thickTop="1" thickBot="1">
      <c r="A102" s="62" t="s">
        <v>94</v>
      </c>
      <c r="B102" s="11">
        <f>-_xlfn.LET(
  _xlpm.Letra, _xlfn.XLOOKUP($A102, [1]STKF!$B:$B, [1]STKF!$A:$A, ""),
  SUMIFS([1]PIVOT!$E:$E, [1]PIVOT!$A:$A, B$14, [1]PIVOT!$C:$C, _xlpm.Letra)
)</f>
        <v>0</v>
      </c>
      <c r="C102" s="11">
        <f>-_xlfn.LET(
  _xlpm.Letra, _xlfn.XLOOKUP($A102, [1]STKF!$B:$B, [1]STKF!$A:$A, ""),
  SUMIFS([1]PIVOT!$E:$E, [1]PIVOT!$A:$A, C$14, [1]PIVOT!$C:$C, _xlpm.Letra)
)</f>
        <v>0</v>
      </c>
      <c r="D102" s="11">
        <f>-_xlfn.LET(
  _xlpm.Letra, _xlfn.XLOOKUP($A102, [1]STKF!$B:$B, [1]STKF!$A:$A, ""),
  SUMIFS([1]PIVOT!$E:$E, [1]PIVOT!$A:$A, D$14, [1]PIVOT!$C:$C, _xlpm.Letra)
)</f>
        <v>0</v>
      </c>
      <c r="E102" s="11">
        <f>-_xlfn.LET(
  _xlpm.Letra, _xlfn.XLOOKUP($A102, [1]STKF!$B:$B, [1]STKF!$A:$A, ""),
  SUMIFS([1]PIVOT!$E:$E, [1]PIVOT!$A:$A, E$14, [1]PIVOT!$C:$C, _xlpm.Letra)
)</f>
        <v>0</v>
      </c>
      <c r="F102" s="11">
        <f>-_xlfn.LET(
  _xlpm.Letra, _xlfn.XLOOKUP($A102, [1]STKF!$B:$B, [1]STKF!$A:$A, ""),
  SUMIFS([1]PIVOT!$E:$E, [1]PIVOT!$A:$A, F$14, [1]PIVOT!$C:$C, _xlpm.Letra)
)</f>
        <v>0</v>
      </c>
      <c r="G102" s="11">
        <f>-_xlfn.LET(
  _xlpm.Letra, _xlfn.XLOOKUP($A102, [1]STKF!$B:$B, [1]STKF!$A:$A, ""),
  SUMIFS([1]PIVOT!$E:$E, [1]PIVOT!$A:$A, G$14, [1]PIVOT!$C:$C, _xlpm.Letra)
)</f>
        <v>0</v>
      </c>
      <c r="H102" s="11">
        <f>-_xlfn.LET(
  _xlpm.Letra, _xlfn.XLOOKUP($A102, [1]STKF!$B:$B, [1]STKF!$A:$A, ""),
  SUMIFS([1]PIVOT!$E:$E, [1]PIVOT!$A:$A, H$14, [1]PIVOT!$C:$C, _xlpm.Letra)
)</f>
        <v>0</v>
      </c>
      <c r="I102" s="11">
        <f>-_xlfn.LET(
  _xlpm.Letra, _xlfn.XLOOKUP($A102, [1]STKF!$B:$B, [1]STKF!$A:$A, ""),
  SUMIFS([1]PIVOT!$E:$E, [1]PIVOT!$A:$A, I$14, [1]PIVOT!$C:$C, _xlpm.Letra)
)</f>
        <v>0</v>
      </c>
      <c r="J102" s="11">
        <f>-_xlfn.LET(
  _xlpm.Letra, _xlfn.XLOOKUP($A102, [1]STKF!$B:$B, [1]STKF!$A:$A, ""),
  SUMIFS([1]PIVOT!$E:$E, [1]PIVOT!$A:$A, J$14, [1]PIVOT!$C:$C, _xlpm.Letra)
)</f>
        <v>0</v>
      </c>
      <c r="K102" s="11">
        <f>-_xlfn.LET(
  _xlpm.Letra, _xlfn.XLOOKUP($A102, [1]STKF!$B:$B, [1]STKF!$A:$A, ""),
  SUMIFS([1]PIVOT!$E:$E, [1]PIVOT!$A:$A, K$14, [1]PIVOT!$C:$C, _xlpm.Letra)
)</f>
        <v>0</v>
      </c>
      <c r="L102" s="11">
        <f>-_xlfn.LET(
  _xlpm.Letra, _xlfn.XLOOKUP($A102, [1]STKF!$B:$B, [1]STKF!$A:$A, ""),
  SUMIFS([1]PIVOT!$E:$E, [1]PIVOT!$A:$A, L$14, [1]PIVOT!$C:$C, _xlpm.Letra)
)</f>
        <v>0</v>
      </c>
      <c r="M102" s="11">
        <f>-_xlfn.LET(
  _xlpm.Letra, _xlfn.XLOOKUP($A102, [1]STKF!$B:$B, [1]STKF!$A:$A, ""),
  SUMIFS([1]PIVOT!$E:$E, [1]PIVOT!$A:$A, M$14, [1]PIVOT!$C:$C, _xlpm.Letra)
)</f>
        <v>0</v>
      </c>
      <c r="N102" s="61">
        <f>IFERROR(AVERAGEIFS(B102:M102, B102:M102, "&gt;0"), 0)</f>
        <v>0</v>
      </c>
    </row>
    <row r="103" spans="1:16" ht="15.6" hidden="1" outlineLevel="1" thickTop="1" thickBot="1">
      <c r="A103" s="62" t="s">
        <v>95</v>
      </c>
      <c r="B103" s="11">
        <f t="shared" ref="B103:M104" si="20">IFERROR(B101/B93,0)*1000</f>
        <v>0</v>
      </c>
      <c r="C103" s="11">
        <f t="shared" si="20"/>
        <v>0</v>
      </c>
      <c r="D103" s="11">
        <f t="shared" si="20"/>
        <v>0</v>
      </c>
      <c r="E103" s="11">
        <f t="shared" si="20"/>
        <v>0</v>
      </c>
      <c r="F103" s="11">
        <f t="shared" si="20"/>
        <v>0</v>
      </c>
      <c r="G103" s="11">
        <f t="shared" si="20"/>
        <v>0</v>
      </c>
      <c r="H103" s="11">
        <f t="shared" si="20"/>
        <v>0</v>
      </c>
      <c r="I103" s="11">
        <f t="shared" si="20"/>
        <v>0</v>
      </c>
      <c r="J103" s="11">
        <f t="shared" si="20"/>
        <v>0</v>
      </c>
      <c r="K103" s="11">
        <f t="shared" si="20"/>
        <v>0</v>
      </c>
      <c r="L103" s="11">
        <f t="shared" si="20"/>
        <v>0</v>
      </c>
      <c r="M103" s="11">
        <f t="shared" si="20"/>
        <v>0</v>
      </c>
      <c r="N103" s="61">
        <f>IFERROR(AVERAGEIFS(B103:M103, B103:M103, "&gt;0"), 0)</f>
        <v>0</v>
      </c>
    </row>
    <row r="104" spans="1:16" ht="15.6" hidden="1" outlineLevel="1" thickTop="1" thickBot="1">
      <c r="A104" s="62" t="s">
        <v>96</v>
      </c>
      <c r="B104" s="11">
        <f t="shared" si="20"/>
        <v>0</v>
      </c>
      <c r="C104" s="11">
        <f t="shared" si="20"/>
        <v>0</v>
      </c>
      <c r="D104" s="11">
        <f t="shared" si="20"/>
        <v>0</v>
      </c>
      <c r="E104" s="11">
        <f t="shared" si="20"/>
        <v>0</v>
      </c>
      <c r="F104" s="11">
        <f t="shared" si="20"/>
        <v>0</v>
      </c>
      <c r="G104" s="11">
        <f t="shared" si="20"/>
        <v>0</v>
      </c>
      <c r="H104" s="11">
        <f t="shared" si="20"/>
        <v>0</v>
      </c>
      <c r="I104" s="11">
        <f t="shared" si="20"/>
        <v>0</v>
      </c>
      <c r="J104" s="11">
        <f t="shared" si="20"/>
        <v>0</v>
      </c>
      <c r="K104" s="11">
        <f t="shared" si="20"/>
        <v>0</v>
      </c>
      <c r="L104" s="11">
        <f t="shared" si="20"/>
        <v>0</v>
      </c>
      <c r="M104" s="11">
        <f t="shared" si="20"/>
        <v>0</v>
      </c>
      <c r="N104" s="61">
        <f>IFERROR(AVERAGEIFS(B104:M104, B104:M104, "&gt;0"), 0)</f>
        <v>0</v>
      </c>
    </row>
    <row r="105" spans="1:16" ht="3" hidden="1" customHeight="1" outlineLevel="1" thickTop="1">
      <c r="A105" s="74"/>
      <c r="B105" s="75"/>
      <c r="C105" s="75"/>
      <c r="D105" s="75"/>
      <c r="E105" s="75"/>
      <c r="F105" s="75"/>
      <c r="G105" s="75"/>
      <c r="H105" s="75"/>
      <c r="I105" s="75"/>
      <c r="J105" s="75"/>
      <c r="K105" s="75"/>
      <c r="L105" s="75"/>
      <c r="M105" s="75"/>
      <c r="N105" s="76"/>
    </row>
    <row r="106" spans="1:16" ht="15.6" hidden="1" outlineLevel="1" thickTop="1" thickBot="1">
      <c r="A106" s="62" t="s">
        <v>97</v>
      </c>
      <c r="B106" s="11">
        <f>SUMIFS([1]PIVOT!$E:$E,[1]PIVOT!$B:$B,$A106,[1]PIVOT!$A:$A,B$14)*10</f>
        <v>0</v>
      </c>
      <c r="C106" s="11">
        <f>SUMIFS([1]PIVOT!$E:$E,[1]PIVOT!$B:$B,$A106,[1]PIVOT!$A:$A,C$14)*10</f>
        <v>0</v>
      </c>
      <c r="D106" s="11">
        <f>SUMIFS([1]PIVOT!$E:$E,[1]PIVOT!$B:$B,$A106,[1]PIVOT!$A:$A,D$14)*10</f>
        <v>0</v>
      </c>
      <c r="E106" s="11">
        <f>SUMIFS([1]PIVOT!$E:$E,[1]PIVOT!$B:$B,$A106,[1]PIVOT!$A:$A,E$14)*10</f>
        <v>0</v>
      </c>
      <c r="F106" s="11">
        <f>SUMIFS([1]PIVOT!$E:$E,[1]PIVOT!$B:$B,$A106,[1]PIVOT!$A:$A,F$14)*10</f>
        <v>0</v>
      </c>
      <c r="G106" s="11">
        <f>SUMIFS([1]PIVOT!$E:$E,[1]PIVOT!$B:$B,$A106,[1]PIVOT!$A:$A,G$14)*10</f>
        <v>0</v>
      </c>
      <c r="H106" s="11">
        <f>SUMIFS([1]PIVOT!$E:$E,[1]PIVOT!$B:$B,$A106,[1]PIVOT!$A:$A,H$14)*10</f>
        <v>0</v>
      </c>
      <c r="I106" s="11">
        <f>SUMIFS([1]PIVOT!$E:$E,[1]PIVOT!$B:$B,$A106,[1]PIVOT!$A:$A,I$14)*10</f>
        <v>0</v>
      </c>
      <c r="J106" s="11">
        <f>SUMIFS([1]PIVOT!$E:$E,[1]PIVOT!$B:$B,$A106,[1]PIVOT!$A:$A,J$14)*10</f>
        <v>0</v>
      </c>
      <c r="K106" s="11">
        <f>SUMIFS([1]PIVOT!$E:$E,[1]PIVOT!$B:$B,$A106,[1]PIVOT!$A:$A,K$14)*10</f>
        <v>0</v>
      </c>
      <c r="L106" s="11">
        <f>SUMIFS([1]PIVOT!$E:$E,[1]PIVOT!$B:$B,$A106,[1]PIVOT!$A:$A,L$14)*10</f>
        <v>0</v>
      </c>
      <c r="M106" s="11">
        <f>SUMIFS([1]PIVOT!$E:$E,[1]PIVOT!$B:$B,$A106,[1]PIVOT!$A:$A,M$14)*10</f>
        <v>0</v>
      </c>
      <c r="N106" s="61">
        <f>IFERROR(AVERAGEIFS(B106:M106, B106:M106, "&gt;0"), 0)</f>
        <v>0</v>
      </c>
    </row>
    <row r="107" spans="1:16" ht="15.6" hidden="1" outlineLevel="1" thickTop="1" thickBot="1">
      <c r="A107" s="62" t="s">
        <v>98</v>
      </c>
      <c r="B107" s="11">
        <f>SUMIFS([1]PIVOT!$E:$E,[1]PIVOT!$B:$B,$A107,[1]PIVOT!$A:$A,B$14)*10</f>
        <v>0</v>
      </c>
      <c r="C107" s="11">
        <f>SUMIFS([1]PIVOT!$E:$E,[1]PIVOT!$B:$B,$A107,[1]PIVOT!$A:$A,C$14)*10</f>
        <v>0</v>
      </c>
      <c r="D107" s="11">
        <f>SUMIFS([1]PIVOT!$E:$E,[1]PIVOT!$B:$B,$A107,[1]PIVOT!$A:$A,D$14)*10</f>
        <v>0</v>
      </c>
      <c r="E107" s="11">
        <f>SUMIFS([1]PIVOT!$E:$E,[1]PIVOT!$B:$B,$A107,[1]PIVOT!$A:$A,E$14)*10</f>
        <v>0</v>
      </c>
      <c r="F107" s="11">
        <f>SUMIFS([1]PIVOT!$E:$E,[1]PIVOT!$B:$B,$A107,[1]PIVOT!$A:$A,F$14)*10</f>
        <v>0</v>
      </c>
      <c r="G107" s="11">
        <f>SUMIFS([1]PIVOT!$E:$E,[1]PIVOT!$B:$B,$A107,[1]PIVOT!$A:$A,G$14)*10</f>
        <v>0</v>
      </c>
      <c r="H107" s="11">
        <f>SUMIFS([1]PIVOT!$E:$E,[1]PIVOT!$B:$B,$A107,[1]PIVOT!$A:$A,H$14)*10</f>
        <v>0</v>
      </c>
      <c r="I107" s="11">
        <f>SUMIFS([1]PIVOT!$E:$E,[1]PIVOT!$B:$B,$A107,[1]PIVOT!$A:$A,I$14)*10</f>
        <v>0</v>
      </c>
      <c r="J107" s="11">
        <f>SUMIFS([1]PIVOT!$E:$E,[1]PIVOT!$B:$B,$A107,[1]PIVOT!$A:$A,J$14)*10</f>
        <v>0</v>
      </c>
      <c r="K107" s="11">
        <f>SUMIFS([1]PIVOT!$E:$E,[1]PIVOT!$B:$B,$A107,[1]PIVOT!$A:$A,K$14)*10</f>
        <v>0</v>
      </c>
      <c r="L107" s="11">
        <f>SUMIFS([1]PIVOT!$E:$E,[1]PIVOT!$B:$B,$A107,[1]PIVOT!$A:$A,L$14)*10</f>
        <v>0</v>
      </c>
      <c r="M107" s="11">
        <f>SUMIFS([1]PIVOT!$E:$E,[1]PIVOT!$B:$B,$A107,[1]PIVOT!$A:$A,M$14)*10</f>
        <v>0</v>
      </c>
      <c r="N107" s="61">
        <f>IFERROR(AVERAGEIFS(B107:M107, B107:M107, "&gt;0"), 0)</f>
        <v>0</v>
      </c>
    </row>
    <row r="108" spans="1:16" ht="15.6" hidden="1" outlineLevel="1" thickTop="1" thickBot="1">
      <c r="A108" s="67" t="s">
        <v>99</v>
      </c>
      <c r="B108" s="71">
        <f t="shared" ref="B108:K108" si="21">IFERROR(SUM(B106:B107),0)</f>
        <v>0</v>
      </c>
      <c r="C108" s="71">
        <f t="shared" si="21"/>
        <v>0</v>
      </c>
      <c r="D108" s="71">
        <f t="shared" si="21"/>
        <v>0</v>
      </c>
      <c r="E108" s="71">
        <f t="shared" si="21"/>
        <v>0</v>
      </c>
      <c r="F108" s="71">
        <f t="shared" si="21"/>
        <v>0</v>
      </c>
      <c r="G108" s="71">
        <f t="shared" si="21"/>
        <v>0</v>
      </c>
      <c r="H108" s="71">
        <f t="shared" si="21"/>
        <v>0</v>
      </c>
      <c r="I108" s="71">
        <f t="shared" si="21"/>
        <v>0</v>
      </c>
      <c r="J108" s="71">
        <f t="shared" si="21"/>
        <v>0</v>
      </c>
      <c r="K108" s="71">
        <f t="shared" si="21"/>
        <v>0</v>
      </c>
      <c r="L108" s="71">
        <f>IFERROR(SUM(L106:L107),0)</f>
        <v>0</v>
      </c>
      <c r="M108" s="71">
        <f t="shared" ref="M108" si="22">IFERROR(SUM(M106:M107),0)</f>
        <v>0</v>
      </c>
      <c r="N108" s="71">
        <f>IFERROR(SUM(N106:N107),0)</f>
        <v>0</v>
      </c>
    </row>
    <row r="109" spans="1:16" ht="4.5" hidden="1" customHeight="1" outlineLevel="1" thickTop="1">
      <c r="A109" s="77"/>
      <c r="B109" s="73"/>
      <c r="C109" s="73"/>
      <c r="D109" s="73"/>
      <c r="E109" s="73"/>
      <c r="F109" s="73"/>
      <c r="G109" s="73"/>
      <c r="H109" s="73"/>
      <c r="I109" s="73"/>
      <c r="J109" s="73"/>
      <c r="K109" s="73"/>
      <c r="L109" s="73"/>
      <c r="M109" s="73"/>
      <c r="N109" s="73"/>
      <c r="O109"/>
      <c r="P109"/>
    </row>
    <row r="110" spans="1:16" ht="15.6" hidden="1" outlineLevel="1" thickTop="1" thickBot="1">
      <c r="A110" s="62" t="s">
        <v>100</v>
      </c>
      <c r="B110" s="78">
        <f>SUMIFS([1]PIVOT!$E:$E,[1]PIVOT!$B:$B,$A110,[1]PIVOT!$A:$A,B$14)*1</f>
        <v>0</v>
      </c>
      <c r="C110" s="78">
        <f>SUMIFS([1]PIVOT!$E:$E,[1]PIVOT!$B:$B,$A110,[1]PIVOT!$A:$A,C$14)*1</f>
        <v>0</v>
      </c>
      <c r="D110" s="78">
        <f>SUMIFS([1]PIVOT!$E:$E,[1]PIVOT!$B:$B,$A110,[1]PIVOT!$A:$A,D$14)*1</f>
        <v>0</v>
      </c>
      <c r="E110" s="78">
        <f>SUMIFS([1]PIVOT!$E:$E,[1]PIVOT!$B:$B,$A110,[1]PIVOT!$A:$A,E$14)*1</f>
        <v>0</v>
      </c>
      <c r="F110" s="78">
        <f>SUMIFS([1]PIVOT!$E:$E,[1]PIVOT!$B:$B,$A110,[1]PIVOT!$A:$A,F$14)*1</f>
        <v>0</v>
      </c>
      <c r="G110" s="78">
        <f>SUMIFS([1]PIVOT!$E:$E,[1]PIVOT!$B:$B,$A110,[1]PIVOT!$A:$A,G$14)*1</f>
        <v>0</v>
      </c>
      <c r="H110" s="78">
        <f>SUMIFS([1]PIVOT!$E:$E,[1]PIVOT!$B:$B,$A110,[1]PIVOT!$A:$A,H$14)*1</f>
        <v>0</v>
      </c>
      <c r="I110" s="78">
        <f>SUMIFS([1]PIVOT!$E:$E,[1]PIVOT!$B:$B,$A110,[1]PIVOT!$A:$A,I$14)*1</f>
        <v>0</v>
      </c>
      <c r="J110" s="78">
        <f>SUMIFS([1]PIVOT!$E:$E,[1]PIVOT!$B:$B,$A110,[1]PIVOT!$A:$A,J$14)*1</f>
        <v>0</v>
      </c>
      <c r="K110" s="78">
        <f>SUMIFS([1]PIVOT!$E:$E,[1]PIVOT!$B:$B,$A110,[1]PIVOT!$A:$A,K$14)*1</f>
        <v>0</v>
      </c>
      <c r="L110" s="78">
        <f>SUMIFS([1]PIVOT!$E:$E,[1]PIVOT!$B:$B,$A110,[1]PIVOT!$A:$A,L$14)*1</f>
        <v>0</v>
      </c>
      <c r="M110" s="78">
        <f>SUMIFS([1]PIVOT!$E:$E,[1]PIVOT!$B:$B,$A110,[1]PIVOT!$A:$A,M$14)*1</f>
        <v>0</v>
      </c>
      <c r="N110" s="61">
        <f>IFERROR(AVERAGEIFS(B110:M110, B110:M110, "&gt;0"), 0)</f>
        <v>0</v>
      </c>
      <c r="O110"/>
      <c r="P110"/>
    </row>
    <row r="111" spans="1:16" ht="15.6" hidden="1" outlineLevel="1" thickTop="1" thickBot="1">
      <c r="A111" s="62" t="s">
        <v>101</v>
      </c>
      <c r="B111" s="78">
        <f>SUMIFS([1]PIVOT!$E:$E,[1]PIVOT!$B:$B,$A111,[1]PIVOT!$A:$A,B$14)*1</f>
        <v>0</v>
      </c>
      <c r="C111" s="78">
        <f>SUMIFS([1]PIVOT!$E:$E,[1]PIVOT!$B:$B,$A111,[1]PIVOT!$A:$A,C$14)*1</f>
        <v>0</v>
      </c>
      <c r="D111" s="78">
        <f>SUMIFS([1]PIVOT!$E:$E,[1]PIVOT!$B:$B,$A111,[1]PIVOT!$A:$A,D$14)*1</f>
        <v>0</v>
      </c>
      <c r="E111" s="78">
        <f>SUMIFS([1]PIVOT!$E:$E,[1]PIVOT!$B:$B,$A111,[1]PIVOT!$A:$A,E$14)*1</f>
        <v>0</v>
      </c>
      <c r="F111" s="78">
        <f>SUMIFS([1]PIVOT!$E:$E,[1]PIVOT!$B:$B,$A111,[1]PIVOT!$A:$A,F$14)*1</f>
        <v>0</v>
      </c>
      <c r="G111" s="78">
        <f>SUMIFS([1]PIVOT!$E:$E,[1]PIVOT!$B:$B,$A111,[1]PIVOT!$A:$A,G$14)*1</f>
        <v>0</v>
      </c>
      <c r="H111" s="78">
        <f>SUMIFS([1]PIVOT!$E:$E,[1]PIVOT!$B:$B,$A111,[1]PIVOT!$A:$A,H$14)*1</f>
        <v>0</v>
      </c>
      <c r="I111" s="78">
        <f>SUMIFS([1]PIVOT!$E:$E,[1]PIVOT!$B:$B,$A111,[1]PIVOT!$A:$A,I$14)*1</f>
        <v>0</v>
      </c>
      <c r="J111" s="78">
        <f>SUMIFS([1]PIVOT!$E:$E,[1]PIVOT!$B:$B,$A111,[1]PIVOT!$A:$A,J$14)*1</f>
        <v>0</v>
      </c>
      <c r="K111" s="78">
        <f>SUMIFS([1]PIVOT!$E:$E,[1]PIVOT!$B:$B,$A111,[1]PIVOT!$A:$A,K$14)*1</f>
        <v>0</v>
      </c>
      <c r="L111" s="78">
        <f>SUMIFS([1]PIVOT!$E:$E,[1]PIVOT!$B:$B,$A111,[1]PIVOT!$A:$A,L$14)*1</f>
        <v>0</v>
      </c>
      <c r="M111" s="78">
        <f>SUMIFS([1]PIVOT!$E:$E,[1]PIVOT!$B:$B,$A111,[1]PIVOT!$A:$A,M$14)*1</f>
        <v>0</v>
      </c>
      <c r="N111" s="61">
        <f>IFERROR(AVERAGEIFS(B111:M111, B111:M111, "&gt;0"), 0)</f>
        <v>0</v>
      </c>
      <c r="O111"/>
      <c r="P111"/>
    </row>
    <row r="112" spans="1:16" ht="15.6" hidden="1" outlineLevel="1" thickTop="1" thickBot="1">
      <c r="A112" s="62" t="s">
        <v>102</v>
      </c>
      <c r="B112" s="11">
        <f>_xlfn.LET(
  _xlpm.Letra, _xlfn.XLOOKUP($A112, [1]STKF!$B:$B, [1]STKF!$A:$A, ""),
  SUMIFS([1]PIVOT!$E:$E, [1]PIVOT!$A:$A, B$14, [1]PIVOT!$C:$C, _xlpm.Letra)
)</f>
        <v>0</v>
      </c>
      <c r="C112" s="11">
        <f>_xlfn.LET(
  _xlpm.Letra, _xlfn.XLOOKUP($A112, [1]STKF!$B:$B, [1]STKF!$A:$A, ""),
  SUMIFS([1]PIVOT!$E:$E, [1]PIVOT!$A:$A, C$14, [1]PIVOT!$C:$C, _xlpm.Letra)
)</f>
        <v>0</v>
      </c>
      <c r="D112" s="11">
        <f>_xlfn.LET(
  _xlpm.Letra, _xlfn.XLOOKUP($A112, [1]STKF!$B:$B, [1]STKF!$A:$A, ""),
  SUMIFS([1]PIVOT!$E:$E, [1]PIVOT!$A:$A, D$14, [1]PIVOT!$C:$C, _xlpm.Letra)
)</f>
        <v>0</v>
      </c>
      <c r="E112" s="11">
        <f>_xlfn.LET(
  _xlpm.Letra, _xlfn.XLOOKUP($A112, [1]STKF!$B:$B, [1]STKF!$A:$A, ""),
  SUMIFS([1]PIVOT!$E:$E, [1]PIVOT!$A:$A, E$14, [1]PIVOT!$C:$C, _xlpm.Letra)
)</f>
        <v>0</v>
      </c>
      <c r="F112" s="11">
        <f>_xlfn.LET(
  _xlpm.Letra, _xlfn.XLOOKUP($A112, [1]STKF!$B:$B, [1]STKF!$A:$A, ""),
  SUMIFS([1]PIVOT!$E:$E, [1]PIVOT!$A:$A, F$14, [1]PIVOT!$C:$C, _xlpm.Letra)
)</f>
        <v>0</v>
      </c>
      <c r="G112" s="11">
        <f>_xlfn.LET(
  _xlpm.Letra, _xlfn.XLOOKUP($A112, [1]STKF!$B:$B, [1]STKF!$A:$A, ""),
  SUMIFS([1]PIVOT!$E:$E, [1]PIVOT!$A:$A, G$14, [1]PIVOT!$C:$C, _xlpm.Letra)
)</f>
        <v>0</v>
      </c>
      <c r="H112" s="11">
        <f>_xlfn.LET(
  _xlpm.Letra, _xlfn.XLOOKUP($A112, [1]STKF!$B:$B, [1]STKF!$A:$A, ""),
  SUMIFS([1]PIVOT!$E:$E, [1]PIVOT!$A:$A, H$14, [1]PIVOT!$C:$C, _xlpm.Letra)
)</f>
        <v>0</v>
      </c>
      <c r="I112" s="11">
        <f>_xlfn.LET(
  _xlpm.Letra, _xlfn.XLOOKUP($A112, [1]STKF!$B:$B, [1]STKF!$A:$A, ""),
  SUMIFS([1]PIVOT!$E:$E, [1]PIVOT!$A:$A, I$14, [1]PIVOT!$C:$C, _xlpm.Letra)
)</f>
        <v>0</v>
      </c>
      <c r="J112" s="11">
        <f>_xlfn.LET(
  _xlpm.Letra, _xlfn.XLOOKUP($A112, [1]STKF!$B:$B, [1]STKF!$A:$A, ""),
  SUMIFS([1]PIVOT!$E:$E, [1]PIVOT!$A:$A, J$14, [1]PIVOT!$C:$C, _xlpm.Letra)
)</f>
        <v>0</v>
      </c>
      <c r="K112" s="11">
        <f>_xlfn.LET(
  _xlpm.Letra, _xlfn.XLOOKUP($A112, [1]STKF!$B:$B, [1]STKF!$A:$A, ""),
  SUMIFS([1]PIVOT!$E:$E, [1]PIVOT!$A:$A, K$14, [1]PIVOT!$C:$C, _xlpm.Letra)
)</f>
        <v>0</v>
      </c>
      <c r="L112" s="11">
        <f>_xlfn.LET(
  _xlpm.Letra, _xlfn.XLOOKUP($A112, [1]STKF!$B:$B, [1]STKF!$A:$A, ""),
  SUMIFS([1]PIVOT!$E:$E, [1]PIVOT!$A:$A, L$14, [1]PIVOT!$C:$C, _xlpm.Letra)
)</f>
        <v>0</v>
      </c>
      <c r="M112" s="11">
        <f>_xlfn.LET(
  _xlpm.Letra, _xlfn.XLOOKUP($A112, [1]STKF!$B:$B, [1]STKF!$A:$A, ""),
  SUMIFS([1]PIVOT!$E:$E, [1]PIVOT!$A:$A, M$14, [1]PIVOT!$C:$C, _xlpm.Letra)
)</f>
        <v>0</v>
      </c>
      <c r="N112" s="61">
        <f>IFERROR(AVERAGEIFS(B112:M112, B112:M112, "&gt;0"), 0)</f>
        <v>0</v>
      </c>
    </row>
    <row r="113" spans="1:14" ht="15.6" hidden="1" outlineLevel="1" thickTop="1" thickBot="1">
      <c r="A113" s="62" t="s">
        <v>103</v>
      </c>
      <c r="B113" s="78">
        <f>SUMIFS([1]PIVOT!$E:$E,[1]PIVOT!$B:$B,$A113,[1]PIVOT!$A:$A,B$14)*1</f>
        <v>0</v>
      </c>
      <c r="C113" s="78">
        <f>SUMIFS([1]PIVOT!$E:$E,[1]PIVOT!$B:$B,$A113,[1]PIVOT!$A:$A,C$14)*1</f>
        <v>0</v>
      </c>
      <c r="D113" s="78">
        <f>SUMIFS([1]PIVOT!$E:$E,[1]PIVOT!$B:$B,$A113,[1]PIVOT!$A:$A,D$14)*1</f>
        <v>0</v>
      </c>
      <c r="E113" s="78">
        <f>SUMIFS([1]PIVOT!$E:$E,[1]PIVOT!$B:$B,$A113,[1]PIVOT!$A:$A,E$14)*1</f>
        <v>0</v>
      </c>
      <c r="F113" s="78">
        <f>SUMIFS([1]PIVOT!$E:$E,[1]PIVOT!$B:$B,$A113,[1]PIVOT!$A:$A,F$14)*1</f>
        <v>0</v>
      </c>
      <c r="G113" s="78">
        <f>SUMIFS([1]PIVOT!$E:$E,[1]PIVOT!$B:$B,$A113,[1]PIVOT!$A:$A,G$14)*1</f>
        <v>0</v>
      </c>
      <c r="H113" s="78">
        <f>SUMIFS([1]PIVOT!$E:$E,[1]PIVOT!$B:$B,$A113,[1]PIVOT!$A:$A,H$14)*1</f>
        <v>0</v>
      </c>
      <c r="I113" s="78">
        <f>SUMIFS([1]PIVOT!$E:$E,[1]PIVOT!$B:$B,$A113,[1]PIVOT!$A:$A,I$14)*1</f>
        <v>0</v>
      </c>
      <c r="J113" s="78">
        <f>SUMIFS([1]PIVOT!$E:$E,[1]PIVOT!$B:$B,$A113,[1]PIVOT!$A:$A,J$14)*1</f>
        <v>0</v>
      </c>
      <c r="K113" s="78">
        <f>SUMIFS([1]PIVOT!$E:$E,[1]PIVOT!$B:$B,$A113,[1]PIVOT!$A:$A,K$14)*1</f>
        <v>0</v>
      </c>
      <c r="L113" s="78">
        <f>SUMIFS([1]PIVOT!$E:$E,[1]PIVOT!$B:$B,$A113,[1]PIVOT!$A:$A,L$14)*1</f>
        <v>0</v>
      </c>
      <c r="M113" s="78">
        <f>SUMIFS([1]PIVOT!$E:$E,[1]PIVOT!$B:$B,$A113,[1]PIVOT!$A:$A,M$14)*1</f>
        <v>0</v>
      </c>
      <c r="N113" s="61">
        <f>IFERROR(AVERAGEIFS(B113:M113, B113:M113, "&gt;0"), 0)</f>
        <v>0</v>
      </c>
    </row>
    <row r="114" spans="1:14" ht="15.6" hidden="1" outlineLevel="1" thickTop="1" thickBot="1">
      <c r="A114" s="67" t="s">
        <v>104</v>
      </c>
      <c r="B114" s="71">
        <f>IFERROR(SUM(B110:B113),0)</f>
        <v>0</v>
      </c>
      <c r="C114" s="71">
        <f t="shared" ref="C114:M114" si="23">IFERROR(SUM(C110:C113),0)</f>
        <v>0</v>
      </c>
      <c r="D114" s="71">
        <f t="shared" si="23"/>
        <v>0</v>
      </c>
      <c r="E114" s="71">
        <f t="shared" si="23"/>
        <v>0</v>
      </c>
      <c r="F114" s="71">
        <f t="shared" si="23"/>
        <v>0</v>
      </c>
      <c r="G114" s="71">
        <f t="shared" si="23"/>
        <v>0</v>
      </c>
      <c r="H114" s="71">
        <f t="shared" si="23"/>
        <v>0</v>
      </c>
      <c r="I114" s="71">
        <f t="shared" si="23"/>
        <v>0</v>
      </c>
      <c r="J114" s="71">
        <f t="shared" si="23"/>
        <v>0</v>
      </c>
      <c r="K114" s="71">
        <f t="shared" si="23"/>
        <v>0</v>
      </c>
      <c r="L114" s="71">
        <f t="shared" si="23"/>
        <v>0</v>
      </c>
      <c r="M114" s="71">
        <f t="shared" si="23"/>
        <v>0</v>
      </c>
      <c r="N114" s="71">
        <f>IFERROR(SUM(N110:N113),0)</f>
        <v>0</v>
      </c>
    </row>
    <row r="115" spans="1:14" ht="12.6" customHeight="1" collapsed="1" thickTop="1" thickBot="1">
      <c r="A115" s="79"/>
      <c r="B115" s="80"/>
      <c r="C115" s="80"/>
      <c r="D115" s="80"/>
      <c r="E115" s="80"/>
      <c r="F115" s="80"/>
      <c r="G115" s="80"/>
      <c r="H115" s="80"/>
      <c r="I115" s="80"/>
      <c r="J115" s="80"/>
      <c r="K115" s="80"/>
      <c r="L115" s="80"/>
      <c r="M115" s="80"/>
      <c r="N115" s="76"/>
    </row>
    <row r="116" spans="1:14" ht="15" thickTop="1">
      <c r="A116" s="32" t="s">
        <v>105</v>
      </c>
      <c r="B116" s="11">
        <f t="shared" ref="B116:M116" si="24">IFERROR(B24/B95,0)</f>
        <v>0</v>
      </c>
      <c r="C116" s="11">
        <f t="shared" si="24"/>
        <v>0</v>
      </c>
      <c r="D116" s="11">
        <f t="shared" si="24"/>
        <v>0</v>
      </c>
      <c r="E116" s="11">
        <f t="shared" si="24"/>
        <v>0</v>
      </c>
      <c r="F116" s="11">
        <f t="shared" si="24"/>
        <v>0</v>
      </c>
      <c r="G116" s="11">
        <f t="shared" si="24"/>
        <v>0</v>
      </c>
      <c r="H116" s="11">
        <f t="shared" si="24"/>
        <v>0</v>
      </c>
      <c r="I116" s="11">
        <f t="shared" si="24"/>
        <v>0</v>
      </c>
      <c r="J116" s="11">
        <f t="shared" si="24"/>
        <v>0</v>
      </c>
      <c r="K116" s="11">
        <f t="shared" si="24"/>
        <v>0</v>
      </c>
      <c r="L116" s="11">
        <f t="shared" si="24"/>
        <v>0</v>
      </c>
      <c r="M116" s="11">
        <f t="shared" si="24"/>
        <v>0</v>
      </c>
      <c r="N116" s="61">
        <f>IFERROR(AVERAGEIFS(B116:M116, B116:M116, "&gt;0"), 0)</f>
        <v>0</v>
      </c>
    </row>
    <row r="117" spans="1:14">
      <c r="A117" s="32" t="s">
        <v>106</v>
      </c>
      <c r="B117" s="81">
        <f t="shared" ref="B117:M117" si="25">IFERROR((B24-B18)/B82,0)</f>
        <v>0</v>
      </c>
      <c r="C117" s="81">
        <f t="shared" si="25"/>
        <v>0</v>
      </c>
      <c r="D117" s="81">
        <f t="shared" si="25"/>
        <v>0</v>
      </c>
      <c r="E117" s="81">
        <f t="shared" si="25"/>
        <v>0</v>
      </c>
      <c r="F117" s="81">
        <f t="shared" si="25"/>
        <v>0</v>
      </c>
      <c r="G117" s="81">
        <f t="shared" si="25"/>
        <v>0</v>
      </c>
      <c r="H117" s="81">
        <f t="shared" si="25"/>
        <v>0</v>
      </c>
      <c r="I117" s="81">
        <f t="shared" si="25"/>
        <v>0</v>
      </c>
      <c r="J117" s="81">
        <f t="shared" si="25"/>
        <v>0</v>
      </c>
      <c r="K117" s="81">
        <f t="shared" si="25"/>
        <v>0</v>
      </c>
      <c r="L117" s="81">
        <f t="shared" si="25"/>
        <v>0</v>
      </c>
      <c r="M117" s="81">
        <f t="shared" si="25"/>
        <v>0</v>
      </c>
      <c r="N117" s="61">
        <f>IFERROR(AVERAGEIFS(B117:M117, B117:M117, "&gt;0"), 0)</f>
        <v>0</v>
      </c>
    </row>
    <row r="118" spans="1:14">
      <c r="A118" s="32" t="s">
        <v>107</v>
      </c>
      <c r="B118" s="82" cm="1">
        <f t="array" ref="B118">IFERROR((+B19+B20+B21)/SUM(B75:B76+B80),0)*1000</f>
        <v>0</v>
      </c>
      <c r="C118" s="82" cm="1">
        <f t="array" ref="C118">IFERROR((+C19+C20+C21)/SUM(C75:C76+C80),0)*1000</f>
        <v>0</v>
      </c>
      <c r="D118" s="82" cm="1">
        <f t="array" ref="D118">IFERROR((+D19+D20+D21)/SUM(D75:D76+D80),0)*1000</f>
        <v>0</v>
      </c>
      <c r="E118" s="82" cm="1">
        <f t="array" ref="E118">IFERROR((+E19+E20+E21)/SUM(E75:E76+E80),0)*1000</f>
        <v>0</v>
      </c>
      <c r="F118" s="82" cm="1">
        <f t="array" ref="F118">IFERROR((+F19+F20+F21)/SUM(F75:F76+F80),0)*1000</f>
        <v>0</v>
      </c>
      <c r="G118" s="82" cm="1">
        <f t="array" ref="G118">IFERROR((+G19+G20+G21)/SUM(G75:G76+G80),0)*1000</f>
        <v>0</v>
      </c>
      <c r="H118" s="82" cm="1">
        <f t="array" ref="H118">IFERROR((+H19+H20+H21)/SUM(H75:H76+H80),0)*1000</f>
        <v>0</v>
      </c>
      <c r="I118" s="82" cm="1">
        <f t="array" ref="I118">IFERROR((+I19+I20+I21)/SUM(I75:I76+I80),0)*1000</f>
        <v>0</v>
      </c>
      <c r="J118" s="82" cm="1">
        <f t="array" ref="J118">IFERROR((+J19+J20+J21)/SUM(J75:J76+J80),0)*1000</f>
        <v>0</v>
      </c>
      <c r="K118" s="82" cm="1">
        <f t="array" ref="K118">IFERROR((+K19+K20+K21)/SUM(K75:K76+K80),0)*1000</f>
        <v>0</v>
      </c>
      <c r="L118" s="82" cm="1">
        <f t="array" ref="L118">IFERROR((+L19+L20+L21)/SUM(L75:L76+L80),0)*1000</f>
        <v>0</v>
      </c>
      <c r="M118" s="82" cm="1">
        <f t="array" ref="M118">IFERROR((+M19+M20+M21)/SUM(M75:M76+M80),0)*1000</f>
        <v>0</v>
      </c>
      <c r="N118" s="83">
        <f>IFERROR(AVERAGEIFS(B118:M118, B118:M118, "&gt;0"), 0)</f>
        <v>0</v>
      </c>
    </row>
    <row r="119" spans="1:14">
      <c r="A119" s="32" t="s">
        <v>108</v>
      </c>
      <c r="B119" s="82">
        <f t="shared" ref="B119:M119" si="26">IFERROR(+B24/-B43,0)</f>
        <v>45.839270278399908</v>
      </c>
      <c r="C119" s="82">
        <f t="shared" si="26"/>
        <v>0</v>
      </c>
      <c r="D119" s="82">
        <f t="shared" si="26"/>
        <v>0</v>
      </c>
      <c r="E119" s="82">
        <f t="shared" si="26"/>
        <v>0</v>
      </c>
      <c r="F119" s="82">
        <f t="shared" si="26"/>
        <v>0</v>
      </c>
      <c r="G119" s="82">
        <f t="shared" si="26"/>
        <v>0</v>
      </c>
      <c r="H119" s="82">
        <f t="shared" si="26"/>
        <v>0</v>
      </c>
      <c r="I119" s="82">
        <f t="shared" si="26"/>
        <v>0</v>
      </c>
      <c r="J119" s="82">
        <f t="shared" si="26"/>
        <v>0</v>
      </c>
      <c r="K119" s="82">
        <f t="shared" si="26"/>
        <v>0</v>
      </c>
      <c r="L119" s="82">
        <f t="shared" si="26"/>
        <v>0</v>
      </c>
      <c r="M119" s="82">
        <f t="shared" si="26"/>
        <v>0</v>
      </c>
      <c r="N119" s="83">
        <f>IFERROR(AVERAGEIFS(B119:M119, B119:M119, "&gt;0"), 0)</f>
        <v>45.839270278399908</v>
      </c>
    </row>
    <row r="120" spans="1:14">
      <c r="A120" s="32" t="s">
        <v>109</v>
      </c>
      <c r="B120" s="82">
        <f t="shared" ref="B120:M120" si="27">IFERROR((+B19+B20)/-(B35+B36+B39),0)</f>
        <v>0.80637001566040023</v>
      </c>
      <c r="C120" s="82">
        <f t="shared" si="27"/>
        <v>0</v>
      </c>
      <c r="D120" s="82">
        <f t="shared" si="27"/>
        <v>0</v>
      </c>
      <c r="E120" s="82">
        <f t="shared" si="27"/>
        <v>0</v>
      </c>
      <c r="F120" s="82">
        <f t="shared" si="27"/>
        <v>0</v>
      </c>
      <c r="G120" s="82">
        <f t="shared" si="27"/>
        <v>0</v>
      </c>
      <c r="H120" s="82">
        <f t="shared" si="27"/>
        <v>0</v>
      </c>
      <c r="I120" s="82">
        <f t="shared" si="27"/>
        <v>0</v>
      </c>
      <c r="J120" s="82">
        <f t="shared" si="27"/>
        <v>0</v>
      </c>
      <c r="K120" s="82">
        <f t="shared" si="27"/>
        <v>0</v>
      </c>
      <c r="L120" s="82">
        <f t="shared" si="27"/>
        <v>0</v>
      </c>
      <c r="M120" s="82">
        <f t="shared" si="27"/>
        <v>0</v>
      </c>
      <c r="N120" s="83">
        <f>IFERROR(AVERAGEIFS(B120:M120, B120:M120, "&gt;0"), 0)</f>
        <v>0.80637001566040023</v>
      </c>
    </row>
  </sheetData>
  <conditionalFormatting sqref="B67:N67">
    <cfRule type="cellIs" dxfId="1" priority="1" operator="lessThan">
      <formula>0</formula>
    </cfRule>
  </conditionalFormatting>
  <conditionalFormatting sqref="B42:N42">
    <cfRule type="iconSet" priority="2">
      <iconSet iconSet="3Signs">
        <cfvo type="percent" val="0"/>
        <cfvo type="num" val="0.1"/>
        <cfvo type="num" val="0.4"/>
      </iconSet>
    </cfRule>
  </conditionalFormatting>
  <conditionalFormatting sqref="B68:N69">
    <cfRule type="cellIs" dxfId="0" priority="3" operator="lessThan">
      <formula>0</formula>
    </cfRule>
    <cfRule type="iconSet" priority="4">
      <iconSet iconSet="3Symbols">
        <cfvo type="percent" val="0"/>
        <cfvo type="num" val="0.02"/>
        <cfvo type="num" val="0.05"/>
      </iconSet>
    </cfRule>
  </conditionalFormatting>
  <pageMargins left="0.70866141732283472" right="0.70866141732283472" top="0.74803149606299213" bottom="0.74803149606299213" header="0.31496062992125984" footer="0.31496062992125984"/>
  <pageSetup scale="61" orientation="landscape" r:id="rId1"/>
  <headerFooter>
    <oddHeader>&amp;CCPRS BA Report</oddHeader>
    <oddFooter>&amp;CSource: CPRS_x000D_&amp;1#&amp;"Aptos"&amp;10&amp;K000000 DSV internal</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0]!LogoutAndReLogin">
                <anchor moveWithCells="1" sizeWithCells="1">
                  <from>
                    <xdr:col>3</xdr:col>
                    <xdr:colOff>861060</xdr:colOff>
                    <xdr:row>2</xdr:row>
                    <xdr:rowOff>190500</xdr:rowOff>
                  </from>
                  <to>
                    <xdr:col>4</xdr:col>
                    <xdr:colOff>838200</xdr:colOff>
                    <xdr:row>3</xdr:row>
                    <xdr:rowOff>190500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P&amp;L</vt:lpstr>
      <vt:lpstr>'P&amp;L'!LoginStatus</vt:lpstr>
      <vt:lpstr>'P&amp;L'!SAPFdd1</vt:lpstr>
      <vt:lpstr>'P&amp;L'!SAPFdd2</vt:lpstr>
      <vt:lpstr>'P&amp;L'!SAPFdd3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Thiranai Silarak - DSV</dc:creator>
  <cp:lastModifiedBy>Thiranai Silarak - DSV</cp:lastModifiedBy>
  <dcterms:created xsi:type="dcterms:W3CDTF">2026-08-04T02:50:05Z</dcterms:created>
  <dcterms:modified xsi:type="dcterms:W3CDTF">2026-08-04T02:50:51Z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6c1fee-2f04-49ca-98cf-bcf61896c7fa_Enabled">
    <vt:lpwstr>true</vt:lpwstr>
  </property>
  <property fmtid="{D5CDD505-2E9C-101B-9397-08002B2CF9AE}" pid="3" name="MSIP_Label_fc6c1fee-2f04-49ca-98cf-bcf61896c7fa_SetDate">
    <vt:lpwstr>2026-08-04T02:50:22Z</vt:lpwstr>
  </property>
  <property fmtid="{D5CDD505-2E9C-101B-9397-08002B2CF9AE}" pid="4" name="MSIP_Label_fc6c1fee-2f04-49ca-98cf-bcf61896c7fa_Method">
    <vt:lpwstr>Standard</vt:lpwstr>
  </property>
  <property fmtid="{D5CDD505-2E9C-101B-9397-08002B2CF9AE}" pid="5" name="MSIP_Label_fc6c1fee-2f04-49ca-98cf-bcf61896c7fa_Name">
    <vt:lpwstr>Internal</vt:lpwstr>
  </property>
  <property fmtid="{D5CDD505-2E9C-101B-9397-08002B2CF9AE}" pid="6" name="MSIP_Label_fc6c1fee-2f04-49ca-98cf-bcf61896c7fa_SiteId">
    <vt:lpwstr>4a90c23a-3ece-4ef2-b857-522f23b8204c</vt:lpwstr>
  </property>
  <property fmtid="{D5CDD505-2E9C-101B-9397-08002B2CF9AE}" pid="7" name="MSIP_Label_fc6c1fee-2f04-49ca-98cf-bcf61896c7fa_ActionId">
    <vt:lpwstr>f09a5b1f-1661-45e5-b41e-da252a3a4884</vt:lpwstr>
  </property>
  <property fmtid="{D5CDD505-2E9C-101B-9397-08002B2CF9AE}" pid="8" name="MSIP_Label_fc6c1fee-2f04-49ca-98cf-bcf61896c7fa_ContentBits">
    <vt:lpwstr>2</vt:lpwstr>
  </property>
  <property fmtid="{D5CDD505-2E9C-101B-9397-08002B2CF9AE}" pid="9" name="MSIP_Label_fc6c1fee-2f04-49ca-98cf-bcf61896c7fa_Tag">
    <vt:lpwstr>10, 3, 0, 1</vt:lpwstr>
  </property>
</Properties>
</file>